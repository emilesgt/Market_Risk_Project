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/>
  <xr:revisionPtr revIDLastSave="0" documentId="13_ncr:1_{4F1D3151-2B29-41D1-8E78-DF5C24070B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lags" sheetId="7" r:id="rId1"/>
    <sheet name="data_prep" sheetId="2" r:id="rId2"/>
    <sheet name="C_lags" sheetId="6" r:id="rId3"/>
    <sheet name="model" sheetId="8" r:id="rId4"/>
  </sheets>
  <definedNames>
    <definedName name="solver_adj" localSheetId="0" hidden="1">R_lags!$J$8:$J$9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R_lags!$J$8</definedName>
    <definedName name="solver_lhs2" localSheetId="0" hidden="1">R_lags!$J$9</definedName>
    <definedName name="solver_lhs3" localSheetId="0" hidden="1">R_lags!$J$9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R_lags!$F$52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hs1" localSheetId="0" hidden="1">0</definedName>
    <definedName name="solver_rhs2" localSheetId="0" hidden="1">2</definedName>
    <definedName name="solver_rhs3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B2" i="8"/>
  <c r="G2" i="7"/>
  <c r="H2" i="7" s="1"/>
  <c r="C5" i="8"/>
  <c r="A5" i="8"/>
  <c r="A6" i="8" s="1"/>
  <c r="A2" i="7"/>
  <c r="D2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1" i="7" s="1"/>
  <c r="K93" i="2"/>
  <c r="J1001" i="2"/>
  <c r="K1001" i="2" s="1"/>
  <c r="J998" i="2"/>
  <c r="K998" i="2" s="1"/>
  <c r="J992" i="2"/>
  <c r="K992" i="2" s="1"/>
  <c r="J991" i="2"/>
  <c r="K991" i="2" s="1"/>
  <c r="J990" i="2"/>
  <c r="K990" i="2" s="1"/>
  <c r="J985" i="2"/>
  <c r="K985" i="2" s="1"/>
  <c r="J984" i="2"/>
  <c r="K984" i="2" s="1"/>
  <c r="J978" i="2"/>
  <c r="K978" i="2" s="1"/>
  <c r="J970" i="2"/>
  <c r="K970" i="2" s="1"/>
  <c r="J966" i="2"/>
  <c r="K966" i="2" s="1"/>
  <c r="J958" i="2"/>
  <c r="K958" i="2" s="1"/>
  <c r="J955" i="2"/>
  <c r="K955" i="2" s="1"/>
  <c r="J954" i="2"/>
  <c r="K954" i="2" s="1"/>
  <c r="J952" i="2"/>
  <c r="K952" i="2" s="1"/>
  <c r="J936" i="2"/>
  <c r="K936" i="2" s="1"/>
  <c r="J926" i="2"/>
  <c r="K926" i="2" s="1"/>
  <c r="J920" i="2"/>
  <c r="K920" i="2" s="1"/>
  <c r="J898" i="2"/>
  <c r="K898" i="2" s="1"/>
  <c r="J895" i="2"/>
  <c r="K895" i="2" s="1"/>
  <c r="J866" i="2"/>
  <c r="K866" i="2" s="1"/>
  <c r="J863" i="2"/>
  <c r="K863" i="2" s="1"/>
  <c r="J861" i="2"/>
  <c r="K861" i="2" s="1"/>
  <c r="J855" i="2"/>
  <c r="K855" i="2" s="1"/>
  <c r="J852" i="2"/>
  <c r="K852" i="2" s="1"/>
  <c r="J844" i="2"/>
  <c r="K844" i="2" s="1"/>
  <c r="J842" i="2"/>
  <c r="K842" i="2" s="1"/>
  <c r="J827" i="2"/>
  <c r="K827" i="2" s="1"/>
  <c r="J825" i="2"/>
  <c r="K825" i="2" s="1"/>
  <c r="J820" i="2"/>
  <c r="K820" i="2" s="1"/>
  <c r="J817" i="2"/>
  <c r="K817" i="2" s="1"/>
  <c r="J814" i="2"/>
  <c r="K814" i="2" s="1"/>
  <c r="J794" i="2"/>
  <c r="K794" i="2" s="1"/>
  <c r="J791" i="2"/>
  <c r="K791" i="2" s="1"/>
  <c r="J786" i="2"/>
  <c r="K786" i="2" s="1"/>
  <c r="J778" i="2"/>
  <c r="K778" i="2" s="1"/>
  <c r="J767" i="2"/>
  <c r="K767" i="2" s="1"/>
  <c r="J765" i="2"/>
  <c r="K765" i="2" s="1"/>
  <c r="J758" i="2"/>
  <c r="K758" i="2" s="1"/>
  <c r="J751" i="2"/>
  <c r="K751" i="2" s="1"/>
  <c r="J745" i="2"/>
  <c r="K745" i="2" s="1"/>
  <c r="J742" i="2"/>
  <c r="K742" i="2" s="1"/>
  <c r="J736" i="2"/>
  <c r="K736" i="2" s="1"/>
  <c r="J734" i="2"/>
  <c r="K734" i="2" s="1"/>
  <c r="J732" i="2"/>
  <c r="K732" i="2" s="1"/>
  <c r="J721" i="2"/>
  <c r="K721" i="2" s="1"/>
  <c r="J720" i="2"/>
  <c r="K720" i="2" s="1"/>
  <c r="J714" i="2"/>
  <c r="K714" i="2" s="1"/>
  <c r="J697" i="2"/>
  <c r="K697" i="2" s="1"/>
  <c r="J692" i="2"/>
  <c r="K692" i="2" s="1"/>
  <c r="J690" i="2"/>
  <c r="K690" i="2" s="1"/>
  <c r="J674" i="2"/>
  <c r="K674" i="2" s="1"/>
  <c r="J666" i="2"/>
  <c r="K666" i="2" s="1"/>
  <c r="J662" i="2"/>
  <c r="K662" i="2" s="1"/>
  <c r="J658" i="2"/>
  <c r="K658" i="2" s="1"/>
  <c r="J657" i="2"/>
  <c r="K657" i="2" s="1"/>
  <c r="J648" i="2"/>
  <c r="K648" i="2" s="1"/>
  <c r="J647" i="2"/>
  <c r="K647" i="2" s="1"/>
  <c r="J639" i="2"/>
  <c r="K639" i="2" s="1"/>
  <c r="J630" i="2"/>
  <c r="K630" i="2" s="1"/>
  <c r="J629" i="2"/>
  <c r="K629" i="2" s="1"/>
  <c r="J627" i="2"/>
  <c r="K627" i="2" s="1"/>
  <c r="J623" i="2"/>
  <c r="K623" i="2" s="1"/>
  <c r="J617" i="2"/>
  <c r="K617" i="2" s="1"/>
  <c r="J587" i="2"/>
  <c r="K587" i="2" s="1"/>
  <c r="J582" i="2"/>
  <c r="K582" i="2" s="1"/>
  <c r="J565" i="2"/>
  <c r="K565" i="2" s="1"/>
  <c r="J560" i="2"/>
  <c r="K560" i="2" s="1"/>
  <c r="J559" i="2"/>
  <c r="K559" i="2" s="1"/>
  <c r="J558" i="2"/>
  <c r="K558" i="2" s="1"/>
  <c r="J556" i="2"/>
  <c r="K556" i="2" s="1"/>
  <c r="J555" i="2"/>
  <c r="K555" i="2" s="1"/>
  <c r="J553" i="2"/>
  <c r="K553" i="2" s="1"/>
  <c r="J534" i="2"/>
  <c r="K534" i="2" s="1"/>
  <c r="J520" i="2"/>
  <c r="K520" i="2" s="1"/>
  <c r="J512" i="2"/>
  <c r="K512" i="2" s="1"/>
  <c r="J498" i="2"/>
  <c r="K498" i="2" s="1"/>
  <c r="J489" i="2"/>
  <c r="K489" i="2" s="1"/>
  <c r="J476" i="2"/>
  <c r="K476" i="2" s="1"/>
  <c r="J473" i="2"/>
  <c r="K473" i="2" s="1"/>
  <c r="J463" i="2"/>
  <c r="K463" i="2" s="1"/>
  <c r="J458" i="2"/>
  <c r="K458" i="2" s="1"/>
  <c r="J450" i="2"/>
  <c r="K450" i="2" s="1"/>
  <c r="J440" i="2"/>
  <c r="K440" i="2" s="1"/>
  <c r="J438" i="2"/>
  <c r="K438" i="2" s="1"/>
  <c r="J423" i="2"/>
  <c r="K423" i="2" s="1"/>
  <c r="J417" i="2"/>
  <c r="K417" i="2" s="1"/>
  <c r="J416" i="2"/>
  <c r="K416" i="2" s="1"/>
  <c r="J414" i="2"/>
  <c r="K414" i="2" s="1"/>
  <c r="J406" i="2"/>
  <c r="K406" i="2" s="1"/>
  <c r="J395" i="2"/>
  <c r="K395" i="2" s="1"/>
  <c r="J377" i="2"/>
  <c r="K377" i="2" s="1"/>
  <c r="J373" i="2"/>
  <c r="K373" i="2" s="1"/>
  <c r="J368" i="2"/>
  <c r="K368" i="2" s="1"/>
  <c r="J366" i="2"/>
  <c r="K366" i="2" s="1"/>
  <c r="J363" i="2"/>
  <c r="K363" i="2" s="1"/>
  <c r="J343" i="2"/>
  <c r="K343" i="2" s="1"/>
  <c r="J339" i="2"/>
  <c r="K339" i="2" s="1"/>
  <c r="J332" i="2"/>
  <c r="K332" i="2" s="1"/>
  <c r="J329" i="2"/>
  <c r="K329" i="2" s="1"/>
  <c r="J310" i="2"/>
  <c r="K310" i="2" s="1"/>
  <c r="J299" i="2"/>
  <c r="K299" i="2" s="1"/>
  <c r="J294" i="2"/>
  <c r="K294" i="2" s="1"/>
  <c r="J292" i="2"/>
  <c r="K292" i="2" s="1"/>
  <c r="J277" i="2"/>
  <c r="K277" i="2" s="1"/>
  <c r="J270" i="2"/>
  <c r="K270" i="2" s="1"/>
  <c r="J268" i="2"/>
  <c r="K268" i="2" s="1"/>
  <c r="J267" i="2"/>
  <c r="K267" i="2" s="1"/>
  <c r="J265" i="2"/>
  <c r="K265" i="2" s="1"/>
  <c r="J263" i="2"/>
  <c r="K263" i="2" s="1"/>
  <c r="J261" i="2"/>
  <c r="K261" i="2" s="1"/>
  <c r="J257" i="2"/>
  <c r="K257" i="2" s="1"/>
  <c r="J248" i="2"/>
  <c r="K248" i="2" s="1"/>
  <c r="J243" i="2"/>
  <c r="K243" i="2" s="1"/>
  <c r="J242" i="2"/>
  <c r="K242" i="2" s="1"/>
  <c r="J237" i="2"/>
  <c r="K237" i="2" s="1"/>
  <c r="J225" i="2"/>
  <c r="K225" i="2" s="1"/>
  <c r="J224" i="2"/>
  <c r="K224" i="2" s="1"/>
  <c r="J223" i="2"/>
  <c r="K223" i="2" s="1"/>
  <c r="J198" i="2"/>
  <c r="K198" i="2" s="1"/>
  <c r="J188" i="2"/>
  <c r="K188" i="2" s="1"/>
  <c r="J177" i="2"/>
  <c r="K177" i="2" s="1"/>
  <c r="J173" i="2"/>
  <c r="K173" i="2" s="1"/>
  <c r="J172" i="2"/>
  <c r="K172" i="2" s="1"/>
  <c r="J169" i="2"/>
  <c r="K169" i="2" s="1"/>
  <c r="J166" i="2"/>
  <c r="K166" i="2" s="1"/>
  <c r="J161" i="2"/>
  <c r="K161" i="2" s="1"/>
  <c r="J157" i="2"/>
  <c r="K157" i="2" s="1"/>
  <c r="J145" i="2"/>
  <c r="K145" i="2" s="1"/>
  <c r="J142" i="2"/>
  <c r="K142" i="2" s="1"/>
  <c r="J136" i="2"/>
  <c r="K136" i="2" s="1"/>
  <c r="J127" i="2"/>
  <c r="K127" i="2" s="1"/>
  <c r="J111" i="2"/>
  <c r="K111" i="2" s="1"/>
  <c r="J93" i="2"/>
  <c r="J92" i="2"/>
  <c r="K92" i="2" s="1"/>
  <c r="J88" i="2"/>
  <c r="K88" i="2" s="1"/>
  <c r="J87" i="2"/>
  <c r="K87" i="2" s="1"/>
  <c r="J70" i="2"/>
  <c r="K70" i="2" s="1"/>
  <c r="J66" i="2"/>
  <c r="K66" i="2" s="1"/>
  <c r="J65" i="2"/>
  <c r="K65" i="2" s="1"/>
  <c r="J53" i="2"/>
  <c r="K53" i="2" s="1"/>
  <c r="J30" i="2"/>
  <c r="K30" i="2" s="1"/>
  <c r="J18" i="2"/>
  <c r="K18" i="2" s="1"/>
  <c r="J14" i="2"/>
  <c r="K14" i="2" s="1"/>
  <c r="J8" i="2"/>
  <c r="K8" i="2" s="1"/>
  <c r="J2" i="2"/>
  <c r="K2" i="2" s="1"/>
  <c r="AA1" i="2"/>
  <c r="J960" i="2" s="1"/>
  <c r="K960" i="2" s="1"/>
  <c r="I876" i="2"/>
  <c r="I850" i="2"/>
  <c r="I705" i="2"/>
  <c r="I704" i="2"/>
  <c r="I483" i="2"/>
  <c r="I236" i="2"/>
  <c r="I210" i="2"/>
  <c r="I124" i="2"/>
  <c r="I115" i="2"/>
  <c r="I11" i="2"/>
  <c r="H908" i="2"/>
  <c r="H905" i="2"/>
  <c r="H889" i="2"/>
  <c r="H828" i="2"/>
  <c r="H827" i="2"/>
  <c r="H652" i="2"/>
  <c r="H627" i="2"/>
  <c r="H620" i="2"/>
  <c r="H616" i="2"/>
  <c r="H508" i="2"/>
  <c r="H428" i="2"/>
  <c r="H380" i="2"/>
  <c r="H379" i="2"/>
  <c r="H140" i="2"/>
  <c r="H123" i="2"/>
  <c r="H73" i="2"/>
  <c r="H51" i="2"/>
  <c r="H50" i="2"/>
  <c r="G1002" i="2"/>
  <c r="G1001" i="2"/>
  <c r="I1001" i="2" s="1"/>
  <c r="G1000" i="2"/>
  <c r="I1000" i="2" s="1"/>
  <c r="G999" i="2"/>
  <c r="H999" i="2" s="1"/>
  <c r="G998" i="2"/>
  <c r="I998" i="2" s="1"/>
  <c r="G997" i="2"/>
  <c r="G996" i="2"/>
  <c r="G995" i="2"/>
  <c r="G994" i="2"/>
  <c r="G993" i="2"/>
  <c r="G992" i="2"/>
  <c r="G991" i="2"/>
  <c r="G990" i="2"/>
  <c r="I990" i="2" s="1"/>
  <c r="G989" i="2"/>
  <c r="G988" i="2"/>
  <c r="I988" i="2" s="1"/>
  <c r="G987" i="2"/>
  <c r="I987" i="2" s="1"/>
  <c r="G986" i="2"/>
  <c r="I986" i="2" s="1"/>
  <c r="G985" i="2"/>
  <c r="H985" i="2" s="1"/>
  <c r="G984" i="2"/>
  <c r="I984" i="2" s="1"/>
  <c r="G983" i="2"/>
  <c r="G982" i="2"/>
  <c r="H982" i="2" s="1"/>
  <c r="G981" i="2"/>
  <c r="I981" i="2" s="1"/>
  <c r="G980" i="2"/>
  <c r="G979" i="2"/>
  <c r="G978" i="2"/>
  <c r="G977" i="2"/>
  <c r="G976" i="2"/>
  <c r="G975" i="2"/>
  <c r="G974" i="2"/>
  <c r="H974" i="2" s="1"/>
  <c r="G973" i="2"/>
  <c r="H973" i="2" s="1"/>
  <c r="G972" i="2"/>
  <c r="H972" i="2" s="1"/>
  <c r="G971" i="2"/>
  <c r="I971" i="2" s="1"/>
  <c r="G970" i="2"/>
  <c r="G969" i="2"/>
  <c r="I969" i="2" s="1"/>
  <c r="G968" i="2"/>
  <c r="I968" i="2" s="1"/>
  <c r="G967" i="2"/>
  <c r="G966" i="2"/>
  <c r="G965" i="2"/>
  <c r="I965" i="2" s="1"/>
  <c r="G964" i="2"/>
  <c r="G963" i="2"/>
  <c r="G962" i="2"/>
  <c r="G961" i="2"/>
  <c r="G960" i="2"/>
  <c r="G959" i="2"/>
  <c r="G958" i="2"/>
  <c r="G957" i="2"/>
  <c r="I957" i="2" s="1"/>
  <c r="G956" i="2"/>
  <c r="H956" i="2" s="1"/>
  <c r="G955" i="2"/>
  <c r="I955" i="2" s="1"/>
  <c r="G954" i="2"/>
  <c r="G953" i="2"/>
  <c r="H953" i="2" s="1"/>
  <c r="G952" i="2"/>
  <c r="I952" i="2" s="1"/>
  <c r="G951" i="2"/>
  <c r="I951" i="2" s="1"/>
  <c r="G950" i="2"/>
  <c r="I950" i="2" s="1"/>
  <c r="G949" i="2"/>
  <c r="G948" i="2"/>
  <c r="G947" i="2"/>
  <c r="G946" i="2"/>
  <c r="G945" i="2"/>
  <c r="G944" i="2"/>
  <c r="G943" i="2"/>
  <c r="G942" i="2"/>
  <c r="H942" i="2" s="1"/>
  <c r="G941" i="2"/>
  <c r="I941" i="2" s="1"/>
  <c r="G940" i="2"/>
  <c r="I940" i="2" s="1"/>
  <c r="G939" i="2"/>
  <c r="I939" i="2" s="1"/>
  <c r="G938" i="2"/>
  <c r="G937" i="2"/>
  <c r="H937" i="2" s="1"/>
  <c r="G936" i="2"/>
  <c r="I936" i="2" s="1"/>
  <c r="G935" i="2"/>
  <c r="G934" i="2"/>
  <c r="H934" i="2" s="1"/>
  <c r="G933" i="2"/>
  <c r="G932" i="2"/>
  <c r="I932" i="2" s="1"/>
  <c r="G931" i="2"/>
  <c r="G930" i="2"/>
  <c r="G929" i="2"/>
  <c r="G928" i="2"/>
  <c r="H928" i="2" s="1"/>
  <c r="G927" i="2"/>
  <c r="I927" i="2" s="1"/>
  <c r="G926" i="2"/>
  <c r="G925" i="2"/>
  <c r="G924" i="2"/>
  <c r="I924" i="2" s="1"/>
  <c r="G923" i="2"/>
  <c r="I923" i="2" s="1"/>
  <c r="G922" i="2"/>
  <c r="G921" i="2"/>
  <c r="I921" i="2" s="1"/>
  <c r="G920" i="2"/>
  <c r="G919" i="2"/>
  <c r="G918" i="2"/>
  <c r="G917" i="2"/>
  <c r="G916" i="2"/>
  <c r="G915" i="2"/>
  <c r="G914" i="2"/>
  <c r="G913" i="2"/>
  <c r="G912" i="2"/>
  <c r="G911" i="2"/>
  <c r="I911" i="2" s="1"/>
  <c r="G910" i="2"/>
  <c r="H910" i="2" s="1"/>
  <c r="G909" i="2"/>
  <c r="I909" i="2" s="1"/>
  <c r="G908" i="2"/>
  <c r="I908" i="2" s="1"/>
  <c r="G907" i="2"/>
  <c r="G906" i="2"/>
  <c r="I906" i="2" s="1"/>
  <c r="G905" i="2"/>
  <c r="I905" i="2" s="1"/>
  <c r="G904" i="2"/>
  <c r="G903" i="2"/>
  <c r="G902" i="2"/>
  <c r="G901" i="2"/>
  <c r="H901" i="2" s="1"/>
  <c r="G900" i="2"/>
  <c r="G899" i="2"/>
  <c r="G898" i="2"/>
  <c r="G897" i="2"/>
  <c r="G896" i="2"/>
  <c r="H896" i="2" s="1"/>
  <c r="G895" i="2"/>
  <c r="H895" i="2" s="1"/>
  <c r="G894" i="2"/>
  <c r="G893" i="2"/>
  <c r="G892" i="2"/>
  <c r="I892" i="2" s="1"/>
  <c r="G891" i="2"/>
  <c r="I891" i="2" s="1"/>
  <c r="G890" i="2"/>
  <c r="G889" i="2"/>
  <c r="I889" i="2" s="1"/>
  <c r="G888" i="2"/>
  <c r="G887" i="2"/>
  <c r="G886" i="2"/>
  <c r="G885" i="2"/>
  <c r="I885" i="2" s="1"/>
  <c r="G884" i="2"/>
  <c r="I884" i="2" s="1"/>
  <c r="G883" i="2"/>
  <c r="G882" i="2"/>
  <c r="G881" i="2"/>
  <c r="G880" i="2"/>
  <c r="H880" i="2" s="1"/>
  <c r="G879" i="2"/>
  <c r="I879" i="2" s="1"/>
  <c r="G878" i="2"/>
  <c r="I878" i="2" s="1"/>
  <c r="G877" i="2"/>
  <c r="H877" i="2" s="1"/>
  <c r="G876" i="2"/>
  <c r="H876" i="2" s="1"/>
  <c r="G875" i="2"/>
  <c r="G874" i="2"/>
  <c r="I874" i="2" s="1"/>
  <c r="G873" i="2"/>
  <c r="H873" i="2" s="1"/>
  <c r="G872" i="2"/>
  <c r="G871" i="2"/>
  <c r="I871" i="2" s="1"/>
  <c r="G870" i="2"/>
  <c r="G869" i="2"/>
  <c r="G868" i="2"/>
  <c r="G867" i="2"/>
  <c r="H867" i="2" s="1"/>
  <c r="G866" i="2"/>
  <c r="G865" i="2"/>
  <c r="G864" i="2"/>
  <c r="I864" i="2" s="1"/>
  <c r="G863" i="2"/>
  <c r="I863" i="2" s="1"/>
  <c r="G862" i="2"/>
  <c r="I862" i="2" s="1"/>
  <c r="G861" i="2"/>
  <c r="G860" i="2"/>
  <c r="H860" i="2" s="1"/>
  <c r="G859" i="2"/>
  <c r="I859" i="2" s="1"/>
  <c r="G858" i="2"/>
  <c r="I858" i="2" s="1"/>
  <c r="G857" i="2"/>
  <c r="I857" i="2" s="1"/>
  <c r="G856" i="2"/>
  <c r="G855" i="2"/>
  <c r="G854" i="2"/>
  <c r="I854" i="2" s="1"/>
  <c r="G853" i="2"/>
  <c r="I853" i="2" s="1"/>
  <c r="G852" i="2"/>
  <c r="G851" i="2"/>
  <c r="G850" i="2"/>
  <c r="H850" i="2" s="1"/>
  <c r="G849" i="2"/>
  <c r="H849" i="2" s="1"/>
  <c r="G848" i="2"/>
  <c r="I848" i="2" s="1"/>
  <c r="G847" i="2"/>
  <c r="G846" i="2"/>
  <c r="G845" i="2"/>
  <c r="G844" i="2"/>
  <c r="I844" i="2" s="1"/>
  <c r="G843" i="2"/>
  <c r="I843" i="2" s="1"/>
  <c r="G842" i="2"/>
  <c r="G841" i="2"/>
  <c r="I841" i="2" s="1"/>
  <c r="G840" i="2"/>
  <c r="I840" i="2" s="1"/>
  <c r="G839" i="2"/>
  <c r="G838" i="2"/>
  <c r="I838" i="2" s="1"/>
  <c r="G837" i="2"/>
  <c r="G836" i="2"/>
  <c r="G835" i="2"/>
  <c r="I835" i="2" s="1"/>
  <c r="G834" i="2"/>
  <c r="G833" i="2"/>
  <c r="G832" i="2"/>
  <c r="H832" i="2" s="1"/>
  <c r="G831" i="2"/>
  <c r="G830" i="2"/>
  <c r="H830" i="2" s="1"/>
  <c r="G829" i="2"/>
  <c r="G828" i="2"/>
  <c r="I828" i="2" s="1"/>
  <c r="G827" i="2"/>
  <c r="I827" i="2" s="1"/>
  <c r="G826" i="2"/>
  <c r="G825" i="2"/>
  <c r="I825" i="2" s="1"/>
  <c r="G824" i="2"/>
  <c r="I824" i="2" s="1"/>
  <c r="G823" i="2"/>
  <c r="G822" i="2"/>
  <c r="G821" i="2"/>
  <c r="G820" i="2"/>
  <c r="G819" i="2"/>
  <c r="G818" i="2"/>
  <c r="G817" i="2"/>
  <c r="G816" i="2"/>
  <c r="I816" i="2" s="1"/>
  <c r="G815" i="2"/>
  <c r="G814" i="2"/>
  <c r="I814" i="2" s="1"/>
  <c r="G813" i="2"/>
  <c r="G812" i="2"/>
  <c r="G811" i="2"/>
  <c r="I811" i="2" s="1"/>
  <c r="G810" i="2"/>
  <c r="G809" i="2"/>
  <c r="G808" i="2"/>
  <c r="H808" i="2" s="1"/>
  <c r="G807" i="2"/>
  <c r="G806" i="2"/>
  <c r="H806" i="2" s="1"/>
  <c r="G805" i="2"/>
  <c r="H805" i="2" s="1"/>
  <c r="G804" i="2"/>
  <c r="G803" i="2"/>
  <c r="H803" i="2" s="1"/>
  <c r="G802" i="2"/>
  <c r="G801" i="2"/>
  <c r="G800" i="2"/>
  <c r="I800" i="2" s="1"/>
  <c r="G799" i="2"/>
  <c r="I799" i="2" s="1"/>
  <c r="G798" i="2"/>
  <c r="I798" i="2" s="1"/>
  <c r="G797" i="2"/>
  <c r="G796" i="2"/>
  <c r="G795" i="2"/>
  <c r="G794" i="2"/>
  <c r="I794" i="2" s="1"/>
  <c r="G793" i="2"/>
  <c r="G792" i="2"/>
  <c r="I792" i="2" s="1"/>
  <c r="G791" i="2"/>
  <c r="G790" i="2"/>
  <c r="I790" i="2" s="1"/>
  <c r="G789" i="2"/>
  <c r="H789" i="2" s="1"/>
  <c r="G788" i="2"/>
  <c r="G787" i="2"/>
  <c r="H787" i="2" s="1"/>
  <c r="G786" i="2"/>
  <c r="G785" i="2"/>
  <c r="G784" i="2"/>
  <c r="H784" i="2" s="1"/>
  <c r="G783" i="2"/>
  <c r="G782" i="2"/>
  <c r="G781" i="2"/>
  <c r="G780" i="2"/>
  <c r="I780" i="2" s="1"/>
  <c r="G779" i="2"/>
  <c r="G778" i="2"/>
  <c r="I778" i="2" s="1"/>
  <c r="G777" i="2"/>
  <c r="I777" i="2" s="1"/>
  <c r="G776" i="2"/>
  <c r="I776" i="2" s="1"/>
  <c r="G775" i="2"/>
  <c r="I775" i="2" s="1"/>
  <c r="G774" i="2"/>
  <c r="I774" i="2" s="1"/>
  <c r="G773" i="2"/>
  <c r="G772" i="2"/>
  <c r="I772" i="2" s="1"/>
  <c r="G771" i="2"/>
  <c r="H771" i="2" s="1"/>
  <c r="G770" i="2"/>
  <c r="G769" i="2"/>
  <c r="G768" i="2"/>
  <c r="G767" i="2"/>
  <c r="G766" i="2"/>
  <c r="I766" i="2" s="1"/>
  <c r="G765" i="2"/>
  <c r="G764" i="2"/>
  <c r="H764" i="2" s="1"/>
  <c r="G763" i="2"/>
  <c r="H763" i="2" s="1"/>
  <c r="G762" i="2"/>
  <c r="G761" i="2"/>
  <c r="G760" i="2"/>
  <c r="I760" i="2" s="1"/>
  <c r="G759" i="2"/>
  <c r="G758" i="2"/>
  <c r="G757" i="2"/>
  <c r="I757" i="2" s="1"/>
  <c r="G756" i="2"/>
  <c r="G755" i="2"/>
  <c r="I755" i="2" s="1"/>
  <c r="G754" i="2"/>
  <c r="H754" i="2" s="1"/>
  <c r="G753" i="2"/>
  <c r="H753" i="2" s="1"/>
  <c r="G752" i="2"/>
  <c r="I752" i="2" s="1"/>
  <c r="G751" i="2"/>
  <c r="G750" i="2"/>
  <c r="H750" i="2" s="1"/>
  <c r="G749" i="2"/>
  <c r="I749" i="2" s="1"/>
  <c r="G748" i="2"/>
  <c r="I748" i="2" s="1"/>
  <c r="G747" i="2"/>
  <c r="I747" i="2" s="1"/>
  <c r="G746" i="2"/>
  <c r="G745" i="2"/>
  <c r="G744" i="2"/>
  <c r="G743" i="2"/>
  <c r="G742" i="2"/>
  <c r="I742" i="2" s="1"/>
  <c r="G741" i="2"/>
  <c r="H741" i="2" s="1"/>
  <c r="G740" i="2"/>
  <c r="G739" i="2"/>
  <c r="I739" i="2" s="1"/>
  <c r="G738" i="2"/>
  <c r="I738" i="2" s="1"/>
  <c r="G737" i="2"/>
  <c r="G736" i="2"/>
  <c r="G735" i="2"/>
  <c r="G734" i="2"/>
  <c r="G733" i="2"/>
  <c r="G732" i="2"/>
  <c r="I732" i="2" s="1"/>
  <c r="G731" i="2"/>
  <c r="I731" i="2" s="1"/>
  <c r="G730" i="2"/>
  <c r="I730" i="2" s="1"/>
  <c r="G729" i="2"/>
  <c r="I729" i="2" s="1"/>
  <c r="G728" i="2"/>
  <c r="H728" i="2" s="1"/>
  <c r="G727" i="2"/>
  <c r="G726" i="2"/>
  <c r="H726" i="2" s="1"/>
  <c r="G725" i="2"/>
  <c r="I725" i="2" s="1"/>
  <c r="G724" i="2"/>
  <c r="G723" i="2"/>
  <c r="I723" i="2" s="1"/>
  <c r="G722" i="2"/>
  <c r="G721" i="2"/>
  <c r="G720" i="2"/>
  <c r="G719" i="2"/>
  <c r="G718" i="2"/>
  <c r="I718" i="2" s="1"/>
  <c r="G717" i="2"/>
  <c r="G716" i="2"/>
  <c r="G715" i="2"/>
  <c r="H715" i="2" s="1"/>
  <c r="G714" i="2"/>
  <c r="G713" i="2"/>
  <c r="I713" i="2" s="1"/>
  <c r="G712" i="2"/>
  <c r="I712" i="2" s="1"/>
  <c r="G711" i="2"/>
  <c r="H711" i="2" s="1"/>
  <c r="G710" i="2"/>
  <c r="H710" i="2" s="1"/>
  <c r="G709" i="2"/>
  <c r="G708" i="2"/>
  <c r="I708" i="2" s="1"/>
  <c r="G707" i="2"/>
  <c r="I707" i="2" s="1"/>
  <c r="G706" i="2"/>
  <c r="I706" i="2" s="1"/>
  <c r="G705" i="2"/>
  <c r="H705" i="2" s="1"/>
  <c r="G704" i="2"/>
  <c r="H704" i="2" s="1"/>
  <c r="G703" i="2"/>
  <c r="I703" i="2" s="1"/>
  <c r="G702" i="2"/>
  <c r="G701" i="2"/>
  <c r="I701" i="2" s="1"/>
  <c r="G700" i="2"/>
  <c r="G699" i="2"/>
  <c r="G698" i="2"/>
  <c r="G697" i="2"/>
  <c r="G696" i="2"/>
  <c r="G695" i="2"/>
  <c r="G694" i="2"/>
  <c r="G693" i="2"/>
  <c r="H693" i="2" s="1"/>
  <c r="G692" i="2"/>
  <c r="G691" i="2"/>
  <c r="I691" i="2" s="1"/>
  <c r="G690" i="2"/>
  <c r="I690" i="2" s="1"/>
  <c r="G689" i="2"/>
  <c r="G688" i="2"/>
  <c r="I688" i="2" s="1"/>
  <c r="G687" i="2"/>
  <c r="I687" i="2" s="1"/>
  <c r="G686" i="2"/>
  <c r="H686" i="2" s="1"/>
  <c r="G685" i="2"/>
  <c r="G684" i="2"/>
  <c r="I684" i="2" s="1"/>
  <c r="G683" i="2"/>
  <c r="G682" i="2"/>
  <c r="I682" i="2" s="1"/>
  <c r="G681" i="2"/>
  <c r="I681" i="2" s="1"/>
  <c r="G680" i="2"/>
  <c r="I680" i="2" s="1"/>
  <c r="G679" i="2"/>
  <c r="I679" i="2" s="1"/>
  <c r="G678" i="2"/>
  <c r="I678" i="2" s="1"/>
  <c r="G677" i="2"/>
  <c r="G676" i="2"/>
  <c r="G675" i="2"/>
  <c r="I675" i="2" s="1"/>
  <c r="G674" i="2"/>
  <c r="I674" i="2" s="1"/>
  <c r="G673" i="2"/>
  <c r="G672" i="2"/>
  <c r="H672" i="2" s="1"/>
  <c r="G671" i="2"/>
  <c r="H671" i="2" s="1"/>
  <c r="G670" i="2"/>
  <c r="G669" i="2"/>
  <c r="H669" i="2" s="1"/>
  <c r="G668" i="2"/>
  <c r="G667" i="2"/>
  <c r="I667" i="2" s="1"/>
  <c r="G666" i="2"/>
  <c r="G665" i="2"/>
  <c r="G664" i="2"/>
  <c r="I664" i="2" s="1"/>
  <c r="G663" i="2"/>
  <c r="I663" i="2" s="1"/>
  <c r="G662" i="2"/>
  <c r="I662" i="2" s="1"/>
  <c r="G661" i="2"/>
  <c r="G660" i="2"/>
  <c r="G659" i="2"/>
  <c r="H659" i="2" s="1"/>
  <c r="G658" i="2"/>
  <c r="G657" i="2"/>
  <c r="G656" i="2"/>
  <c r="I656" i="2" s="1"/>
  <c r="G655" i="2"/>
  <c r="I655" i="2" s="1"/>
  <c r="G654" i="2"/>
  <c r="I654" i="2" s="1"/>
  <c r="G653" i="2"/>
  <c r="I653" i="2" s="1"/>
  <c r="G652" i="2"/>
  <c r="I652" i="2" s="1"/>
  <c r="G651" i="2"/>
  <c r="H651" i="2" s="1"/>
  <c r="G650" i="2"/>
  <c r="I650" i="2" s="1"/>
  <c r="G649" i="2"/>
  <c r="H649" i="2" s="1"/>
  <c r="G648" i="2"/>
  <c r="G647" i="2"/>
  <c r="H647" i="2" s="1"/>
  <c r="G646" i="2"/>
  <c r="G645" i="2"/>
  <c r="G644" i="2"/>
  <c r="G643" i="2"/>
  <c r="G642" i="2"/>
  <c r="G641" i="2"/>
  <c r="G640" i="2"/>
  <c r="H640" i="2" s="1"/>
  <c r="G639" i="2"/>
  <c r="I639" i="2" s="1"/>
  <c r="G638" i="2"/>
  <c r="I638" i="2" s="1"/>
  <c r="G637" i="2"/>
  <c r="I637" i="2" s="1"/>
  <c r="G636" i="2"/>
  <c r="I636" i="2" s="1"/>
  <c r="G635" i="2"/>
  <c r="I635" i="2" s="1"/>
  <c r="G634" i="2"/>
  <c r="G633" i="2"/>
  <c r="I633" i="2" s="1"/>
  <c r="G632" i="2"/>
  <c r="G631" i="2"/>
  <c r="G630" i="2"/>
  <c r="I630" i="2" s="1"/>
  <c r="G629" i="2"/>
  <c r="I629" i="2" s="1"/>
  <c r="G628" i="2"/>
  <c r="G627" i="2"/>
  <c r="I627" i="2" s="1"/>
  <c r="G626" i="2"/>
  <c r="G625" i="2"/>
  <c r="G624" i="2"/>
  <c r="G623" i="2"/>
  <c r="I623" i="2" s="1"/>
  <c r="G622" i="2"/>
  <c r="H622" i="2" s="1"/>
  <c r="G621" i="2"/>
  <c r="G620" i="2"/>
  <c r="I620" i="2" s="1"/>
  <c r="G619" i="2"/>
  <c r="H619" i="2" s="1"/>
  <c r="G618" i="2"/>
  <c r="G617" i="2"/>
  <c r="G616" i="2"/>
  <c r="I616" i="2" s="1"/>
  <c r="G615" i="2"/>
  <c r="G614" i="2"/>
  <c r="G613" i="2"/>
  <c r="I613" i="2" s="1"/>
  <c r="G612" i="2"/>
  <c r="G611" i="2"/>
  <c r="H611" i="2" s="1"/>
  <c r="G610" i="2"/>
  <c r="H610" i="2" s="1"/>
  <c r="G609" i="2"/>
  <c r="G608" i="2"/>
  <c r="G607" i="2"/>
  <c r="G606" i="2"/>
  <c r="I606" i="2" s="1"/>
  <c r="G605" i="2"/>
  <c r="I605" i="2" s="1"/>
  <c r="G604" i="2"/>
  <c r="H604" i="2" s="1"/>
  <c r="G603" i="2"/>
  <c r="I603" i="2" s="1"/>
  <c r="G602" i="2"/>
  <c r="G601" i="2"/>
  <c r="I601" i="2" s="1"/>
  <c r="G600" i="2"/>
  <c r="G599" i="2"/>
  <c r="G598" i="2"/>
  <c r="H598" i="2" s="1"/>
  <c r="G597" i="2"/>
  <c r="H597" i="2" s="1"/>
  <c r="G596" i="2"/>
  <c r="I596" i="2" s="1"/>
  <c r="G595" i="2"/>
  <c r="I595" i="2" s="1"/>
  <c r="G594" i="2"/>
  <c r="I594" i="2" s="1"/>
  <c r="G593" i="2"/>
  <c r="G592" i="2"/>
  <c r="G591" i="2"/>
  <c r="G590" i="2"/>
  <c r="G589" i="2"/>
  <c r="I589" i="2" s="1"/>
  <c r="G588" i="2"/>
  <c r="I588" i="2" s="1"/>
  <c r="G587" i="2"/>
  <c r="H587" i="2" s="1"/>
  <c r="G586" i="2"/>
  <c r="G585" i="2"/>
  <c r="G584" i="2"/>
  <c r="I584" i="2" s="1"/>
  <c r="G583" i="2"/>
  <c r="G582" i="2"/>
  <c r="I582" i="2" s="1"/>
  <c r="G581" i="2"/>
  <c r="H581" i="2" s="1"/>
  <c r="G580" i="2"/>
  <c r="G579" i="2"/>
  <c r="I579" i="2" s="1"/>
  <c r="G578" i="2"/>
  <c r="I578" i="2" s="1"/>
  <c r="G577" i="2"/>
  <c r="G576" i="2"/>
  <c r="I576" i="2" s="1"/>
  <c r="G575" i="2"/>
  <c r="I575" i="2" s="1"/>
  <c r="G574" i="2"/>
  <c r="G573" i="2"/>
  <c r="G572" i="2"/>
  <c r="I572" i="2" s="1"/>
  <c r="G571" i="2"/>
  <c r="I571" i="2" s="1"/>
  <c r="G570" i="2"/>
  <c r="G569" i="2"/>
  <c r="I569" i="2" s="1"/>
  <c r="G568" i="2"/>
  <c r="G567" i="2"/>
  <c r="I567" i="2" s="1"/>
  <c r="G566" i="2"/>
  <c r="G565" i="2"/>
  <c r="H565" i="2" s="1"/>
  <c r="G564" i="2"/>
  <c r="G563" i="2"/>
  <c r="H563" i="2" s="1"/>
  <c r="G562" i="2"/>
  <c r="I562" i="2" s="1"/>
  <c r="G561" i="2"/>
  <c r="H561" i="2" s="1"/>
  <c r="G560" i="2"/>
  <c r="G559" i="2"/>
  <c r="G558" i="2"/>
  <c r="H558" i="2" s="1"/>
  <c r="G557" i="2"/>
  <c r="H557" i="2" s="1"/>
  <c r="G556" i="2"/>
  <c r="H556" i="2" s="1"/>
  <c r="G555" i="2"/>
  <c r="I555" i="2" s="1"/>
  <c r="G554" i="2"/>
  <c r="G553" i="2"/>
  <c r="I553" i="2" s="1"/>
  <c r="G552" i="2"/>
  <c r="I552" i="2" s="1"/>
  <c r="G551" i="2"/>
  <c r="I551" i="2" s="1"/>
  <c r="G550" i="2"/>
  <c r="G549" i="2"/>
  <c r="G548" i="2"/>
  <c r="I548" i="2" s="1"/>
  <c r="G547" i="2"/>
  <c r="G546" i="2"/>
  <c r="G545" i="2"/>
  <c r="G544" i="2"/>
  <c r="G543" i="2"/>
  <c r="I543" i="2" s="1"/>
  <c r="G542" i="2"/>
  <c r="H542" i="2" s="1"/>
  <c r="G541" i="2"/>
  <c r="I541" i="2" s="1"/>
  <c r="G540" i="2"/>
  <c r="H540" i="2" s="1"/>
  <c r="G539" i="2"/>
  <c r="G538" i="2"/>
  <c r="G537" i="2"/>
  <c r="I537" i="2" s="1"/>
  <c r="G536" i="2"/>
  <c r="G535" i="2"/>
  <c r="G534" i="2"/>
  <c r="I534" i="2" s="1"/>
  <c r="G533" i="2"/>
  <c r="I533" i="2" s="1"/>
  <c r="G532" i="2"/>
  <c r="G531" i="2"/>
  <c r="I531" i="2" s="1"/>
  <c r="G530" i="2"/>
  <c r="G529" i="2"/>
  <c r="G528" i="2"/>
  <c r="G527" i="2"/>
  <c r="I527" i="2" s="1"/>
  <c r="G526" i="2"/>
  <c r="I526" i="2" s="1"/>
  <c r="G525" i="2"/>
  <c r="I525" i="2" s="1"/>
  <c r="G524" i="2"/>
  <c r="I524" i="2" s="1"/>
  <c r="G523" i="2"/>
  <c r="G522" i="2"/>
  <c r="H522" i="2" s="1"/>
  <c r="G521" i="2"/>
  <c r="G520" i="2"/>
  <c r="G519" i="2"/>
  <c r="I519" i="2" s="1"/>
  <c r="G518" i="2"/>
  <c r="G517" i="2"/>
  <c r="I517" i="2" s="1"/>
  <c r="G516" i="2"/>
  <c r="G515" i="2"/>
  <c r="G514" i="2"/>
  <c r="I514" i="2" s="1"/>
  <c r="G513" i="2"/>
  <c r="H513" i="2" s="1"/>
  <c r="G512" i="2"/>
  <c r="H512" i="2" s="1"/>
  <c r="G511" i="2"/>
  <c r="G510" i="2"/>
  <c r="G509" i="2"/>
  <c r="G508" i="2"/>
  <c r="I508" i="2" s="1"/>
  <c r="G507" i="2"/>
  <c r="I507" i="2" s="1"/>
  <c r="G506" i="2"/>
  <c r="I506" i="2" s="1"/>
  <c r="G505" i="2"/>
  <c r="G504" i="2"/>
  <c r="I504" i="2" s="1"/>
  <c r="G503" i="2"/>
  <c r="I503" i="2" s="1"/>
  <c r="G502" i="2"/>
  <c r="I502" i="2" s="1"/>
  <c r="G501" i="2"/>
  <c r="H501" i="2" s="1"/>
  <c r="G500" i="2"/>
  <c r="I500" i="2" s="1"/>
  <c r="G499" i="2"/>
  <c r="I499" i="2" s="1"/>
  <c r="G498" i="2"/>
  <c r="G497" i="2"/>
  <c r="G496" i="2"/>
  <c r="G495" i="2"/>
  <c r="G494" i="2"/>
  <c r="G493" i="2"/>
  <c r="I493" i="2" s="1"/>
  <c r="G492" i="2"/>
  <c r="I492" i="2" s="1"/>
  <c r="G491" i="2"/>
  <c r="H491" i="2" s="1"/>
  <c r="G490" i="2"/>
  <c r="G489" i="2"/>
  <c r="G488" i="2"/>
  <c r="G487" i="2"/>
  <c r="I487" i="2" s="1"/>
  <c r="G486" i="2"/>
  <c r="G485" i="2"/>
  <c r="G484" i="2"/>
  <c r="G483" i="2"/>
  <c r="H483" i="2" s="1"/>
  <c r="G482" i="2"/>
  <c r="I482" i="2" s="1"/>
  <c r="G481" i="2"/>
  <c r="G480" i="2"/>
  <c r="G479" i="2"/>
  <c r="I479" i="2" s="1"/>
  <c r="G478" i="2"/>
  <c r="G477" i="2"/>
  <c r="G476" i="2"/>
  <c r="I476" i="2" s="1"/>
  <c r="G475" i="2"/>
  <c r="I475" i="2" s="1"/>
  <c r="G474" i="2"/>
  <c r="G473" i="2"/>
  <c r="H473" i="2" s="1"/>
  <c r="G472" i="2"/>
  <c r="G471" i="2"/>
  <c r="H471" i="2" s="1"/>
  <c r="G470" i="2"/>
  <c r="G469" i="2"/>
  <c r="I469" i="2" s="1"/>
  <c r="G468" i="2"/>
  <c r="G467" i="2"/>
  <c r="I467" i="2" s="1"/>
  <c r="G466" i="2"/>
  <c r="I466" i="2" s="1"/>
  <c r="G465" i="2"/>
  <c r="G464" i="2"/>
  <c r="I464" i="2" s="1"/>
  <c r="G463" i="2"/>
  <c r="G462" i="2"/>
  <c r="G461" i="2"/>
  <c r="G460" i="2"/>
  <c r="G459" i="2"/>
  <c r="H459" i="2" s="1"/>
  <c r="G458" i="2"/>
  <c r="G457" i="2"/>
  <c r="I457" i="2" s="1"/>
  <c r="G456" i="2"/>
  <c r="I456" i="2" s="1"/>
  <c r="G455" i="2"/>
  <c r="G454" i="2"/>
  <c r="H454" i="2" s="1"/>
  <c r="G453" i="2"/>
  <c r="I453" i="2" s="1"/>
  <c r="G452" i="2"/>
  <c r="G451" i="2"/>
  <c r="I451" i="2" s="1"/>
  <c r="G450" i="2"/>
  <c r="H450" i="2" s="1"/>
  <c r="G449" i="2"/>
  <c r="H449" i="2" s="1"/>
  <c r="G448" i="2"/>
  <c r="G447" i="2"/>
  <c r="G446" i="2"/>
  <c r="G445" i="2"/>
  <c r="I445" i="2" s="1"/>
  <c r="G444" i="2"/>
  <c r="G443" i="2"/>
  <c r="G442" i="2"/>
  <c r="G441" i="2"/>
  <c r="I441" i="2" s="1"/>
  <c r="G440" i="2"/>
  <c r="I440" i="2" s="1"/>
  <c r="G439" i="2"/>
  <c r="I439" i="2" s="1"/>
  <c r="G438" i="2"/>
  <c r="G437" i="2"/>
  <c r="G436" i="2"/>
  <c r="I436" i="2" s="1"/>
  <c r="G435" i="2"/>
  <c r="H435" i="2" s="1"/>
  <c r="G434" i="2"/>
  <c r="I434" i="2" s="1"/>
  <c r="G433" i="2"/>
  <c r="H433" i="2" s="1"/>
  <c r="G432" i="2"/>
  <c r="I432" i="2" s="1"/>
  <c r="G431" i="2"/>
  <c r="I431" i="2" s="1"/>
  <c r="G430" i="2"/>
  <c r="H430" i="2" s="1"/>
  <c r="G429" i="2"/>
  <c r="G428" i="2"/>
  <c r="I428" i="2" s="1"/>
  <c r="G427" i="2"/>
  <c r="G426" i="2"/>
  <c r="I426" i="2" s="1"/>
  <c r="G425" i="2"/>
  <c r="I425" i="2" s="1"/>
  <c r="G424" i="2"/>
  <c r="G423" i="2"/>
  <c r="G422" i="2"/>
  <c r="G421" i="2"/>
  <c r="G420" i="2"/>
  <c r="G419" i="2"/>
  <c r="I419" i="2" s="1"/>
  <c r="G418" i="2"/>
  <c r="G417" i="2"/>
  <c r="H417" i="2" s="1"/>
  <c r="G416" i="2"/>
  <c r="I416" i="2" s="1"/>
  <c r="G415" i="2"/>
  <c r="I415" i="2" s="1"/>
  <c r="G414" i="2"/>
  <c r="I414" i="2" s="1"/>
  <c r="G413" i="2"/>
  <c r="H413" i="2" s="1"/>
  <c r="G412" i="2"/>
  <c r="H412" i="2" s="1"/>
  <c r="G411" i="2"/>
  <c r="H411" i="2" s="1"/>
  <c r="G410" i="2"/>
  <c r="G409" i="2"/>
  <c r="G408" i="2"/>
  <c r="I408" i="2" s="1"/>
  <c r="G407" i="2"/>
  <c r="I407" i="2" s="1"/>
  <c r="G406" i="2"/>
  <c r="I406" i="2" s="1"/>
  <c r="G405" i="2"/>
  <c r="I405" i="2" s="1"/>
  <c r="G404" i="2"/>
  <c r="G403" i="2"/>
  <c r="H403" i="2" s="1"/>
  <c r="G402" i="2"/>
  <c r="I402" i="2" s="1"/>
  <c r="G401" i="2"/>
  <c r="G400" i="2"/>
  <c r="I400" i="2" s="1"/>
  <c r="G399" i="2"/>
  <c r="G398" i="2"/>
  <c r="G397" i="2"/>
  <c r="G396" i="2"/>
  <c r="I396" i="2" s="1"/>
  <c r="G395" i="2"/>
  <c r="H395" i="2" s="1"/>
  <c r="G394" i="2"/>
  <c r="G393" i="2"/>
  <c r="G392" i="2"/>
  <c r="G391" i="2"/>
  <c r="I391" i="2" s="1"/>
  <c r="G390" i="2"/>
  <c r="I390" i="2" s="1"/>
  <c r="G389" i="2"/>
  <c r="I389" i="2" s="1"/>
  <c r="G388" i="2"/>
  <c r="I388" i="2" s="1"/>
  <c r="G387" i="2"/>
  <c r="G386" i="2"/>
  <c r="G385" i="2"/>
  <c r="G384" i="2"/>
  <c r="H384" i="2" s="1"/>
  <c r="G383" i="2"/>
  <c r="I383" i="2" s="1"/>
  <c r="G382" i="2"/>
  <c r="I382" i="2" s="1"/>
  <c r="G381" i="2"/>
  <c r="I381" i="2" s="1"/>
  <c r="G380" i="2"/>
  <c r="I380" i="2" s="1"/>
  <c r="G379" i="2"/>
  <c r="I379" i="2" s="1"/>
  <c r="G378" i="2"/>
  <c r="I378" i="2" s="1"/>
  <c r="G377" i="2"/>
  <c r="I377" i="2" s="1"/>
  <c r="G376" i="2"/>
  <c r="G375" i="2"/>
  <c r="G374" i="2"/>
  <c r="G373" i="2"/>
  <c r="H373" i="2" s="1"/>
  <c r="G372" i="2"/>
  <c r="G371" i="2"/>
  <c r="I371" i="2" s="1"/>
  <c r="G370" i="2"/>
  <c r="G369" i="2"/>
  <c r="G368" i="2"/>
  <c r="G367" i="2"/>
  <c r="H367" i="2" s="1"/>
  <c r="G366" i="2"/>
  <c r="H366" i="2" s="1"/>
  <c r="G365" i="2"/>
  <c r="I365" i="2" s="1"/>
  <c r="G364" i="2"/>
  <c r="I364" i="2" s="1"/>
  <c r="G363" i="2"/>
  <c r="I363" i="2" s="1"/>
  <c r="G362" i="2"/>
  <c r="G361" i="2"/>
  <c r="G360" i="2"/>
  <c r="I360" i="2" s="1"/>
  <c r="G359" i="2"/>
  <c r="G358" i="2"/>
  <c r="G357" i="2"/>
  <c r="I357" i="2" s="1"/>
  <c r="G356" i="2"/>
  <c r="G355" i="2"/>
  <c r="H355" i="2" s="1"/>
  <c r="G354" i="2"/>
  <c r="I354" i="2" s="1"/>
  <c r="G353" i="2"/>
  <c r="G352" i="2"/>
  <c r="G351" i="2"/>
  <c r="G350" i="2"/>
  <c r="I350" i="2" s="1"/>
  <c r="G349" i="2"/>
  <c r="G348" i="2"/>
  <c r="H348" i="2" s="1"/>
  <c r="G347" i="2"/>
  <c r="I347" i="2" s="1"/>
  <c r="G346" i="2"/>
  <c r="G345" i="2"/>
  <c r="G344" i="2"/>
  <c r="G343" i="2"/>
  <c r="H343" i="2" s="1"/>
  <c r="G342" i="2"/>
  <c r="H342" i="2" s="1"/>
  <c r="G341" i="2"/>
  <c r="G340" i="2"/>
  <c r="G339" i="2"/>
  <c r="I339" i="2" s="1"/>
  <c r="G338" i="2"/>
  <c r="G337" i="2"/>
  <c r="G336" i="2"/>
  <c r="G335" i="2"/>
  <c r="G334" i="2"/>
  <c r="G333" i="2"/>
  <c r="I333" i="2" s="1"/>
  <c r="G332" i="2"/>
  <c r="I332" i="2" s="1"/>
  <c r="G331" i="2"/>
  <c r="I331" i="2" s="1"/>
  <c r="G330" i="2"/>
  <c r="I330" i="2" s="1"/>
  <c r="G329" i="2"/>
  <c r="I329" i="2" s="1"/>
  <c r="G328" i="2"/>
  <c r="I328" i="2" s="1"/>
  <c r="G327" i="2"/>
  <c r="H327" i="2" s="1"/>
  <c r="G326" i="2"/>
  <c r="H326" i="2" s="1"/>
  <c r="G325" i="2"/>
  <c r="G324" i="2"/>
  <c r="G323" i="2"/>
  <c r="I323" i="2" s="1"/>
  <c r="G322" i="2"/>
  <c r="H322" i="2" s="1"/>
  <c r="G321" i="2"/>
  <c r="G320" i="2"/>
  <c r="I320" i="2" s="1"/>
  <c r="G319" i="2"/>
  <c r="G318" i="2"/>
  <c r="G317" i="2"/>
  <c r="G316" i="2"/>
  <c r="I316" i="2" s="1"/>
  <c r="G315" i="2"/>
  <c r="I315" i="2" s="1"/>
  <c r="G314" i="2"/>
  <c r="I314" i="2" s="1"/>
  <c r="G313" i="2"/>
  <c r="G312" i="2"/>
  <c r="G311" i="2"/>
  <c r="I311" i="2" s="1"/>
  <c r="G310" i="2"/>
  <c r="G309" i="2"/>
  <c r="I309" i="2" s="1"/>
  <c r="G308" i="2"/>
  <c r="G307" i="2"/>
  <c r="G306" i="2"/>
  <c r="I306" i="2" s="1"/>
  <c r="G305" i="2"/>
  <c r="G304" i="2"/>
  <c r="I304" i="2" s="1"/>
  <c r="G303" i="2"/>
  <c r="I303" i="2" s="1"/>
  <c r="G302" i="2"/>
  <c r="I302" i="2" s="1"/>
  <c r="G301" i="2"/>
  <c r="G300" i="2"/>
  <c r="G299" i="2"/>
  <c r="I299" i="2" s="1"/>
  <c r="G298" i="2"/>
  <c r="G297" i="2"/>
  <c r="G296" i="2"/>
  <c r="I296" i="2" s="1"/>
  <c r="G295" i="2"/>
  <c r="G294" i="2"/>
  <c r="I294" i="2" s="1"/>
  <c r="G293" i="2"/>
  <c r="G292" i="2"/>
  <c r="G291" i="2"/>
  <c r="G290" i="2"/>
  <c r="G289" i="2"/>
  <c r="H289" i="2" s="1"/>
  <c r="G288" i="2"/>
  <c r="I288" i="2" s="1"/>
  <c r="G287" i="2"/>
  <c r="H287" i="2" s="1"/>
  <c r="G286" i="2"/>
  <c r="G285" i="2"/>
  <c r="I285" i="2" s="1"/>
  <c r="G284" i="2"/>
  <c r="G283" i="2"/>
  <c r="H283" i="2" s="1"/>
  <c r="G282" i="2"/>
  <c r="G281" i="2"/>
  <c r="I281" i="2" s="1"/>
  <c r="G280" i="2"/>
  <c r="I280" i="2" s="1"/>
  <c r="G279" i="2"/>
  <c r="I279" i="2" s="1"/>
  <c r="G278" i="2"/>
  <c r="H278" i="2" s="1"/>
  <c r="G277" i="2"/>
  <c r="G276" i="2"/>
  <c r="G275" i="2"/>
  <c r="I275" i="2" s="1"/>
  <c r="G274" i="2"/>
  <c r="G273" i="2"/>
  <c r="G272" i="2"/>
  <c r="H272" i="2" s="1"/>
  <c r="G271" i="2"/>
  <c r="G270" i="2"/>
  <c r="I270" i="2" s="1"/>
  <c r="G269" i="2"/>
  <c r="G268" i="2"/>
  <c r="H268" i="2" s="1"/>
  <c r="G267" i="2"/>
  <c r="H267" i="2" s="1"/>
  <c r="G266" i="2"/>
  <c r="G265" i="2"/>
  <c r="I265" i="2" s="1"/>
  <c r="G264" i="2"/>
  <c r="G263" i="2"/>
  <c r="G262" i="2"/>
  <c r="H262" i="2" s="1"/>
  <c r="G261" i="2"/>
  <c r="I261" i="2" s="1"/>
  <c r="G260" i="2"/>
  <c r="G259" i="2"/>
  <c r="G258" i="2"/>
  <c r="I258" i="2" s="1"/>
  <c r="G257" i="2"/>
  <c r="G256" i="2"/>
  <c r="G255" i="2"/>
  <c r="I255" i="2" s="1"/>
  <c r="G254" i="2"/>
  <c r="I254" i="2" s="1"/>
  <c r="G253" i="2"/>
  <c r="H253" i="2" s="1"/>
  <c r="G252" i="2"/>
  <c r="I252" i="2" s="1"/>
  <c r="G251" i="2"/>
  <c r="I251" i="2" s="1"/>
  <c r="G250" i="2"/>
  <c r="G249" i="2"/>
  <c r="G248" i="2"/>
  <c r="I248" i="2" s="1"/>
  <c r="G247" i="2"/>
  <c r="I247" i="2" s="1"/>
  <c r="G246" i="2"/>
  <c r="I246" i="2" s="1"/>
  <c r="G245" i="2"/>
  <c r="G244" i="2"/>
  <c r="I244" i="2" s="1"/>
  <c r="G243" i="2"/>
  <c r="H243" i="2" s="1"/>
  <c r="G242" i="2"/>
  <c r="H242" i="2" s="1"/>
  <c r="G241" i="2"/>
  <c r="G240" i="2"/>
  <c r="G239" i="2"/>
  <c r="I239" i="2" s="1"/>
  <c r="G238" i="2"/>
  <c r="I238" i="2" s="1"/>
  <c r="G237" i="2"/>
  <c r="I237" i="2" s="1"/>
  <c r="G236" i="2"/>
  <c r="H236" i="2" s="1"/>
  <c r="G235" i="2"/>
  <c r="I235" i="2" s="1"/>
  <c r="G234" i="2"/>
  <c r="I234" i="2" s="1"/>
  <c r="G233" i="2"/>
  <c r="G232" i="2"/>
  <c r="G231" i="2"/>
  <c r="I231" i="2" s="1"/>
  <c r="G230" i="2"/>
  <c r="G229" i="2"/>
  <c r="I229" i="2" s="1"/>
  <c r="G228" i="2"/>
  <c r="G227" i="2"/>
  <c r="H227" i="2" s="1"/>
  <c r="G226" i="2"/>
  <c r="I226" i="2" s="1"/>
  <c r="G225" i="2"/>
  <c r="H225" i="2" s="1"/>
  <c r="G224" i="2"/>
  <c r="G223" i="2"/>
  <c r="G222" i="2"/>
  <c r="G221" i="2"/>
  <c r="I221" i="2" s="1"/>
  <c r="G220" i="2"/>
  <c r="H220" i="2" s="1"/>
  <c r="G219" i="2"/>
  <c r="I219" i="2" s="1"/>
  <c r="G218" i="2"/>
  <c r="G217" i="2"/>
  <c r="I217" i="2" s="1"/>
  <c r="G216" i="2"/>
  <c r="I216" i="2" s="1"/>
  <c r="G215" i="2"/>
  <c r="G214" i="2"/>
  <c r="G213" i="2"/>
  <c r="G212" i="2"/>
  <c r="G211" i="2"/>
  <c r="G210" i="2"/>
  <c r="H210" i="2" s="1"/>
  <c r="G209" i="2"/>
  <c r="H209" i="2" s="1"/>
  <c r="G208" i="2"/>
  <c r="H208" i="2" s="1"/>
  <c r="G207" i="2"/>
  <c r="H207" i="2" s="1"/>
  <c r="G206" i="2"/>
  <c r="I206" i="2" s="1"/>
  <c r="G205" i="2"/>
  <c r="I205" i="2" s="1"/>
  <c r="G204" i="2"/>
  <c r="I204" i="2" s="1"/>
  <c r="G203" i="2"/>
  <c r="I203" i="2" s="1"/>
  <c r="G202" i="2"/>
  <c r="I202" i="2" s="1"/>
  <c r="G201" i="2"/>
  <c r="I201" i="2" s="1"/>
  <c r="G200" i="2"/>
  <c r="I200" i="2" s="1"/>
  <c r="G199" i="2"/>
  <c r="I199" i="2" s="1"/>
  <c r="G198" i="2"/>
  <c r="I198" i="2" s="1"/>
  <c r="G197" i="2"/>
  <c r="I197" i="2" s="1"/>
  <c r="G196" i="2"/>
  <c r="I196" i="2" s="1"/>
  <c r="G195" i="2"/>
  <c r="H195" i="2" s="1"/>
  <c r="G194" i="2"/>
  <c r="G193" i="2"/>
  <c r="H193" i="2" s="1"/>
  <c r="G192" i="2"/>
  <c r="G191" i="2"/>
  <c r="G190" i="2"/>
  <c r="I190" i="2" s="1"/>
  <c r="G189" i="2"/>
  <c r="H189" i="2" s="1"/>
  <c r="G188" i="2"/>
  <c r="I188" i="2" s="1"/>
  <c r="G187" i="2"/>
  <c r="I187" i="2" s="1"/>
  <c r="G186" i="2"/>
  <c r="G185" i="2"/>
  <c r="G184" i="2"/>
  <c r="G183" i="2"/>
  <c r="I183" i="2" s="1"/>
  <c r="G182" i="2"/>
  <c r="I182" i="2" s="1"/>
  <c r="G181" i="2"/>
  <c r="I181" i="2" s="1"/>
  <c r="G180" i="2"/>
  <c r="G179" i="2"/>
  <c r="G178" i="2"/>
  <c r="I178" i="2" s="1"/>
  <c r="G177" i="2"/>
  <c r="G176" i="2"/>
  <c r="G175" i="2"/>
  <c r="I175" i="2" s="1"/>
  <c r="G174" i="2"/>
  <c r="H174" i="2" s="1"/>
  <c r="G173" i="2"/>
  <c r="H173" i="2" s="1"/>
  <c r="G172" i="2"/>
  <c r="I172" i="2" s="1"/>
  <c r="G171" i="2"/>
  <c r="I171" i="2" s="1"/>
  <c r="G170" i="2"/>
  <c r="G169" i="2"/>
  <c r="I169" i="2" s="1"/>
  <c r="G168" i="2"/>
  <c r="I168" i="2" s="1"/>
  <c r="G167" i="2"/>
  <c r="I167" i="2" s="1"/>
  <c r="G166" i="2"/>
  <c r="G165" i="2"/>
  <c r="G164" i="2"/>
  <c r="G163" i="2"/>
  <c r="H163" i="2" s="1"/>
  <c r="G162" i="2"/>
  <c r="I162" i="2" s="1"/>
  <c r="G161" i="2"/>
  <c r="H161" i="2" s="1"/>
  <c r="G160" i="2"/>
  <c r="G159" i="2"/>
  <c r="I159" i="2" s="1"/>
  <c r="G158" i="2"/>
  <c r="I158" i="2" s="1"/>
  <c r="G157" i="2"/>
  <c r="H157" i="2" s="1"/>
  <c r="G156" i="2"/>
  <c r="I156" i="2" s="1"/>
  <c r="G155" i="2"/>
  <c r="I155" i="2" s="1"/>
  <c r="G154" i="2"/>
  <c r="I154" i="2" s="1"/>
  <c r="G153" i="2"/>
  <c r="G152" i="2"/>
  <c r="I152" i="2" s="1"/>
  <c r="G151" i="2"/>
  <c r="G150" i="2"/>
  <c r="H150" i="2" s="1"/>
  <c r="G149" i="2"/>
  <c r="I149" i="2" s="1"/>
  <c r="G148" i="2"/>
  <c r="G147" i="2"/>
  <c r="H147" i="2" s="1"/>
  <c r="G146" i="2"/>
  <c r="G145" i="2"/>
  <c r="G144" i="2"/>
  <c r="H144" i="2" s="1"/>
  <c r="G143" i="2"/>
  <c r="H143" i="2" s="1"/>
  <c r="G142" i="2"/>
  <c r="H142" i="2" s="1"/>
  <c r="G141" i="2"/>
  <c r="H141" i="2" s="1"/>
  <c r="G140" i="2"/>
  <c r="I140" i="2" s="1"/>
  <c r="G139" i="2"/>
  <c r="I139" i="2" s="1"/>
  <c r="G138" i="2"/>
  <c r="G137" i="2"/>
  <c r="I137" i="2" s="1"/>
  <c r="G136" i="2"/>
  <c r="G135" i="2"/>
  <c r="G134" i="2"/>
  <c r="G133" i="2"/>
  <c r="I133" i="2" s="1"/>
  <c r="G132" i="2"/>
  <c r="G131" i="2"/>
  <c r="G130" i="2"/>
  <c r="I130" i="2" s="1"/>
  <c r="G129" i="2"/>
  <c r="H129" i="2" s="1"/>
  <c r="G128" i="2"/>
  <c r="G127" i="2"/>
  <c r="H127" i="2" s="1"/>
  <c r="G126" i="2"/>
  <c r="I126" i="2" s="1"/>
  <c r="G125" i="2"/>
  <c r="G124" i="2"/>
  <c r="H124" i="2" s="1"/>
  <c r="G123" i="2"/>
  <c r="I123" i="2" s="1"/>
  <c r="G122" i="2"/>
  <c r="G121" i="2"/>
  <c r="I121" i="2" s="1"/>
  <c r="G120" i="2"/>
  <c r="I120" i="2" s="1"/>
  <c r="G119" i="2"/>
  <c r="I119" i="2" s="1"/>
  <c r="G118" i="2"/>
  <c r="I118" i="2" s="1"/>
  <c r="G117" i="2"/>
  <c r="G116" i="2"/>
  <c r="G115" i="2"/>
  <c r="H115" i="2" s="1"/>
  <c r="G114" i="2"/>
  <c r="G113" i="2"/>
  <c r="H113" i="2" s="1"/>
  <c r="G112" i="2"/>
  <c r="G111" i="2"/>
  <c r="I111" i="2" s="1"/>
  <c r="G110" i="2"/>
  <c r="H110" i="2" s="1"/>
  <c r="G109" i="2"/>
  <c r="I109" i="2" s="1"/>
  <c r="G108" i="2"/>
  <c r="I108" i="2" s="1"/>
  <c r="G107" i="2"/>
  <c r="I107" i="2" s="1"/>
  <c r="G106" i="2"/>
  <c r="I106" i="2" s="1"/>
  <c r="G105" i="2"/>
  <c r="G104" i="2"/>
  <c r="I104" i="2" s="1"/>
  <c r="G103" i="2"/>
  <c r="I103" i="2" s="1"/>
  <c r="G102" i="2"/>
  <c r="I102" i="2" s="1"/>
  <c r="G101" i="2"/>
  <c r="G100" i="2"/>
  <c r="G99" i="2"/>
  <c r="H99" i="2" s="1"/>
  <c r="G98" i="2"/>
  <c r="H98" i="2" s="1"/>
  <c r="G97" i="2"/>
  <c r="G96" i="2"/>
  <c r="H96" i="2" s="1"/>
  <c r="G95" i="2"/>
  <c r="H95" i="2" s="1"/>
  <c r="G94" i="2"/>
  <c r="G93" i="2"/>
  <c r="H93" i="2" s="1"/>
  <c r="G92" i="2"/>
  <c r="I92" i="2" s="1"/>
  <c r="G91" i="2"/>
  <c r="I91" i="2" s="1"/>
  <c r="G90" i="2"/>
  <c r="G89" i="2"/>
  <c r="I89" i="2" s="1"/>
  <c r="G88" i="2"/>
  <c r="I88" i="2" s="1"/>
  <c r="G87" i="2"/>
  <c r="G86" i="2"/>
  <c r="G85" i="2"/>
  <c r="I85" i="2" s="1"/>
  <c r="G84" i="2"/>
  <c r="G83" i="2"/>
  <c r="G82" i="2"/>
  <c r="I82" i="2" s="1"/>
  <c r="G81" i="2"/>
  <c r="H81" i="2" s="1"/>
  <c r="G80" i="2"/>
  <c r="H80" i="2" s="1"/>
  <c r="G79" i="2"/>
  <c r="I79" i="2" s="1"/>
  <c r="G78" i="2"/>
  <c r="I78" i="2" s="1"/>
  <c r="G77" i="2"/>
  <c r="I77" i="2" s="1"/>
  <c r="G76" i="2"/>
  <c r="H76" i="2" s="1"/>
  <c r="G75" i="2"/>
  <c r="I75" i="2" s="1"/>
  <c r="G74" i="2"/>
  <c r="I74" i="2" s="1"/>
  <c r="G73" i="2"/>
  <c r="I73" i="2" s="1"/>
  <c r="G72" i="2"/>
  <c r="G71" i="2"/>
  <c r="I71" i="2" s="1"/>
  <c r="G70" i="2"/>
  <c r="I70" i="2" s="1"/>
  <c r="G69" i="2"/>
  <c r="I69" i="2" s="1"/>
  <c r="G68" i="2"/>
  <c r="G67" i="2"/>
  <c r="H67" i="2" s="1"/>
  <c r="G66" i="2"/>
  <c r="H66" i="2" s="1"/>
  <c r="G65" i="2"/>
  <c r="H65" i="2" s="1"/>
  <c r="G64" i="2"/>
  <c r="G63" i="2"/>
  <c r="I63" i="2" s="1"/>
  <c r="G62" i="2"/>
  <c r="H62" i="2" s="1"/>
  <c r="G61" i="2"/>
  <c r="I61" i="2" s="1"/>
  <c r="G60" i="2"/>
  <c r="I60" i="2" s="1"/>
  <c r="G59" i="2"/>
  <c r="H59" i="2" s="1"/>
  <c r="G58" i="2"/>
  <c r="G57" i="2"/>
  <c r="G56" i="2"/>
  <c r="G55" i="2"/>
  <c r="H55" i="2" s="1"/>
  <c r="G54" i="2"/>
  <c r="H54" i="2" s="1"/>
  <c r="G53" i="2"/>
  <c r="G52" i="2"/>
  <c r="G51" i="2"/>
  <c r="I51" i="2" s="1"/>
  <c r="G50" i="2"/>
  <c r="I50" i="2" s="1"/>
  <c r="G49" i="2"/>
  <c r="H49" i="2" s="1"/>
  <c r="G48" i="2"/>
  <c r="H48" i="2" s="1"/>
  <c r="G47" i="2"/>
  <c r="G46" i="2"/>
  <c r="G45" i="2"/>
  <c r="I45" i="2" s="1"/>
  <c r="G44" i="2"/>
  <c r="I44" i="2" s="1"/>
  <c r="G43" i="2"/>
  <c r="I43" i="2" s="1"/>
  <c r="G42" i="2"/>
  <c r="G41" i="2"/>
  <c r="I41" i="2" s="1"/>
  <c r="G40" i="2"/>
  <c r="I40" i="2" s="1"/>
  <c r="G39" i="2"/>
  <c r="H39" i="2" s="1"/>
  <c r="G38" i="2"/>
  <c r="G37" i="2"/>
  <c r="H37" i="2" s="1"/>
  <c r="G36" i="2"/>
  <c r="H36" i="2" s="1"/>
  <c r="G35" i="2"/>
  <c r="I35" i="2" s="1"/>
  <c r="G34" i="2"/>
  <c r="I34" i="2" s="1"/>
  <c r="G33" i="2"/>
  <c r="G32" i="2"/>
  <c r="G31" i="2"/>
  <c r="I31" i="2" s="1"/>
  <c r="G30" i="2"/>
  <c r="I30" i="2" s="1"/>
  <c r="G29" i="2"/>
  <c r="G28" i="2"/>
  <c r="H28" i="2" s="1"/>
  <c r="G27" i="2"/>
  <c r="I27" i="2" s="1"/>
  <c r="G26" i="2"/>
  <c r="G25" i="2"/>
  <c r="I25" i="2" s="1"/>
  <c r="G24" i="2"/>
  <c r="I24" i="2" s="1"/>
  <c r="G23" i="2"/>
  <c r="I23" i="2" s="1"/>
  <c r="G22" i="2"/>
  <c r="I22" i="2" s="1"/>
  <c r="G21" i="2"/>
  <c r="H21" i="2" s="1"/>
  <c r="G20" i="2"/>
  <c r="G19" i="2"/>
  <c r="H19" i="2" s="1"/>
  <c r="G18" i="2"/>
  <c r="I18" i="2" s="1"/>
  <c r="G17" i="2"/>
  <c r="G16" i="2"/>
  <c r="G15" i="2"/>
  <c r="I15" i="2" s="1"/>
  <c r="G14" i="2"/>
  <c r="I14" i="2" s="1"/>
  <c r="G13" i="2"/>
  <c r="I13" i="2" s="1"/>
  <c r="G12" i="2"/>
  <c r="I12" i="2" s="1"/>
  <c r="G11" i="2"/>
  <c r="H11" i="2" s="1"/>
  <c r="G10" i="2"/>
  <c r="I10" i="2" s="1"/>
  <c r="G9" i="2"/>
  <c r="I9" i="2" s="1"/>
  <c r="G8" i="2"/>
  <c r="I8" i="2" s="1"/>
  <c r="G7" i="2"/>
  <c r="H7" i="2" s="1"/>
  <c r="G6" i="2"/>
  <c r="I6" i="2" s="1"/>
  <c r="G5" i="2"/>
  <c r="G4" i="2"/>
  <c r="G3" i="2"/>
  <c r="I3" i="2" s="1"/>
  <c r="G2" i="2"/>
  <c r="B45" i="6" l="1"/>
  <c r="H650" i="2"/>
  <c r="H315" i="2"/>
  <c r="I242" i="2"/>
  <c r="H613" i="2"/>
  <c r="I93" i="2"/>
  <c r="H339" i="2"/>
  <c r="H757" i="2"/>
  <c r="I243" i="2"/>
  <c r="H360" i="2"/>
  <c r="H760" i="2"/>
  <c r="I262" i="2"/>
  <c r="H502" i="2"/>
  <c r="I728" i="2"/>
  <c r="H503" i="2"/>
  <c r="H504" i="2"/>
  <c r="I873" i="2"/>
  <c r="H43" i="2"/>
  <c r="I19" i="2"/>
  <c r="H44" i="2"/>
  <c r="H569" i="2"/>
  <c r="I36" i="2"/>
  <c r="H92" i="2"/>
  <c r="H391" i="2"/>
  <c r="H541" i="2"/>
  <c r="H674" i="2"/>
  <c r="H843" i="2"/>
  <c r="I95" i="2"/>
  <c r="I289" i="2"/>
  <c r="I787" i="2"/>
  <c r="J42" i="2"/>
  <c r="K42" i="2" s="1"/>
  <c r="J616" i="2"/>
  <c r="K616" i="2" s="1"/>
  <c r="J897" i="2"/>
  <c r="K897" i="2" s="1"/>
  <c r="H800" i="2"/>
  <c r="I49" i="2"/>
  <c r="I753" i="2"/>
  <c r="H82" i="2"/>
  <c r="H514" i="2"/>
  <c r="I754" i="2"/>
  <c r="H103" i="2"/>
  <c r="H396" i="2"/>
  <c r="H543" i="2"/>
  <c r="H675" i="2"/>
  <c r="H848" i="2"/>
  <c r="I96" i="2"/>
  <c r="I348" i="2"/>
  <c r="I803" i="2"/>
  <c r="J162" i="2"/>
  <c r="K162" i="2" s="1"/>
  <c r="H835" i="2"/>
  <c r="H104" i="2"/>
  <c r="H400" i="2"/>
  <c r="H551" i="2"/>
  <c r="H681" i="2"/>
  <c r="H857" i="2"/>
  <c r="I113" i="2"/>
  <c r="I355" i="2"/>
  <c r="I849" i="2"/>
  <c r="J711" i="2"/>
  <c r="K711" i="2" s="1"/>
  <c r="H578" i="2"/>
  <c r="I512" i="2"/>
  <c r="H688" i="2"/>
  <c r="I449" i="2"/>
  <c r="H431" i="2"/>
  <c r="H432" i="2"/>
  <c r="H579" i="2"/>
  <c r="H691" i="2"/>
  <c r="I147" i="2"/>
  <c r="H162" i="2"/>
  <c r="H451" i="2"/>
  <c r="H582" i="2"/>
  <c r="H707" i="2"/>
  <c r="H921" i="2"/>
  <c r="I161" i="2"/>
  <c r="I513" i="2"/>
  <c r="I934" i="2"/>
  <c r="H30" i="2"/>
  <c r="H178" i="2"/>
  <c r="H457" i="2"/>
  <c r="H584" i="2"/>
  <c r="H730" i="2"/>
  <c r="H924" i="2"/>
  <c r="I195" i="2"/>
  <c r="I937" i="2"/>
  <c r="H34" i="2"/>
  <c r="H238" i="2"/>
  <c r="H467" i="2"/>
  <c r="H595" i="2"/>
  <c r="H738" i="2"/>
  <c r="H955" i="2"/>
  <c r="I207" i="2"/>
  <c r="I587" i="2"/>
  <c r="I972" i="2"/>
  <c r="H130" i="2"/>
  <c r="H690" i="2"/>
  <c r="H35" i="2"/>
  <c r="H601" i="2"/>
  <c r="H739" i="2"/>
  <c r="H971" i="2"/>
  <c r="I208" i="2"/>
  <c r="I640" i="2"/>
  <c r="I985" i="2"/>
  <c r="J99" i="2"/>
  <c r="K99" i="2" s="1"/>
  <c r="J652" i="2"/>
  <c r="K652" i="2" s="1"/>
  <c r="J963" i="2"/>
  <c r="K963" i="2" s="1"/>
  <c r="H258" i="2"/>
  <c r="H487" i="2"/>
  <c r="H1001" i="2"/>
  <c r="I209" i="2"/>
  <c r="I138" i="2"/>
  <c r="H138" i="2"/>
  <c r="I570" i="2"/>
  <c r="H570" i="2"/>
  <c r="I26" i="2"/>
  <c r="H26" i="2"/>
  <c r="I42" i="2"/>
  <c r="H42" i="2"/>
  <c r="I90" i="2"/>
  <c r="H90" i="2"/>
  <c r="I170" i="2"/>
  <c r="H170" i="2"/>
  <c r="I186" i="2"/>
  <c r="H186" i="2"/>
  <c r="I250" i="2"/>
  <c r="H250" i="2"/>
  <c r="I266" i="2"/>
  <c r="H266" i="2"/>
  <c r="I282" i="2"/>
  <c r="H282" i="2"/>
  <c r="I346" i="2"/>
  <c r="H346" i="2"/>
  <c r="I362" i="2"/>
  <c r="H362" i="2"/>
  <c r="H394" i="2"/>
  <c r="I394" i="2"/>
  <c r="I442" i="2"/>
  <c r="H442" i="2"/>
  <c r="I458" i="2"/>
  <c r="H458" i="2"/>
  <c r="I474" i="2"/>
  <c r="H474" i="2"/>
  <c r="H490" i="2"/>
  <c r="I490" i="2"/>
  <c r="H538" i="2"/>
  <c r="I538" i="2"/>
  <c r="I554" i="2"/>
  <c r="H554" i="2"/>
  <c r="I586" i="2"/>
  <c r="H586" i="2"/>
  <c r="H618" i="2"/>
  <c r="I618" i="2"/>
  <c r="H634" i="2"/>
  <c r="I634" i="2"/>
  <c r="H666" i="2"/>
  <c r="I666" i="2"/>
  <c r="I698" i="2"/>
  <c r="H698" i="2"/>
  <c r="H746" i="2"/>
  <c r="I746" i="2"/>
  <c r="H762" i="2"/>
  <c r="I762" i="2"/>
  <c r="I810" i="2"/>
  <c r="H810" i="2"/>
  <c r="I826" i="2"/>
  <c r="H826" i="2"/>
  <c r="I842" i="2"/>
  <c r="H842" i="2"/>
  <c r="I890" i="2"/>
  <c r="H890" i="2"/>
  <c r="I922" i="2"/>
  <c r="H922" i="2"/>
  <c r="I938" i="2"/>
  <c r="H938" i="2"/>
  <c r="H954" i="2"/>
  <c r="I954" i="2"/>
  <c r="I970" i="2"/>
  <c r="H970" i="2"/>
  <c r="H1002" i="2"/>
  <c r="I1002" i="2"/>
  <c r="H202" i="2"/>
  <c r="H884" i="2"/>
  <c r="I58" i="2"/>
  <c r="H58" i="2"/>
  <c r="I122" i="2"/>
  <c r="H122" i="2"/>
  <c r="I218" i="2"/>
  <c r="H218" i="2"/>
  <c r="I298" i="2"/>
  <c r="H298" i="2"/>
  <c r="H410" i="2"/>
  <c r="I410" i="2"/>
  <c r="I602" i="2"/>
  <c r="H602" i="2"/>
  <c r="H714" i="2"/>
  <c r="I714" i="2"/>
  <c r="H330" i="2"/>
  <c r="H20" i="2"/>
  <c r="I20" i="2"/>
  <c r="I100" i="2"/>
  <c r="H100" i="2"/>
  <c r="I164" i="2"/>
  <c r="H164" i="2"/>
  <c r="I212" i="2"/>
  <c r="H212" i="2"/>
  <c r="I260" i="2"/>
  <c r="H260" i="2"/>
  <c r="I292" i="2"/>
  <c r="H292" i="2"/>
  <c r="I340" i="2"/>
  <c r="H340" i="2"/>
  <c r="I356" i="2"/>
  <c r="H356" i="2"/>
  <c r="I372" i="2"/>
  <c r="H372" i="2"/>
  <c r="I452" i="2"/>
  <c r="H452" i="2"/>
  <c r="I468" i="2"/>
  <c r="H468" i="2"/>
  <c r="I484" i="2"/>
  <c r="H484" i="2"/>
  <c r="I516" i="2"/>
  <c r="H516" i="2"/>
  <c r="I612" i="2"/>
  <c r="H612" i="2"/>
  <c r="I628" i="2"/>
  <c r="H628" i="2"/>
  <c r="I644" i="2"/>
  <c r="H644" i="2"/>
  <c r="I692" i="2"/>
  <c r="H692" i="2"/>
  <c r="I724" i="2"/>
  <c r="H724" i="2"/>
  <c r="I740" i="2"/>
  <c r="H740" i="2"/>
  <c r="I756" i="2"/>
  <c r="H756" i="2"/>
  <c r="I804" i="2"/>
  <c r="H804" i="2"/>
  <c r="I852" i="2"/>
  <c r="H852" i="2"/>
  <c r="I900" i="2"/>
  <c r="H900" i="2"/>
  <c r="I964" i="2"/>
  <c r="H964" i="2"/>
  <c r="I980" i="2"/>
  <c r="H980" i="2"/>
  <c r="H996" i="2"/>
  <c r="I996" i="2"/>
  <c r="H357" i="2"/>
  <c r="H794" i="2"/>
  <c r="H314" i="2"/>
  <c r="I4" i="2"/>
  <c r="H4" i="2"/>
  <c r="I52" i="2"/>
  <c r="H52" i="2"/>
  <c r="H68" i="2"/>
  <c r="I68" i="2"/>
  <c r="H84" i="2"/>
  <c r="I84" i="2"/>
  <c r="H116" i="2"/>
  <c r="I116" i="2"/>
  <c r="I132" i="2"/>
  <c r="H132" i="2"/>
  <c r="I148" i="2"/>
  <c r="H148" i="2"/>
  <c r="I180" i="2"/>
  <c r="H180" i="2"/>
  <c r="I228" i="2"/>
  <c r="H228" i="2"/>
  <c r="H5" i="2"/>
  <c r="I5" i="2"/>
  <c r="I101" i="2"/>
  <c r="H101" i="2"/>
  <c r="H325" i="2"/>
  <c r="I325" i="2"/>
  <c r="J24" i="2"/>
  <c r="K24" i="2" s="1"/>
  <c r="J82" i="2"/>
  <c r="K82" i="2" s="1"/>
  <c r="J109" i="2"/>
  <c r="K109" i="2" s="1"/>
  <c r="J206" i="2"/>
  <c r="K206" i="2" s="1"/>
  <c r="J276" i="2"/>
  <c r="K276" i="2" s="1"/>
  <c r="J355" i="2"/>
  <c r="K355" i="2" s="1"/>
  <c r="J397" i="2"/>
  <c r="K397" i="2" s="1"/>
  <c r="J432" i="2"/>
  <c r="K432" i="2" s="1"/>
  <c r="J487" i="2"/>
  <c r="K487" i="2" s="1"/>
  <c r="J527" i="2"/>
  <c r="K527" i="2" s="1"/>
  <c r="J584" i="2"/>
  <c r="K584" i="2" s="1"/>
  <c r="J726" i="2"/>
  <c r="K726" i="2" s="1"/>
  <c r="J826" i="2"/>
  <c r="K826" i="2" s="1"/>
  <c r="H206" i="2"/>
  <c r="H331" i="2"/>
  <c r="H731" i="2"/>
  <c r="H798" i="2"/>
  <c r="I267" i="2"/>
  <c r="I395" i="2"/>
  <c r="I619" i="2"/>
  <c r="J26" i="2"/>
  <c r="K26" i="2" s="1"/>
  <c r="J57" i="2"/>
  <c r="K57" i="2" s="1"/>
  <c r="J84" i="2"/>
  <c r="K84" i="2" s="1"/>
  <c r="J110" i="2"/>
  <c r="K110" i="2" s="1"/>
  <c r="J143" i="2"/>
  <c r="K143" i="2" s="1"/>
  <c r="J171" i="2"/>
  <c r="K171" i="2" s="1"/>
  <c r="J208" i="2"/>
  <c r="K208" i="2" s="1"/>
  <c r="J321" i="2"/>
  <c r="K321" i="2" s="1"/>
  <c r="J358" i="2"/>
  <c r="K358" i="2" s="1"/>
  <c r="J400" i="2"/>
  <c r="K400" i="2" s="1"/>
  <c r="J433" i="2"/>
  <c r="K433" i="2" s="1"/>
  <c r="J488" i="2"/>
  <c r="K488" i="2" s="1"/>
  <c r="J585" i="2"/>
  <c r="K585" i="2" s="1"/>
  <c r="J675" i="2"/>
  <c r="K675" i="2" s="1"/>
  <c r="J727" i="2"/>
  <c r="K727" i="2" s="1"/>
  <c r="J769" i="2"/>
  <c r="K769" i="2" s="1"/>
  <c r="H6" i="2"/>
  <c r="H156" i="2"/>
  <c r="H332" i="2"/>
  <c r="H799" i="2"/>
  <c r="H987" i="2"/>
  <c r="I48" i="2"/>
  <c r="I268" i="2"/>
  <c r="I491" i="2"/>
  <c r="I860" i="2"/>
  <c r="J27" i="2"/>
  <c r="K27" i="2" s="1"/>
  <c r="J58" i="2"/>
  <c r="K58" i="2" s="1"/>
  <c r="J144" i="2"/>
  <c r="K144" i="2" s="1"/>
  <c r="J209" i="2"/>
  <c r="K209" i="2" s="1"/>
  <c r="J246" i="2"/>
  <c r="K246" i="2" s="1"/>
  <c r="J284" i="2"/>
  <c r="K284" i="2" s="1"/>
  <c r="J322" i="2"/>
  <c r="K322" i="2" s="1"/>
  <c r="J401" i="2"/>
  <c r="K401" i="2" s="1"/>
  <c r="J537" i="2"/>
  <c r="K537" i="2" s="1"/>
  <c r="J586" i="2"/>
  <c r="K586" i="2" s="1"/>
  <c r="J677" i="2"/>
  <c r="K677" i="2" s="1"/>
  <c r="J773" i="2"/>
  <c r="K773" i="2" s="1"/>
  <c r="J899" i="2"/>
  <c r="K899" i="2" s="1"/>
  <c r="J968" i="2"/>
  <c r="K968" i="2" s="1"/>
  <c r="H12" i="2"/>
  <c r="H102" i="2"/>
  <c r="H159" i="2"/>
  <c r="H507" i="2"/>
  <c r="H687" i="2"/>
  <c r="H990" i="2"/>
  <c r="I283" i="2"/>
  <c r="J60" i="2"/>
  <c r="K60" i="2" s="1"/>
  <c r="J119" i="2"/>
  <c r="K119" i="2" s="1"/>
  <c r="J210" i="2"/>
  <c r="K210" i="2" s="1"/>
  <c r="J287" i="2"/>
  <c r="K287" i="2" s="1"/>
  <c r="J323" i="2"/>
  <c r="K323" i="2" s="1"/>
  <c r="J403" i="2"/>
  <c r="K403" i="2" s="1"/>
  <c r="J490" i="2"/>
  <c r="K490" i="2" s="1"/>
  <c r="J542" i="2"/>
  <c r="K542" i="2" s="1"/>
  <c r="J633" i="2"/>
  <c r="K633" i="2" s="1"/>
  <c r="J733" i="2"/>
  <c r="K733" i="2" s="1"/>
  <c r="J902" i="2"/>
  <c r="K902" i="2" s="1"/>
  <c r="J56" i="2"/>
  <c r="K56" i="2" s="1"/>
  <c r="J313" i="2"/>
  <c r="K313" i="2" s="1"/>
  <c r="H14" i="2"/>
  <c r="H219" i="2"/>
  <c r="H859" i="2"/>
  <c r="H923" i="2"/>
  <c r="I411" i="2"/>
  <c r="J61" i="2"/>
  <c r="K61" i="2" s="1"/>
  <c r="J120" i="2"/>
  <c r="K120" i="2" s="1"/>
  <c r="J176" i="2"/>
  <c r="K176" i="2" s="1"/>
  <c r="J289" i="2"/>
  <c r="K289" i="2" s="1"/>
  <c r="J367" i="2"/>
  <c r="K367" i="2" s="1"/>
  <c r="J441" i="2"/>
  <c r="K441" i="2" s="1"/>
  <c r="J543" i="2"/>
  <c r="K543" i="2" s="1"/>
  <c r="J846" i="2"/>
  <c r="K846" i="2" s="1"/>
  <c r="J910" i="2"/>
  <c r="K910" i="2" s="1"/>
  <c r="I59" i="2"/>
  <c r="I412" i="2"/>
  <c r="I877" i="2"/>
  <c r="J34" i="2"/>
  <c r="K34" i="2" s="1"/>
  <c r="J62" i="2"/>
  <c r="K62" i="2" s="1"/>
  <c r="J150" i="2"/>
  <c r="K150" i="2" s="1"/>
  <c r="J250" i="2"/>
  <c r="K250" i="2" s="1"/>
  <c r="J290" i="2"/>
  <c r="K290" i="2" s="1"/>
  <c r="J328" i="2"/>
  <c r="K328" i="2" s="1"/>
  <c r="J410" i="2"/>
  <c r="K410" i="2" s="1"/>
  <c r="J492" i="2"/>
  <c r="K492" i="2" s="1"/>
  <c r="J589" i="2"/>
  <c r="K589" i="2" s="1"/>
  <c r="J641" i="2"/>
  <c r="K641" i="2" s="1"/>
  <c r="J787" i="2"/>
  <c r="K787" i="2" s="1"/>
  <c r="J847" i="2"/>
  <c r="K847" i="2" s="1"/>
  <c r="J912" i="2"/>
  <c r="K912" i="2" s="1"/>
  <c r="J983" i="2"/>
  <c r="K983" i="2" s="1"/>
  <c r="J146" i="2"/>
  <c r="K146" i="2" s="1"/>
  <c r="J326" i="2"/>
  <c r="K326" i="2" s="1"/>
  <c r="J588" i="2"/>
  <c r="K588" i="2" s="1"/>
  <c r="J90" i="2"/>
  <c r="K90" i="2" s="1"/>
  <c r="H18" i="2"/>
  <c r="H107" i="2"/>
  <c r="H167" i="2"/>
  <c r="H226" i="2"/>
  <c r="H288" i="2"/>
  <c r="H347" i="2"/>
  <c r="H402" i="2"/>
  <c r="H811" i="2"/>
  <c r="H864" i="2"/>
  <c r="I66" i="2"/>
  <c r="I141" i="2"/>
  <c r="I220" i="2"/>
  <c r="I326" i="2"/>
  <c r="I417" i="2"/>
  <c r="I651" i="2"/>
  <c r="I880" i="2"/>
  <c r="J6" i="2"/>
  <c r="K6" i="2" s="1"/>
  <c r="J35" i="2"/>
  <c r="K35" i="2" s="1"/>
  <c r="J122" i="2"/>
  <c r="K122" i="2" s="1"/>
  <c r="J154" i="2"/>
  <c r="K154" i="2" s="1"/>
  <c r="J182" i="2"/>
  <c r="K182" i="2" s="1"/>
  <c r="J218" i="2"/>
  <c r="K218" i="2" s="1"/>
  <c r="J291" i="2"/>
  <c r="K291" i="2" s="1"/>
  <c r="J369" i="2"/>
  <c r="K369" i="2" s="1"/>
  <c r="J412" i="2"/>
  <c r="K412" i="2" s="1"/>
  <c r="J455" i="2"/>
  <c r="K455" i="2" s="1"/>
  <c r="J493" i="2"/>
  <c r="K493" i="2" s="1"/>
  <c r="J554" i="2"/>
  <c r="K554" i="2" s="1"/>
  <c r="J591" i="2"/>
  <c r="K591" i="2" s="1"/>
  <c r="J644" i="2"/>
  <c r="K644" i="2" s="1"/>
  <c r="J693" i="2"/>
  <c r="K693" i="2" s="1"/>
  <c r="J848" i="2"/>
  <c r="K848" i="2" s="1"/>
  <c r="J32" i="2"/>
  <c r="K32" i="2" s="1"/>
  <c r="J215" i="2"/>
  <c r="K215" i="2" s="1"/>
  <c r="J491" i="2"/>
  <c r="K491" i="2" s="1"/>
  <c r="H862" i="2"/>
  <c r="J121" i="2"/>
  <c r="K121" i="2" s="1"/>
  <c r="H60" i="2"/>
  <c r="H108" i="2"/>
  <c r="H354" i="2"/>
  <c r="H415" i="2"/>
  <c r="H475" i="2"/>
  <c r="H526" i="2"/>
  <c r="H630" i="2"/>
  <c r="H748" i="2"/>
  <c r="H816" i="2"/>
  <c r="H939" i="2"/>
  <c r="I67" i="2"/>
  <c r="I142" i="2"/>
  <c r="I225" i="2"/>
  <c r="I327" i="2"/>
  <c r="I540" i="2"/>
  <c r="I763" i="2"/>
  <c r="I896" i="2"/>
  <c r="J7" i="2"/>
  <c r="K7" i="2" s="1"/>
  <c r="J38" i="2"/>
  <c r="K38" i="2" s="1"/>
  <c r="J123" i="2"/>
  <c r="K123" i="2" s="1"/>
  <c r="J155" i="2"/>
  <c r="K155" i="2" s="1"/>
  <c r="J184" i="2"/>
  <c r="K184" i="2" s="1"/>
  <c r="J222" i="2"/>
  <c r="K222" i="2" s="1"/>
  <c r="J372" i="2"/>
  <c r="K372" i="2" s="1"/>
  <c r="J413" i="2"/>
  <c r="K413" i="2" s="1"/>
  <c r="J457" i="2"/>
  <c r="K457" i="2" s="1"/>
  <c r="J599" i="2"/>
  <c r="K599" i="2" s="1"/>
  <c r="J695" i="2"/>
  <c r="K695" i="2" s="1"/>
  <c r="J743" i="2"/>
  <c r="K743" i="2" s="1"/>
  <c r="J922" i="2"/>
  <c r="K922" i="2" s="1"/>
  <c r="J89" i="2"/>
  <c r="K89" i="2" s="1"/>
  <c r="J249" i="2"/>
  <c r="K249" i="2" s="1"/>
  <c r="J691" i="2"/>
  <c r="K691" i="2" s="1"/>
  <c r="H15" i="2"/>
  <c r="H70" i="2"/>
  <c r="H120" i="2"/>
  <c r="H171" i="2"/>
  <c r="H235" i="2"/>
  <c r="H416" i="2"/>
  <c r="H476" i="2"/>
  <c r="H531" i="2"/>
  <c r="H588" i="2"/>
  <c r="H633" i="2"/>
  <c r="H755" i="2"/>
  <c r="H825" i="2"/>
  <c r="H879" i="2"/>
  <c r="H940" i="2"/>
  <c r="I143" i="2"/>
  <c r="I227" i="2"/>
  <c r="I433" i="2"/>
  <c r="I563" i="2"/>
  <c r="I659" i="2"/>
  <c r="I764" i="2"/>
  <c r="J39" i="2"/>
  <c r="K39" i="2" s="1"/>
  <c r="J67" i="2"/>
  <c r="K67" i="2" s="1"/>
  <c r="J95" i="2"/>
  <c r="K95" i="2" s="1"/>
  <c r="J124" i="2"/>
  <c r="K124" i="2" s="1"/>
  <c r="J185" i="2"/>
  <c r="K185" i="2" s="1"/>
  <c r="J262" i="2"/>
  <c r="K262" i="2" s="1"/>
  <c r="J338" i="2"/>
  <c r="K338" i="2" s="1"/>
  <c r="J508" i="2"/>
  <c r="K508" i="2" s="1"/>
  <c r="J601" i="2"/>
  <c r="K601" i="2" s="1"/>
  <c r="J802" i="2"/>
  <c r="K802" i="2" s="1"/>
  <c r="B44" i="6"/>
  <c r="H285" i="2"/>
  <c r="H742" i="2"/>
  <c r="J216" i="2"/>
  <c r="K216" i="2" s="1"/>
  <c r="H27" i="2"/>
  <c r="H71" i="2"/>
  <c r="H172" i="2"/>
  <c r="H306" i="2"/>
  <c r="H419" i="2"/>
  <c r="H482" i="2"/>
  <c r="H594" i="2"/>
  <c r="H706" i="2"/>
  <c r="H950" i="2"/>
  <c r="I7" i="2"/>
  <c r="I144" i="2"/>
  <c r="I435" i="2"/>
  <c r="I771" i="2"/>
  <c r="J12" i="2"/>
  <c r="K12" i="2" s="1"/>
  <c r="J40" i="2"/>
  <c r="K40" i="2" s="1"/>
  <c r="J68" i="2"/>
  <c r="K68" i="2" s="1"/>
  <c r="J98" i="2"/>
  <c r="K98" i="2" s="1"/>
  <c r="J125" i="2"/>
  <c r="K125" i="2" s="1"/>
  <c r="J187" i="2"/>
  <c r="K187" i="2" s="1"/>
  <c r="J298" i="2"/>
  <c r="K298" i="2" s="1"/>
  <c r="J374" i="2"/>
  <c r="K374" i="2" s="1"/>
  <c r="J460" i="2"/>
  <c r="K460" i="2" s="1"/>
  <c r="J509" i="2"/>
  <c r="K509" i="2" s="1"/>
  <c r="J615" i="2"/>
  <c r="K615" i="2" s="1"/>
  <c r="J650" i="2"/>
  <c r="K650" i="2" s="1"/>
  <c r="J704" i="2"/>
  <c r="K704" i="2" s="1"/>
  <c r="J810" i="2"/>
  <c r="K810" i="2" s="1"/>
  <c r="J934" i="2"/>
  <c r="K934" i="2" s="1"/>
  <c r="J44" i="2"/>
  <c r="K44" i="2" s="1"/>
  <c r="J102" i="2"/>
  <c r="K102" i="2" s="1"/>
  <c r="J163" i="2"/>
  <c r="K163" i="2" s="1"/>
  <c r="J301" i="2"/>
  <c r="K301" i="2" s="1"/>
  <c r="J379" i="2"/>
  <c r="K379" i="2" s="1"/>
  <c r="J464" i="2"/>
  <c r="K464" i="2" s="1"/>
  <c r="J759" i="2"/>
  <c r="K759" i="2" s="1"/>
  <c r="J865" i="2"/>
  <c r="K865" i="2" s="1"/>
  <c r="J76" i="2"/>
  <c r="K76" i="2" s="1"/>
  <c r="J164" i="2"/>
  <c r="K164" i="2" s="1"/>
  <c r="J238" i="2"/>
  <c r="K238" i="2" s="1"/>
  <c r="J304" i="2"/>
  <c r="K304" i="2" s="1"/>
  <c r="J466" i="2"/>
  <c r="K466" i="2" s="1"/>
  <c r="J618" i="2"/>
  <c r="K618" i="2" s="1"/>
  <c r="J760" i="2"/>
  <c r="K760" i="2" s="1"/>
  <c r="H89" i="2"/>
  <c r="H137" i="2"/>
  <c r="H187" i="2"/>
  <c r="H251" i="2"/>
  <c r="H320" i="2"/>
  <c r="H364" i="2"/>
  <c r="H434" i="2"/>
  <c r="H603" i="2"/>
  <c r="H654" i="2"/>
  <c r="H718" i="2"/>
  <c r="H840" i="2"/>
  <c r="H891" i="2"/>
  <c r="H968" i="2"/>
  <c r="I98" i="2"/>
  <c r="I366" i="2"/>
  <c r="I471" i="2"/>
  <c r="I604" i="2"/>
  <c r="J48" i="2"/>
  <c r="K48" i="2" s="1"/>
  <c r="J78" i="2"/>
  <c r="K78" i="2" s="1"/>
  <c r="J104" i="2"/>
  <c r="K104" i="2" s="1"/>
  <c r="J195" i="2"/>
  <c r="K195" i="2" s="1"/>
  <c r="J239" i="2"/>
  <c r="K239" i="2" s="1"/>
  <c r="J346" i="2"/>
  <c r="K346" i="2" s="1"/>
  <c r="J394" i="2"/>
  <c r="K394" i="2" s="1"/>
  <c r="J426" i="2"/>
  <c r="K426" i="2" s="1"/>
  <c r="J472" i="2"/>
  <c r="K472" i="2" s="1"/>
  <c r="J523" i="2"/>
  <c r="K523" i="2" s="1"/>
  <c r="J568" i="2"/>
  <c r="K568" i="2" s="1"/>
  <c r="J622" i="2"/>
  <c r="K622" i="2" s="1"/>
  <c r="J761" i="2"/>
  <c r="K761" i="2" s="1"/>
  <c r="J867" i="2"/>
  <c r="K867" i="2" s="1"/>
  <c r="J999" i="2"/>
  <c r="K999" i="2" s="1"/>
  <c r="J15" i="2"/>
  <c r="K15" i="2" s="1"/>
  <c r="J129" i="2"/>
  <c r="K129" i="2" s="1"/>
  <c r="J266" i="2"/>
  <c r="K266" i="2" s="1"/>
  <c r="J418" i="2"/>
  <c r="K418" i="2" s="1"/>
  <c r="J653" i="2"/>
  <c r="K653" i="2" s="1"/>
  <c r="J815" i="2"/>
  <c r="K815" i="2" s="1"/>
  <c r="J993" i="2"/>
  <c r="K993" i="2" s="1"/>
  <c r="H653" i="2"/>
  <c r="H965" i="2"/>
  <c r="I459" i="2"/>
  <c r="J46" i="2"/>
  <c r="K46" i="2" s="1"/>
  <c r="J132" i="2"/>
  <c r="K132" i="2" s="1"/>
  <c r="J385" i="2"/>
  <c r="K385" i="2" s="1"/>
  <c r="H41" i="2"/>
  <c r="H188" i="2"/>
  <c r="H254" i="2"/>
  <c r="H328" i="2"/>
  <c r="H371" i="2"/>
  <c r="H439" i="2"/>
  <c r="H555" i="2"/>
  <c r="H656" i="2"/>
  <c r="H780" i="2"/>
  <c r="H841" i="2"/>
  <c r="H892" i="2"/>
  <c r="H969" i="2"/>
  <c r="I28" i="2"/>
  <c r="I99" i="2"/>
  <c r="I253" i="2"/>
  <c r="I610" i="2"/>
  <c r="I715" i="2"/>
  <c r="J19" i="2"/>
  <c r="K19" i="2" s="1"/>
  <c r="J79" i="2"/>
  <c r="K79" i="2" s="1"/>
  <c r="J105" i="2"/>
  <c r="K105" i="2" s="1"/>
  <c r="J140" i="2"/>
  <c r="K140" i="2" s="1"/>
  <c r="J167" i="2"/>
  <c r="K167" i="2" s="1"/>
  <c r="J240" i="2"/>
  <c r="K240" i="2" s="1"/>
  <c r="J311" i="2"/>
  <c r="K311" i="2" s="1"/>
  <c r="J347" i="2"/>
  <c r="K347" i="2" s="1"/>
  <c r="J427" i="2"/>
  <c r="K427" i="2" s="1"/>
  <c r="J525" i="2"/>
  <c r="K525" i="2" s="1"/>
  <c r="J569" i="2"/>
  <c r="K569" i="2" s="1"/>
  <c r="J722" i="2"/>
  <c r="K722" i="2" s="1"/>
  <c r="J762" i="2"/>
  <c r="K762" i="2" s="1"/>
  <c r="J823" i="2"/>
  <c r="K823" i="2" s="1"/>
  <c r="I789" i="2"/>
  <c r="J75" i="2"/>
  <c r="K75" i="2" s="1"/>
  <c r="J189" i="2"/>
  <c r="K189" i="2" s="1"/>
  <c r="J344" i="2"/>
  <c r="K344" i="2" s="1"/>
  <c r="J515" i="2"/>
  <c r="K515" i="2" s="1"/>
  <c r="H316" i="2"/>
  <c r="I598" i="2"/>
  <c r="J17" i="2"/>
  <c r="K17" i="2" s="1"/>
  <c r="J103" i="2"/>
  <c r="K103" i="2" s="1"/>
  <c r="J190" i="2"/>
  <c r="K190" i="2" s="1"/>
  <c r="J345" i="2"/>
  <c r="K345" i="2" s="1"/>
  <c r="H91" i="2"/>
  <c r="H139" i="2"/>
  <c r="H190" i="2"/>
  <c r="H255" i="2"/>
  <c r="H329" i="2"/>
  <c r="H492" i="2"/>
  <c r="H562" i="2"/>
  <c r="H667" i="2"/>
  <c r="H729" i="2"/>
  <c r="I193" i="2"/>
  <c r="I384" i="2"/>
  <c r="I611" i="2"/>
  <c r="I726" i="2"/>
  <c r="I956" i="2"/>
  <c r="J20" i="2"/>
  <c r="K20" i="2" s="1"/>
  <c r="J54" i="2"/>
  <c r="K54" i="2" s="1"/>
  <c r="J81" i="2"/>
  <c r="K81" i="2" s="1"/>
  <c r="J107" i="2"/>
  <c r="K107" i="2" s="1"/>
  <c r="J141" i="2"/>
  <c r="K141" i="2" s="1"/>
  <c r="J168" i="2"/>
  <c r="K168" i="2" s="1"/>
  <c r="J199" i="2"/>
  <c r="K199" i="2" s="1"/>
  <c r="J241" i="2"/>
  <c r="K241" i="2" s="1"/>
  <c r="J271" i="2"/>
  <c r="K271" i="2" s="1"/>
  <c r="J312" i="2"/>
  <c r="K312" i="2" s="1"/>
  <c r="J350" i="2"/>
  <c r="K350" i="2" s="1"/>
  <c r="J396" i="2"/>
  <c r="K396" i="2" s="1"/>
  <c r="J431" i="2"/>
  <c r="K431" i="2" s="1"/>
  <c r="J526" i="2"/>
  <c r="K526" i="2" s="1"/>
  <c r="J625" i="2"/>
  <c r="K625" i="2" s="1"/>
  <c r="J723" i="2"/>
  <c r="K723" i="2" s="1"/>
  <c r="J896" i="2"/>
  <c r="K896" i="2" s="1"/>
  <c r="I473" i="2"/>
  <c r="I542" i="2"/>
  <c r="I669" i="2"/>
  <c r="I806" i="2"/>
  <c r="I895" i="2"/>
  <c r="I973" i="2"/>
  <c r="H437" i="2"/>
  <c r="I437" i="2"/>
  <c r="I438" i="2"/>
  <c r="H438" i="2"/>
  <c r="I902" i="2"/>
  <c r="H902" i="2"/>
  <c r="H359" i="2"/>
  <c r="I359" i="2"/>
  <c r="I455" i="2"/>
  <c r="H455" i="2"/>
  <c r="H615" i="2"/>
  <c r="I615" i="2"/>
  <c r="I695" i="2"/>
  <c r="H695" i="2"/>
  <c r="I743" i="2"/>
  <c r="H743" i="2"/>
  <c r="I759" i="2"/>
  <c r="H759" i="2"/>
  <c r="I791" i="2"/>
  <c r="H791" i="2"/>
  <c r="I807" i="2"/>
  <c r="H807" i="2"/>
  <c r="I823" i="2"/>
  <c r="H823" i="2"/>
  <c r="I839" i="2"/>
  <c r="H839" i="2"/>
  <c r="I855" i="2"/>
  <c r="H855" i="2"/>
  <c r="I887" i="2"/>
  <c r="H887" i="2"/>
  <c r="I903" i="2"/>
  <c r="H903" i="2"/>
  <c r="I919" i="2"/>
  <c r="H919" i="2"/>
  <c r="I935" i="2"/>
  <c r="H935" i="2"/>
  <c r="I967" i="2"/>
  <c r="H967" i="2"/>
  <c r="I983" i="2"/>
  <c r="H983" i="2"/>
  <c r="H22" i="2"/>
  <c r="H45" i="2"/>
  <c r="H78" i="2"/>
  <c r="H168" i="2"/>
  <c r="H198" i="2"/>
  <c r="H294" i="2"/>
  <c r="H365" i="2"/>
  <c r="H440" i="2"/>
  <c r="H552" i="2"/>
  <c r="H655" i="2"/>
  <c r="H927" i="2"/>
  <c r="I55" i="2"/>
  <c r="I671" i="2"/>
  <c r="I741" i="2"/>
  <c r="I808" i="2"/>
  <c r="I974" i="2"/>
  <c r="I709" i="2"/>
  <c r="H709" i="2"/>
  <c r="I166" i="2"/>
  <c r="H166" i="2"/>
  <c r="I374" i="2"/>
  <c r="H374" i="2"/>
  <c r="I470" i="2"/>
  <c r="H470" i="2"/>
  <c r="H744" i="2"/>
  <c r="I744" i="2"/>
  <c r="H856" i="2"/>
  <c r="I856" i="2"/>
  <c r="I872" i="2"/>
  <c r="H872" i="2"/>
  <c r="H888" i="2"/>
  <c r="I888" i="2"/>
  <c r="I904" i="2"/>
  <c r="H904" i="2"/>
  <c r="I920" i="2"/>
  <c r="H920" i="2"/>
  <c r="H23" i="2"/>
  <c r="H79" i="2"/>
  <c r="H169" i="2"/>
  <c r="H199" i="2"/>
  <c r="H229" i="2"/>
  <c r="H296" i="2"/>
  <c r="H405" i="2"/>
  <c r="H441" i="2"/>
  <c r="H553" i="2"/>
  <c r="H766" i="2"/>
  <c r="H936" i="2"/>
  <c r="I150" i="2"/>
  <c r="I272" i="2"/>
  <c r="I342" i="2"/>
  <c r="I557" i="2"/>
  <c r="I672" i="2"/>
  <c r="I901" i="2"/>
  <c r="I982" i="2"/>
  <c r="I165" i="2"/>
  <c r="H165" i="2"/>
  <c r="H549" i="2"/>
  <c r="I549" i="2"/>
  <c r="I645" i="2"/>
  <c r="H645" i="2"/>
  <c r="H837" i="2"/>
  <c r="I837" i="2"/>
  <c r="I917" i="2"/>
  <c r="H917" i="2"/>
  <c r="I949" i="2"/>
  <c r="H949" i="2"/>
  <c r="I997" i="2"/>
  <c r="H997" i="2"/>
  <c r="H469" i="2"/>
  <c r="H725" i="2"/>
  <c r="H422" i="2"/>
  <c r="I422" i="2"/>
  <c r="I694" i="2"/>
  <c r="H694" i="2"/>
  <c r="I135" i="2"/>
  <c r="H135" i="2"/>
  <c r="I215" i="2"/>
  <c r="H215" i="2"/>
  <c r="I535" i="2"/>
  <c r="H535" i="2"/>
  <c r="H583" i="2"/>
  <c r="I583" i="2"/>
  <c r="H631" i="2"/>
  <c r="I631" i="2"/>
  <c r="I727" i="2"/>
  <c r="H727" i="2"/>
  <c r="I312" i="2"/>
  <c r="H312" i="2"/>
  <c r="I472" i="2"/>
  <c r="H472" i="2"/>
  <c r="I520" i="2"/>
  <c r="H520" i="2"/>
  <c r="I600" i="2"/>
  <c r="H600" i="2"/>
  <c r="I57" i="2"/>
  <c r="H57" i="2"/>
  <c r="I105" i="2"/>
  <c r="H105" i="2"/>
  <c r="I153" i="2"/>
  <c r="H153" i="2"/>
  <c r="I185" i="2"/>
  <c r="H185" i="2"/>
  <c r="I233" i="2"/>
  <c r="H233" i="2"/>
  <c r="I249" i="2"/>
  <c r="H249" i="2"/>
  <c r="I297" i="2"/>
  <c r="H297" i="2"/>
  <c r="I313" i="2"/>
  <c r="H313" i="2"/>
  <c r="I345" i="2"/>
  <c r="H345" i="2"/>
  <c r="H361" i="2"/>
  <c r="I361" i="2"/>
  <c r="H393" i="2"/>
  <c r="I393" i="2"/>
  <c r="I409" i="2"/>
  <c r="H409" i="2"/>
  <c r="H489" i="2"/>
  <c r="I489" i="2"/>
  <c r="H505" i="2"/>
  <c r="I505" i="2"/>
  <c r="H521" i="2"/>
  <c r="I521" i="2"/>
  <c r="I585" i="2"/>
  <c r="H585" i="2"/>
  <c r="I617" i="2"/>
  <c r="H617" i="2"/>
  <c r="I665" i="2"/>
  <c r="H665" i="2"/>
  <c r="H697" i="2"/>
  <c r="I697" i="2"/>
  <c r="H745" i="2"/>
  <c r="I745" i="2"/>
  <c r="I761" i="2"/>
  <c r="H761" i="2"/>
  <c r="I793" i="2"/>
  <c r="H793" i="2"/>
  <c r="I809" i="2"/>
  <c r="H809" i="2"/>
  <c r="H24" i="2"/>
  <c r="H109" i="2"/>
  <c r="H200" i="2"/>
  <c r="H231" i="2"/>
  <c r="H261" i="2"/>
  <c r="H333" i="2"/>
  <c r="H406" i="2"/>
  <c r="H479" i="2"/>
  <c r="H623" i="2"/>
  <c r="H662" i="2"/>
  <c r="H774" i="2"/>
  <c r="H853" i="2"/>
  <c r="H981" i="2"/>
  <c r="I62" i="2"/>
  <c r="I157" i="2"/>
  <c r="I278" i="2"/>
  <c r="I343" i="2"/>
  <c r="I558" i="2"/>
  <c r="I686" i="2"/>
  <c r="I750" i="2"/>
  <c r="I910" i="2"/>
  <c r="H25" i="2"/>
  <c r="H111" i="2"/>
  <c r="H201" i="2"/>
  <c r="H302" i="2"/>
  <c r="H407" i="2"/>
  <c r="H445" i="2"/>
  <c r="H517" i="2"/>
  <c r="H589" i="2"/>
  <c r="H663" i="2"/>
  <c r="H701" i="2"/>
  <c r="H775" i="2"/>
  <c r="H814" i="2"/>
  <c r="H854" i="2"/>
  <c r="I65" i="2"/>
  <c r="I110" i="2"/>
  <c r="I413" i="2"/>
  <c r="I561" i="2"/>
  <c r="I622" i="2"/>
  <c r="I53" i="2"/>
  <c r="H53" i="2"/>
  <c r="I213" i="2"/>
  <c r="H213" i="2"/>
  <c r="I277" i="2"/>
  <c r="H277" i="2"/>
  <c r="H341" i="2"/>
  <c r="I341" i="2"/>
  <c r="H421" i="2"/>
  <c r="I421" i="2"/>
  <c r="I485" i="2"/>
  <c r="H485" i="2"/>
  <c r="I661" i="2"/>
  <c r="H661" i="2"/>
  <c r="H677" i="2"/>
  <c r="I677" i="2"/>
  <c r="I773" i="2"/>
  <c r="H773" i="2"/>
  <c r="I821" i="2"/>
  <c r="H821" i="2"/>
  <c r="I869" i="2"/>
  <c r="H869" i="2"/>
  <c r="I933" i="2"/>
  <c r="H933" i="2"/>
  <c r="H133" i="2"/>
  <c r="H221" i="2"/>
  <c r="I805" i="2"/>
  <c r="H38" i="2"/>
  <c r="I38" i="2"/>
  <c r="I86" i="2"/>
  <c r="H86" i="2"/>
  <c r="I134" i="2"/>
  <c r="H134" i="2"/>
  <c r="I214" i="2"/>
  <c r="H214" i="2"/>
  <c r="I230" i="2"/>
  <c r="H230" i="2"/>
  <c r="I310" i="2"/>
  <c r="H310" i="2"/>
  <c r="H358" i="2"/>
  <c r="I358" i="2"/>
  <c r="I486" i="2"/>
  <c r="H486" i="2"/>
  <c r="I518" i="2"/>
  <c r="H518" i="2"/>
  <c r="H550" i="2"/>
  <c r="I550" i="2"/>
  <c r="I566" i="2"/>
  <c r="H566" i="2"/>
  <c r="I614" i="2"/>
  <c r="H614" i="2"/>
  <c r="I646" i="2"/>
  <c r="H646" i="2"/>
  <c r="I758" i="2"/>
  <c r="H758" i="2"/>
  <c r="I822" i="2"/>
  <c r="H822" i="2"/>
  <c r="I870" i="2"/>
  <c r="H870" i="2"/>
  <c r="I886" i="2"/>
  <c r="H886" i="2"/>
  <c r="H918" i="2"/>
  <c r="I918" i="2"/>
  <c r="I966" i="2"/>
  <c r="H966" i="2"/>
  <c r="H77" i="2"/>
  <c r="H197" i="2"/>
  <c r="H885" i="2"/>
  <c r="I54" i="2"/>
  <c r="I87" i="2"/>
  <c r="H87" i="2"/>
  <c r="I151" i="2"/>
  <c r="H151" i="2"/>
  <c r="I263" i="2"/>
  <c r="H263" i="2"/>
  <c r="I295" i="2"/>
  <c r="H295" i="2"/>
  <c r="I375" i="2"/>
  <c r="H375" i="2"/>
  <c r="I423" i="2"/>
  <c r="H423" i="2"/>
  <c r="I599" i="2"/>
  <c r="H599" i="2"/>
  <c r="I56" i="2"/>
  <c r="H56" i="2"/>
  <c r="I72" i="2"/>
  <c r="H72" i="2"/>
  <c r="I136" i="2"/>
  <c r="H136" i="2"/>
  <c r="I184" i="2"/>
  <c r="H184" i="2"/>
  <c r="I232" i="2"/>
  <c r="H232" i="2"/>
  <c r="I264" i="2"/>
  <c r="H264" i="2"/>
  <c r="I344" i="2"/>
  <c r="H344" i="2"/>
  <c r="I376" i="2"/>
  <c r="H376" i="2"/>
  <c r="I392" i="2"/>
  <c r="H392" i="2"/>
  <c r="I424" i="2"/>
  <c r="H424" i="2"/>
  <c r="I488" i="2"/>
  <c r="H488" i="2"/>
  <c r="I536" i="2"/>
  <c r="H536" i="2"/>
  <c r="I568" i="2"/>
  <c r="H568" i="2"/>
  <c r="I632" i="2"/>
  <c r="H632" i="2"/>
  <c r="I648" i="2"/>
  <c r="H648" i="2"/>
  <c r="I696" i="2"/>
  <c r="H696" i="2"/>
  <c r="H85" i="2"/>
  <c r="H118" i="2"/>
  <c r="H265" i="2"/>
  <c r="H303" i="2"/>
  <c r="H377" i="2"/>
  <c r="H408" i="2"/>
  <c r="H519" i="2"/>
  <c r="H664" i="2"/>
  <c r="H703" i="2"/>
  <c r="H776" i="2"/>
  <c r="H984" i="2"/>
  <c r="I21" i="2"/>
  <c r="I287" i="2"/>
  <c r="I830" i="2"/>
  <c r="I999" i="2"/>
  <c r="H88" i="2"/>
  <c r="H119" i="2"/>
  <c r="H175" i="2"/>
  <c r="H205" i="2"/>
  <c r="H237" i="2"/>
  <c r="H304" i="2"/>
  <c r="H414" i="2"/>
  <c r="H525" i="2"/>
  <c r="H629" i="2"/>
  <c r="H777" i="2"/>
  <c r="H824" i="2"/>
  <c r="H941" i="2"/>
  <c r="I430" i="2"/>
  <c r="I501" i="2"/>
  <c r="I565" i="2"/>
  <c r="I693" i="2"/>
  <c r="I832" i="2"/>
  <c r="I928" i="2"/>
  <c r="H31" i="2"/>
  <c r="H121" i="2"/>
  <c r="H239" i="2"/>
  <c r="H270" i="2"/>
  <c r="H309" i="2"/>
  <c r="H381" i="2"/>
  <c r="H456" i="2"/>
  <c r="H527" i="2"/>
  <c r="H567" i="2"/>
  <c r="H863" i="2"/>
  <c r="H951" i="2"/>
  <c r="I174" i="2"/>
  <c r="I367" i="2"/>
  <c r="I245" i="2"/>
  <c r="H245" i="2"/>
  <c r="H29" i="2"/>
  <c r="I29" i="2"/>
  <c r="H301" i="2"/>
  <c r="I301" i="2"/>
  <c r="I349" i="2"/>
  <c r="H349" i="2"/>
  <c r="I397" i="2"/>
  <c r="H397" i="2"/>
  <c r="I477" i="2"/>
  <c r="H477" i="2"/>
  <c r="I781" i="2"/>
  <c r="H781" i="2"/>
  <c r="I173" i="2"/>
  <c r="I46" i="2"/>
  <c r="H46" i="2"/>
  <c r="I334" i="2"/>
  <c r="H334" i="2"/>
  <c r="I398" i="2"/>
  <c r="H398" i="2"/>
  <c r="H446" i="2"/>
  <c r="I446" i="2"/>
  <c r="I510" i="2"/>
  <c r="H510" i="2"/>
  <c r="I670" i="2"/>
  <c r="H670" i="2"/>
  <c r="I926" i="2"/>
  <c r="H926" i="2"/>
  <c r="I335" i="2"/>
  <c r="H335" i="2"/>
  <c r="I399" i="2"/>
  <c r="H399" i="2"/>
  <c r="I463" i="2"/>
  <c r="H463" i="2"/>
  <c r="I719" i="2"/>
  <c r="H719" i="2"/>
  <c r="I783" i="2"/>
  <c r="H783" i="2"/>
  <c r="H847" i="2"/>
  <c r="I847" i="2"/>
  <c r="I991" i="2"/>
  <c r="H991" i="2"/>
  <c r="I647" i="2"/>
  <c r="I480" i="2"/>
  <c r="H480" i="2"/>
  <c r="I992" i="2"/>
  <c r="H992" i="2"/>
  <c r="H246" i="2"/>
  <c r="H749" i="2"/>
  <c r="I649" i="2"/>
  <c r="I711" i="2"/>
  <c r="H293" i="2"/>
  <c r="I293" i="2"/>
  <c r="I125" i="2"/>
  <c r="H125" i="2"/>
  <c r="I317" i="2"/>
  <c r="H317" i="2"/>
  <c r="I621" i="2"/>
  <c r="H621" i="2"/>
  <c r="H685" i="2"/>
  <c r="I685" i="2"/>
  <c r="I717" i="2"/>
  <c r="H717" i="2"/>
  <c r="H733" i="2"/>
  <c r="I733" i="2"/>
  <c r="I765" i="2"/>
  <c r="H765" i="2"/>
  <c r="H813" i="2"/>
  <c r="I813" i="2"/>
  <c r="I829" i="2"/>
  <c r="H829" i="2"/>
  <c r="I861" i="2"/>
  <c r="H861" i="2"/>
  <c r="I893" i="2"/>
  <c r="H893" i="2"/>
  <c r="I94" i="2"/>
  <c r="H94" i="2"/>
  <c r="I286" i="2"/>
  <c r="H286" i="2"/>
  <c r="H318" i="2"/>
  <c r="I318" i="2"/>
  <c r="I478" i="2"/>
  <c r="H478" i="2"/>
  <c r="I782" i="2"/>
  <c r="H782" i="2"/>
  <c r="I846" i="2"/>
  <c r="H846" i="2"/>
  <c r="H894" i="2"/>
  <c r="I894" i="2"/>
  <c r="I191" i="2"/>
  <c r="H191" i="2"/>
  <c r="I223" i="2"/>
  <c r="H223" i="2"/>
  <c r="I271" i="2"/>
  <c r="H271" i="2"/>
  <c r="I319" i="2"/>
  <c r="H319" i="2"/>
  <c r="I351" i="2"/>
  <c r="H351" i="2"/>
  <c r="I447" i="2"/>
  <c r="H447" i="2"/>
  <c r="H495" i="2"/>
  <c r="I495" i="2"/>
  <c r="I511" i="2"/>
  <c r="H511" i="2"/>
  <c r="I607" i="2"/>
  <c r="H607" i="2"/>
  <c r="I735" i="2"/>
  <c r="H735" i="2"/>
  <c r="H767" i="2"/>
  <c r="I767" i="2"/>
  <c r="I815" i="2"/>
  <c r="H815" i="2"/>
  <c r="I943" i="2"/>
  <c r="H943" i="2"/>
  <c r="I975" i="2"/>
  <c r="H975" i="2"/>
  <c r="H8" i="2"/>
  <c r="H61" i="2"/>
  <c r="H152" i="2"/>
  <c r="H181" i="2"/>
  <c r="H311" i="2"/>
  <c r="H382" i="2"/>
  <c r="H637" i="2"/>
  <c r="H712" i="2"/>
  <c r="H952" i="2"/>
  <c r="I373" i="2"/>
  <c r="I581" i="2"/>
  <c r="H16" i="2"/>
  <c r="I16" i="2"/>
  <c r="H64" i="2"/>
  <c r="I64" i="2"/>
  <c r="H128" i="2"/>
  <c r="I128" i="2"/>
  <c r="I176" i="2"/>
  <c r="H176" i="2"/>
  <c r="H192" i="2"/>
  <c r="I192" i="2"/>
  <c r="I224" i="2"/>
  <c r="H224" i="2"/>
  <c r="H240" i="2"/>
  <c r="I240" i="2"/>
  <c r="I336" i="2"/>
  <c r="H336" i="2"/>
  <c r="I352" i="2"/>
  <c r="H352" i="2"/>
  <c r="I448" i="2"/>
  <c r="H448" i="2"/>
  <c r="H544" i="2"/>
  <c r="I544" i="2"/>
  <c r="I560" i="2"/>
  <c r="H560" i="2"/>
  <c r="I592" i="2"/>
  <c r="H592" i="2"/>
  <c r="I608" i="2"/>
  <c r="H608" i="2"/>
  <c r="I720" i="2"/>
  <c r="H720" i="2"/>
  <c r="H912" i="2"/>
  <c r="I912" i="2"/>
  <c r="I944" i="2"/>
  <c r="H944" i="2"/>
  <c r="I960" i="2"/>
  <c r="H960" i="2"/>
  <c r="H9" i="2"/>
  <c r="H216" i="2"/>
  <c r="H279" i="2"/>
  <c r="H383" i="2"/>
  <c r="H533" i="2"/>
  <c r="H638" i="2"/>
  <c r="H678" i="2"/>
  <c r="H713" i="2"/>
  <c r="H790" i="2"/>
  <c r="H871" i="2"/>
  <c r="H909" i="2"/>
  <c r="I37" i="2"/>
  <c r="I80" i="2"/>
  <c r="I127" i="2"/>
  <c r="H17" i="2"/>
  <c r="I17" i="2"/>
  <c r="H33" i="2"/>
  <c r="I33" i="2"/>
  <c r="H97" i="2"/>
  <c r="I97" i="2"/>
  <c r="H145" i="2"/>
  <c r="I145" i="2"/>
  <c r="I177" i="2"/>
  <c r="H177" i="2"/>
  <c r="H241" i="2"/>
  <c r="I241" i="2"/>
  <c r="H257" i="2"/>
  <c r="I257" i="2"/>
  <c r="H273" i="2"/>
  <c r="I273" i="2"/>
  <c r="H305" i="2"/>
  <c r="I305" i="2"/>
  <c r="H321" i="2"/>
  <c r="I321" i="2"/>
  <c r="H337" i="2"/>
  <c r="I337" i="2"/>
  <c r="I353" i="2"/>
  <c r="H353" i="2"/>
  <c r="I369" i="2"/>
  <c r="H369" i="2"/>
  <c r="H385" i="2"/>
  <c r="I385" i="2"/>
  <c r="H401" i="2"/>
  <c r="I401" i="2"/>
  <c r="H465" i="2"/>
  <c r="I465" i="2"/>
  <c r="I481" i="2"/>
  <c r="H481" i="2"/>
  <c r="I497" i="2"/>
  <c r="H497" i="2"/>
  <c r="H529" i="2"/>
  <c r="I529" i="2"/>
  <c r="H545" i="2"/>
  <c r="I545" i="2"/>
  <c r="H577" i="2"/>
  <c r="I577" i="2"/>
  <c r="H593" i="2"/>
  <c r="I593" i="2"/>
  <c r="I609" i="2"/>
  <c r="H609" i="2"/>
  <c r="I625" i="2"/>
  <c r="H625" i="2"/>
  <c r="H641" i="2"/>
  <c r="I641" i="2"/>
  <c r="H657" i="2"/>
  <c r="I657" i="2"/>
  <c r="H673" i="2"/>
  <c r="I673" i="2"/>
  <c r="H689" i="2"/>
  <c r="I689" i="2"/>
  <c r="H721" i="2"/>
  <c r="I721" i="2"/>
  <c r="I737" i="2"/>
  <c r="H737" i="2"/>
  <c r="H769" i="2"/>
  <c r="I769" i="2"/>
  <c r="H785" i="2"/>
  <c r="I785" i="2"/>
  <c r="I801" i="2"/>
  <c r="H801" i="2"/>
  <c r="H817" i="2"/>
  <c r="I817" i="2"/>
  <c r="I833" i="2"/>
  <c r="H833" i="2"/>
  <c r="H865" i="2"/>
  <c r="I865" i="2"/>
  <c r="H881" i="2"/>
  <c r="I881" i="2"/>
  <c r="H897" i="2"/>
  <c r="I897" i="2"/>
  <c r="H913" i="2"/>
  <c r="I913" i="2"/>
  <c r="I929" i="2"/>
  <c r="H929" i="2"/>
  <c r="I945" i="2"/>
  <c r="H945" i="2"/>
  <c r="I961" i="2"/>
  <c r="H961" i="2"/>
  <c r="H977" i="2"/>
  <c r="I977" i="2"/>
  <c r="H993" i="2"/>
  <c r="I993" i="2"/>
  <c r="H63" i="2"/>
  <c r="H126" i="2"/>
  <c r="H183" i="2"/>
  <c r="H217" i="2"/>
  <c r="H247" i="2"/>
  <c r="H280" i="2"/>
  <c r="H389" i="2"/>
  <c r="H464" i="2"/>
  <c r="H493" i="2"/>
  <c r="H534" i="2"/>
  <c r="H575" i="2"/>
  <c r="H605" i="2"/>
  <c r="H639" i="2"/>
  <c r="H679" i="2"/>
  <c r="H752" i="2"/>
  <c r="H792" i="2"/>
  <c r="H957" i="2"/>
  <c r="H1000" i="2"/>
  <c r="I39" i="2"/>
  <c r="I81" i="2"/>
  <c r="I129" i="2"/>
  <c r="I450" i="2"/>
  <c r="I784" i="2"/>
  <c r="I942" i="2"/>
  <c r="H117" i="2"/>
  <c r="I117" i="2"/>
  <c r="I269" i="2"/>
  <c r="H269" i="2"/>
  <c r="H429" i="2"/>
  <c r="I429" i="2"/>
  <c r="I461" i="2"/>
  <c r="H461" i="2"/>
  <c r="I509" i="2"/>
  <c r="H509" i="2"/>
  <c r="I573" i="2"/>
  <c r="H573" i="2"/>
  <c r="I797" i="2"/>
  <c r="H797" i="2"/>
  <c r="H845" i="2"/>
  <c r="I845" i="2"/>
  <c r="I925" i="2"/>
  <c r="H925" i="2"/>
  <c r="I989" i="2"/>
  <c r="H989" i="2"/>
  <c r="H149" i="2"/>
  <c r="H453" i="2"/>
  <c r="I222" i="2"/>
  <c r="H222" i="2"/>
  <c r="I462" i="2"/>
  <c r="H462" i="2"/>
  <c r="H494" i="2"/>
  <c r="I494" i="2"/>
  <c r="H574" i="2"/>
  <c r="I574" i="2"/>
  <c r="I590" i="2"/>
  <c r="H590" i="2"/>
  <c r="H702" i="2"/>
  <c r="I702" i="2"/>
  <c r="H734" i="2"/>
  <c r="I734" i="2"/>
  <c r="I958" i="2"/>
  <c r="H958" i="2"/>
  <c r="I47" i="2"/>
  <c r="H47" i="2"/>
  <c r="I559" i="2"/>
  <c r="H559" i="2"/>
  <c r="I591" i="2"/>
  <c r="H591" i="2"/>
  <c r="I751" i="2"/>
  <c r="H751" i="2"/>
  <c r="I831" i="2"/>
  <c r="H831" i="2"/>
  <c r="I959" i="2"/>
  <c r="H959" i="2"/>
  <c r="H350" i="2"/>
  <c r="H998" i="2"/>
  <c r="I710" i="2"/>
  <c r="I32" i="2"/>
  <c r="H32" i="2"/>
  <c r="I112" i="2"/>
  <c r="H112" i="2"/>
  <c r="H160" i="2"/>
  <c r="I160" i="2"/>
  <c r="H256" i="2"/>
  <c r="I256" i="2"/>
  <c r="I368" i="2"/>
  <c r="H368" i="2"/>
  <c r="I496" i="2"/>
  <c r="H496" i="2"/>
  <c r="H528" i="2"/>
  <c r="I528" i="2"/>
  <c r="I624" i="2"/>
  <c r="H624" i="2"/>
  <c r="I736" i="2"/>
  <c r="H736" i="2"/>
  <c r="H768" i="2"/>
  <c r="I768" i="2"/>
  <c r="I976" i="2"/>
  <c r="H976" i="2"/>
  <c r="H182" i="2"/>
  <c r="H425" i="2"/>
  <c r="H2" i="2"/>
  <c r="I2" i="2"/>
  <c r="I114" i="2"/>
  <c r="H114" i="2"/>
  <c r="I146" i="2"/>
  <c r="H146" i="2"/>
  <c r="H194" i="2"/>
  <c r="I194" i="2"/>
  <c r="H274" i="2"/>
  <c r="I274" i="2"/>
  <c r="H290" i="2"/>
  <c r="I290" i="2"/>
  <c r="I338" i="2"/>
  <c r="H338" i="2"/>
  <c r="I370" i="2"/>
  <c r="H370" i="2"/>
  <c r="I386" i="2"/>
  <c r="H386" i="2"/>
  <c r="H418" i="2"/>
  <c r="I418" i="2"/>
  <c r="I498" i="2"/>
  <c r="H498" i="2"/>
  <c r="H530" i="2"/>
  <c r="I530" i="2"/>
  <c r="H546" i="2"/>
  <c r="I546" i="2"/>
  <c r="I626" i="2"/>
  <c r="H626" i="2"/>
  <c r="I642" i="2"/>
  <c r="H642" i="2"/>
  <c r="I658" i="2"/>
  <c r="H658" i="2"/>
  <c r="H722" i="2"/>
  <c r="I722" i="2"/>
  <c r="H770" i="2"/>
  <c r="I770" i="2"/>
  <c r="H786" i="2"/>
  <c r="I786" i="2"/>
  <c r="I802" i="2"/>
  <c r="H802" i="2"/>
  <c r="I818" i="2"/>
  <c r="H818" i="2"/>
  <c r="I834" i="2"/>
  <c r="H834" i="2"/>
  <c r="H866" i="2"/>
  <c r="I866" i="2"/>
  <c r="H882" i="2"/>
  <c r="I882" i="2"/>
  <c r="H898" i="2"/>
  <c r="I898" i="2"/>
  <c r="H914" i="2"/>
  <c r="I914" i="2"/>
  <c r="H930" i="2"/>
  <c r="I930" i="2"/>
  <c r="I946" i="2"/>
  <c r="H946" i="2"/>
  <c r="H962" i="2"/>
  <c r="I962" i="2"/>
  <c r="H978" i="2"/>
  <c r="I978" i="2"/>
  <c r="H994" i="2"/>
  <c r="I994" i="2"/>
  <c r="H13" i="2"/>
  <c r="H40" i="2"/>
  <c r="H69" i="2"/>
  <c r="H158" i="2"/>
  <c r="H248" i="2"/>
  <c r="H281" i="2"/>
  <c r="H390" i="2"/>
  <c r="H466" i="2"/>
  <c r="H537" i="2"/>
  <c r="H576" i="2"/>
  <c r="H606" i="2"/>
  <c r="H680" i="2"/>
  <c r="H838" i="2"/>
  <c r="H878" i="2"/>
  <c r="H911" i="2"/>
  <c r="I189" i="2"/>
  <c r="I322" i="2"/>
  <c r="I454" i="2"/>
  <c r="I597" i="2"/>
  <c r="H83" i="2"/>
  <c r="I83" i="2"/>
  <c r="H131" i="2"/>
  <c r="I131" i="2"/>
  <c r="I179" i="2"/>
  <c r="H179" i="2"/>
  <c r="H211" i="2"/>
  <c r="I211" i="2"/>
  <c r="H259" i="2"/>
  <c r="I259" i="2"/>
  <c r="H291" i="2"/>
  <c r="I291" i="2"/>
  <c r="H307" i="2"/>
  <c r="I307" i="2"/>
  <c r="I387" i="2"/>
  <c r="H387" i="2"/>
  <c r="I515" i="2"/>
  <c r="H515" i="2"/>
  <c r="I547" i="2"/>
  <c r="H547" i="2"/>
  <c r="I643" i="2"/>
  <c r="H643" i="2"/>
  <c r="I819" i="2"/>
  <c r="H819" i="2"/>
  <c r="I851" i="2"/>
  <c r="H851" i="2"/>
  <c r="H883" i="2"/>
  <c r="I883" i="2"/>
  <c r="H899" i="2"/>
  <c r="I899" i="2"/>
  <c r="H915" i="2"/>
  <c r="I915" i="2"/>
  <c r="H931" i="2"/>
  <c r="I931" i="2"/>
  <c r="I947" i="2"/>
  <c r="H947" i="2"/>
  <c r="H963" i="2"/>
  <c r="I963" i="2"/>
  <c r="H979" i="2"/>
  <c r="I979" i="2"/>
  <c r="H995" i="2"/>
  <c r="I995" i="2"/>
  <c r="H10" i="2"/>
  <c r="H203" i="2"/>
  <c r="H244" i="2"/>
  <c r="H635" i="2"/>
  <c r="H684" i="2"/>
  <c r="H708" i="2"/>
  <c r="H732" i="2"/>
  <c r="I276" i="2"/>
  <c r="H276" i="2"/>
  <c r="I308" i="2"/>
  <c r="H308" i="2"/>
  <c r="I324" i="2"/>
  <c r="H324" i="2"/>
  <c r="I404" i="2"/>
  <c r="H404" i="2"/>
  <c r="I420" i="2"/>
  <c r="H420" i="2"/>
  <c r="I532" i="2"/>
  <c r="H532" i="2"/>
  <c r="I564" i="2"/>
  <c r="H564" i="2"/>
  <c r="I580" i="2"/>
  <c r="H580" i="2"/>
  <c r="I660" i="2"/>
  <c r="H660" i="2"/>
  <c r="I676" i="2"/>
  <c r="H676" i="2"/>
  <c r="I788" i="2"/>
  <c r="H788" i="2"/>
  <c r="I820" i="2"/>
  <c r="H820" i="2"/>
  <c r="I836" i="2"/>
  <c r="H836" i="2"/>
  <c r="I868" i="2"/>
  <c r="H868" i="2"/>
  <c r="I916" i="2"/>
  <c r="H916" i="2"/>
  <c r="I948" i="2"/>
  <c r="H948" i="2"/>
  <c r="H106" i="2"/>
  <c r="H204" i="2"/>
  <c r="H363" i="2"/>
  <c r="H388" i="2"/>
  <c r="H436" i="2"/>
  <c r="H636" i="2"/>
  <c r="I556" i="2"/>
  <c r="I867" i="2"/>
  <c r="I427" i="2"/>
  <c r="H427" i="2"/>
  <c r="I443" i="2"/>
  <c r="H443" i="2"/>
  <c r="H523" i="2"/>
  <c r="I523" i="2"/>
  <c r="I539" i="2"/>
  <c r="H539" i="2"/>
  <c r="I683" i="2"/>
  <c r="H683" i="2"/>
  <c r="I699" i="2"/>
  <c r="H699" i="2"/>
  <c r="I779" i="2"/>
  <c r="H779" i="2"/>
  <c r="I795" i="2"/>
  <c r="H795" i="2"/>
  <c r="I875" i="2"/>
  <c r="H875" i="2"/>
  <c r="I907" i="2"/>
  <c r="H907" i="2"/>
  <c r="H75" i="2"/>
  <c r="H154" i="2"/>
  <c r="H252" i="2"/>
  <c r="H275" i="2"/>
  <c r="H323" i="2"/>
  <c r="H499" i="2"/>
  <c r="H548" i="2"/>
  <c r="H571" i="2"/>
  <c r="H596" i="2"/>
  <c r="H772" i="2"/>
  <c r="H844" i="2"/>
  <c r="H932" i="2"/>
  <c r="H988" i="2"/>
  <c r="I76" i="2"/>
  <c r="I163" i="2"/>
  <c r="H74" i="2"/>
  <c r="H284" i="2"/>
  <c r="I284" i="2"/>
  <c r="I300" i="2"/>
  <c r="H300" i="2"/>
  <c r="I444" i="2"/>
  <c r="H444" i="2"/>
  <c r="I460" i="2"/>
  <c r="H460" i="2"/>
  <c r="H668" i="2"/>
  <c r="I668" i="2"/>
  <c r="I700" i="2"/>
  <c r="H700" i="2"/>
  <c r="I716" i="2"/>
  <c r="H716" i="2"/>
  <c r="I796" i="2"/>
  <c r="H796" i="2"/>
  <c r="I812" i="2"/>
  <c r="H812" i="2"/>
  <c r="H3" i="2"/>
  <c r="H155" i="2"/>
  <c r="H196" i="2"/>
  <c r="H234" i="2"/>
  <c r="H299" i="2"/>
  <c r="H500" i="2"/>
  <c r="H524" i="2"/>
  <c r="H572" i="2"/>
  <c r="H723" i="2"/>
  <c r="H747" i="2"/>
  <c r="I403" i="2"/>
  <c r="I522" i="2"/>
  <c r="H778" i="2"/>
  <c r="H906" i="2"/>
  <c r="H506" i="2"/>
  <c r="H986" i="2"/>
  <c r="I953" i="2"/>
  <c r="H426" i="2"/>
  <c r="H682" i="2"/>
  <c r="H874" i="2"/>
  <c r="H378" i="2"/>
  <c r="H858" i="2"/>
  <c r="J989" i="2"/>
  <c r="K989" i="2" s="1"/>
  <c r="J973" i="2"/>
  <c r="K973" i="2" s="1"/>
  <c r="J957" i="2"/>
  <c r="K957" i="2" s="1"/>
  <c r="J941" i="2"/>
  <c r="K941" i="2" s="1"/>
  <c r="J925" i="2"/>
  <c r="K925" i="2" s="1"/>
  <c r="J909" i="2"/>
  <c r="K909" i="2" s="1"/>
  <c r="J893" i="2"/>
  <c r="K893" i="2" s="1"/>
  <c r="J877" i="2"/>
  <c r="K877" i="2" s="1"/>
  <c r="J845" i="2"/>
  <c r="K845" i="2" s="1"/>
  <c r="J829" i="2"/>
  <c r="K829" i="2" s="1"/>
  <c r="J813" i="2"/>
  <c r="K813" i="2" s="1"/>
  <c r="J797" i="2"/>
  <c r="K797" i="2" s="1"/>
  <c r="J988" i="2"/>
  <c r="K988" i="2" s="1"/>
  <c r="J972" i="2"/>
  <c r="K972" i="2" s="1"/>
  <c r="J956" i="2"/>
  <c r="K956" i="2" s="1"/>
  <c r="J940" i="2"/>
  <c r="K940" i="2" s="1"/>
  <c r="J924" i="2"/>
  <c r="K924" i="2" s="1"/>
  <c r="J908" i="2"/>
  <c r="K908" i="2" s="1"/>
  <c r="J892" i="2"/>
  <c r="K892" i="2" s="1"/>
  <c r="J876" i="2"/>
  <c r="K876" i="2" s="1"/>
  <c r="J860" i="2"/>
  <c r="K860" i="2" s="1"/>
  <c r="J828" i="2"/>
  <c r="K828" i="2" s="1"/>
  <c r="J812" i="2"/>
  <c r="K812" i="2" s="1"/>
  <c r="J796" i="2"/>
  <c r="K796" i="2" s="1"/>
  <c r="J780" i="2"/>
  <c r="K780" i="2" s="1"/>
  <c r="J764" i="2"/>
  <c r="K764" i="2" s="1"/>
  <c r="J748" i="2"/>
  <c r="K748" i="2" s="1"/>
  <c r="J716" i="2"/>
  <c r="K716" i="2" s="1"/>
  <c r="J700" i="2"/>
  <c r="K700" i="2" s="1"/>
  <c r="J987" i="2"/>
  <c r="K987" i="2" s="1"/>
  <c r="J971" i="2"/>
  <c r="K971" i="2" s="1"/>
  <c r="J939" i="2"/>
  <c r="K939" i="2" s="1"/>
  <c r="J923" i="2"/>
  <c r="K923" i="2" s="1"/>
  <c r="J907" i="2"/>
  <c r="K907" i="2" s="1"/>
  <c r="J891" i="2"/>
  <c r="K891" i="2" s="1"/>
  <c r="J875" i="2"/>
  <c r="K875" i="2" s="1"/>
  <c r="J859" i="2"/>
  <c r="K859" i="2" s="1"/>
  <c r="J843" i="2"/>
  <c r="K843" i="2" s="1"/>
  <c r="J811" i="2"/>
  <c r="K811" i="2" s="1"/>
  <c r="J795" i="2"/>
  <c r="K795" i="2" s="1"/>
  <c r="J779" i="2"/>
  <c r="K779" i="2" s="1"/>
  <c r="J763" i="2"/>
  <c r="K763" i="2" s="1"/>
  <c r="J747" i="2"/>
  <c r="K747" i="2" s="1"/>
  <c r="J731" i="2"/>
  <c r="K731" i="2" s="1"/>
  <c r="J715" i="2"/>
  <c r="K715" i="2" s="1"/>
  <c r="J699" i="2"/>
  <c r="K699" i="2" s="1"/>
  <c r="J683" i="2"/>
  <c r="K683" i="2" s="1"/>
  <c r="J667" i="2"/>
  <c r="K667" i="2" s="1"/>
  <c r="J651" i="2"/>
  <c r="K651" i="2" s="1"/>
  <c r="J635" i="2"/>
  <c r="K635" i="2" s="1"/>
  <c r="J619" i="2"/>
  <c r="K619" i="2" s="1"/>
  <c r="J997" i="2"/>
  <c r="K997" i="2" s="1"/>
  <c r="J981" i="2"/>
  <c r="K981" i="2" s="1"/>
  <c r="J965" i="2"/>
  <c r="K965" i="2" s="1"/>
  <c r="J949" i="2"/>
  <c r="K949" i="2" s="1"/>
  <c r="J933" i="2"/>
  <c r="K933" i="2" s="1"/>
  <c r="J917" i="2"/>
  <c r="K917" i="2" s="1"/>
  <c r="J901" i="2"/>
  <c r="K901" i="2" s="1"/>
  <c r="J885" i="2"/>
  <c r="K885" i="2" s="1"/>
  <c r="J869" i="2"/>
  <c r="K869" i="2" s="1"/>
  <c r="J853" i="2"/>
  <c r="K853" i="2" s="1"/>
  <c r="J837" i="2"/>
  <c r="K837" i="2" s="1"/>
  <c r="J821" i="2"/>
  <c r="K821" i="2" s="1"/>
  <c r="J805" i="2"/>
  <c r="K805" i="2" s="1"/>
  <c r="J996" i="2"/>
  <c r="K996" i="2" s="1"/>
  <c r="J980" i="2"/>
  <c r="K980" i="2" s="1"/>
  <c r="J964" i="2"/>
  <c r="K964" i="2" s="1"/>
  <c r="J948" i="2"/>
  <c r="K948" i="2" s="1"/>
  <c r="J932" i="2"/>
  <c r="K932" i="2" s="1"/>
  <c r="J916" i="2"/>
  <c r="K916" i="2" s="1"/>
  <c r="J900" i="2"/>
  <c r="K900" i="2" s="1"/>
  <c r="J884" i="2"/>
  <c r="K884" i="2" s="1"/>
  <c r="J868" i="2"/>
  <c r="K868" i="2" s="1"/>
  <c r="J836" i="2"/>
  <c r="K836" i="2" s="1"/>
  <c r="J804" i="2"/>
  <c r="K804" i="2" s="1"/>
  <c r="J788" i="2"/>
  <c r="K788" i="2" s="1"/>
  <c r="J772" i="2"/>
  <c r="K772" i="2" s="1"/>
  <c r="J756" i="2"/>
  <c r="K756" i="2" s="1"/>
  <c r="J740" i="2"/>
  <c r="K740" i="2" s="1"/>
  <c r="J724" i="2"/>
  <c r="K724" i="2" s="1"/>
  <c r="J708" i="2"/>
  <c r="K708" i="2" s="1"/>
  <c r="J994" i="2"/>
  <c r="K994" i="2" s="1"/>
  <c r="J962" i="2"/>
  <c r="K962" i="2" s="1"/>
  <c r="J946" i="2"/>
  <c r="K946" i="2" s="1"/>
  <c r="J930" i="2"/>
  <c r="K930" i="2" s="1"/>
  <c r="J979" i="2"/>
  <c r="K979" i="2" s="1"/>
  <c r="J931" i="2"/>
  <c r="K931" i="2" s="1"/>
  <c r="J906" i="2"/>
  <c r="K906" i="2" s="1"/>
  <c r="J883" i="2"/>
  <c r="K883" i="2" s="1"/>
  <c r="J862" i="2"/>
  <c r="K862" i="2" s="1"/>
  <c r="J841" i="2"/>
  <c r="K841" i="2" s="1"/>
  <c r="J799" i="2"/>
  <c r="K799" i="2" s="1"/>
  <c r="J777" i="2"/>
  <c r="K777" i="2" s="1"/>
  <c r="J738" i="2"/>
  <c r="K738" i="2" s="1"/>
  <c r="J701" i="2"/>
  <c r="K701" i="2" s="1"/>
  <c r="J682" i="2"/>
  <c r="K682" i="2" s="1"/>
  <c r="J665" i="2"/>
  <c r="K665" i="2" s="1"/>
  <c r="J631" i="2"/>
  <c r="K631" i="2" s="1"/>
  <c r="J614" i="2"/>
  <c r="K614" i="2" s="1"/>
  <c r="J598" i="2"/>
  <c r="K598" i="2" s="1"/>
  <c r="J566" i="2"/>
  <c r="K566" i="2" s="1"/>
  <c r="J550" i="2"/>
  <c r="K550" i="2" s="1"/>
  <c r="J518" i="2"/>
  <c r="K518" i="2" s="1"/>
  <c r="J502" i="2"/>
  <c r="K502" i="2" s="1"/>
  <c r="J486" i="2"/>
  <c r="K486" i="2" s="1"/>
  <c r="J470" i="2"/>
  <c r="K470" i="2" s="1"/>
  <c r="J454" i="2"/>
  <c r="K454" i="2" s="1"/>
  <c r="J1002" i="2"/>
  <c r="K1002" i="2" s="1"/>
  <c r="J929" i="2"/>
  <c r="K929" i="2" s="1"/>
  <c r="J905" i="2"/>
  <c r="K905" i="2" s="1"/>
  <c r="J882" i="2"/>
  <c r="K882" i="2" s="1"/>
  <c r="J840" i="2"/>
  <c r="K840" i="2" s="1"/>
  <c r="J819" i="2"/>
  <c r="K819" i="2" s="1"/>
  <c r="J798" i="2"/>
  <c r="K798" i="2" s="1"/>
  <c r="J776" i="2"/>
  <c r="K776" i="2" s="1"/>
  <c r="J757" i="2"/>
  <c r="K757" i="2" s="1"/>
  <c r="J737" i="2"/>
  <c r="K737" i="2" s="1"/>
  <c r="J719" i="2"/>
  <c r="K719" i="2" s="1"/>
  <c r="J698" i="2"/>
  <c r="K698" i="2" s="1"/>
  <c r="J681" i="2"/>
  <c r="K681" i="2" s="1"/>
  <c r="J664" i="2"/>
  <c r="K664" i="2" s="1"/>
  <c r="J613" i="2"/>
  <c r="K613" i="2" s="1"/>
  <c r="J597" i="2"/>
  <c r="K597" i="2" s="1"/>
  <c r="J581" i="2"/>
  <c r="K581" i="2" s="1"/>
  <c r="J549" i="2"/>
  <c r="K549" i="2" s="1"/>
  <c r="J533" i="2"/>
  <c r="K533" i="2" s="1"/>
  <c r="J517" i="2"/>
  <c r="K517" i="2" s="1"/>
  <c r="J501" i="2"/>
  <c r="K501" i="2" s="1"/>
  <c r="J485" i="2"/>
  <c r="K485" i="2" s="1"/>
  <c r="J469" i="2"/>
  <c r="K469" i="2" s="1"/>
  <c r="J453" i="2"/>
  <c r="K453" i="2" s="1"/>
  <c r="J437" i="2"/>
  <c r="K437" i="2" s="1"/>
  <c r="J421" i="2"/>
  <c r="K421" i="2" s="1"/>
  <c r="J405" i="2"/>
  <c r="K405" i="2" s="1"/>
  <c r="J389" i="2"/>
  <c r="K389" i="2" s="1"/>
  <c r="J357" i="2"/>
  <c r="K357" i="2" s="1"/>
  <c r="J341" i="2"/>
  <c r="K341" i="2" s="1"/>
  <c r="J325" i="2"/>
  <c r="K325" i="2" s="1"/>
  <c r="J309" i="2"/>
  <c r="K309" i="2" s="1"/>
  <c r="J293" i="2"/>
  <c r="K293" i="2" s="1"/>
  <c r="J245" i="2"/>
  <c r="K245" i="2" s="1"/>
  <c r="J229" i="2"/>
  <c r="K229" i="2" s="1"/>
  <c r="J213" i="2"/>
  <c r="K213" i="2" s="1"/>
  <c r="J197" i="2"/>
  <c r="K197" i="2" s="1"/>
  <c r="J181" i="2"/>
  <c r="K181" i="2" s="1"/>
  <c r="J165" i="2"/>
  <c r="K165" i="2" s="1"/>
  <c r="J149" i="2"/>
  <c r="K149" i="2" s="1"/>
  <c r="J133" i="2"/>
  <c r="K133" i="2" s="1"/>
  <c r="J117" i="2"/>
  <c r="K117" i="2" s="1"/>
  <c r="J101" i="2"/>
  <c r="K101" i="2" s="1"/>
  <c r="J85" i="2"/>
  <c r="K85" i="2" s="1"/>
  <c r="J69" i="2"/>
  <c r="K69" i="2" s="1"/>
  <c r="J37" i="2"/>
  <c r="K37" i="2" s="1"/>
  <c r="J21" i="2"/>
  <c r="K21" i="2" s="1"/>
  <c r="J5" i="2"/>
  <c r="K5" i="2" s="1"/>
  <c r="J977" i="2"/>
  <c r="K977" i="2" s="1"/>
  <c r="J953" i="2"/>
  <c r="K953" i="2" s="1"/>
  <c r="J928" i="2"/>
  <c r="K928" i="2" s="1"/>
  <c r="J904" i="2"/>
  <c r="K904" i="2" s="1"/>
  <c r="J881" i="2"/>
  <c r="K881" i="2" s="1"/>
  <c r="J858" i="2"/>
  <c r="K858" i="2" s="1"/>
  <c r="J839" i="2"/>
  <c r="K839" i="2" s="1"/>
  <c r="J818" i="2"/>
  <c r="K818" i="2" s="1"/>
  <c r="J775" i="2"/>
  <c r="K775" i="2" s="1"/>
  <c r="J755" i="2"/>
  <c r="K755" i="2" s="1"/>
  <c r="J718" i="2"/>
  <c r="K718" i="2" s="1"/>
  <c r="J680" i="2"/>
  <c r="K680" i="2" s="1"/>
  <c r="J663" i="2"/>
  <c r="K663" i="2" s="1"/>
  <c r="J646" i="2"/>
  <c r="K646" i="2" s="1"/>
  <c r="J612" i="2"/>
  <c r="K612" i="2" s="1"/>
  <c r="J596" i="2"/>
  <c r="K596" i="2" s="1"/>
  <c r="J580" i="2"/>
  <c r="K580" i="2" s="1"/>
  <c r="J564" i="2"/>
  <c r="K564" i="2" s="1"/>
  <c r="J548" i="2"/>
  <c r="K548" i="2" s="1"/>
  <c r="J532" i="2"/>
  <c r="K532" i="2" s="1"/>
  <c r="J516" i="2"/>
  <c r="K516" i="2" s="1"/>
  <c r="J500" i="2"/>
  <c r="K500" i="2" s="1"/>
  <c r="J484" i="2"/>
  <c r="K484" i="2" s="1"/>
  <c r="J468" i="2"/>
  <c r="K468" i="2" s="1"/>
  <c r="J452" i="2"/>
  <c r="K452" i="2" s="1"/>
  <c r="J436" i="2"/>
  <c r="K436" i="2" s="1"/>
  <c r="J420" i="2"/>
  <c r="K420" i="2" s="1"/>
  <c r="J404" i="2"/>
  <c r="K404" i="2" s="1"/>
  <c r="J388" i="2"/>
  <c r="K388" i="2" s="1"/>
  <c r="J1000" i="2"/>
  <c r="K1000" i="2" s="1"/>
  <c r="J976" i="2"/>
  <c r="K976" i="2" s="1"/>
  <c r="J927" i="2"/>
  <c r="K927" i="2" s="1"/>
  <c r="J903" i="2"/>
  <c r="K903" i="2" s="1"/>
  <c r="J880" i="2"/>
  <c r="K880" i="2" s="1"/>
  <c r="J857" i="2"/>
  <c r="K857" i="2" s="1"/>
  <c r="J838" i="2"/>
  <c r="K838" i="2" s="1"/>
  <c r="J793" i="2"/>
  <c r="K793" i="2" s="1"/>
  <c r="J774" i="2"/>
  <c r="K774" i="2" s="1"/>
  <c r="J754" i="2"/>
  <c r="K754" i="2" s="1"/>
  <c r="J735" i="2"/>
  <c r="K735" i="2" s="1"/>
  <c r="J717" i="2"/>
  <c r="K717" i="2" s="1"/>
  <c r="J696" i="2"/>
  <c r="K696" i="2" s="1"/>
  <c r="J679" i="2"/>
  <c r="K679" i="2" s="1"/>
  <c r="J645" i="2"/>
  <c r="K645" i="2" s="1"/>
  <c r="J628" i="2"/>
  <c r="K628" i="2" s="1"/>
  <c r="J611" i="2"/>
  <c r="K611" i="2" s="1"/>
  <c r="J595" i="2"/>
  <c r="K595" i="2" s="1"/>
  <c r="J579" i="2"/>
  <c r="K579" i="2" s="1"/>
  <c r="J563" i="2"/>
  <c r="K563" i="2" s="1"/>
  <c r="J547" i="2"/>
  <c r="K547" i="2" s="1"/>
  <c r="J531" i="2"/>
  <c r="K531" i="2" s="1"/>
  <c r="J951" i="2"/>
  <c r="K951" i="2" s="1"/>
  <c r="J919" i="2"/>
  <c r="K919" i="2" s="1"/>
  <c r="J889" i="2"/>
  <c r="K889" i="2" s="1"/>
  <c r="J832" i="2"/>
  <c r="K832" i="2" s="1"/>
  <c r="J808" i="2"/>
  <c r="K808" i="2" s="1"/>
  <c r="J783" i="2"/>
  <c r="K783" i="2" s="1"/>
  <c r="J709" i="2"/>
  <c r="K709" i="2" s="1"/>
  <c r="J687" i="2"/>
  <c r="K687" i="2" s="1"/>
  <c r="J643" i="2"/>
  <c r="K643" i="2" s="1"/>
  <c r="J624" i="2"/>
  <c r="K624" i="2" s="1"/>
  <c r="J603" i="2"/>
  <c r="K603" i="2" s="1"/>
  <c r="J583" i="2"/>
  <c r="K583" i="2" s="1"/>
  <c r="J561" i="2"/>
  <c r="K561" i="2" s="1"/>
  <c r="J541" i="2"/>
  <c r="K541" i="2" s="1"/>
  <c r="J522" i="2"/>
  <c r="K522" i="2" s="1"/>
  <c r="J503" i="2"/>
  <c r="K503" i="2" s="1"/>
  <c r="J481" i="2"/>
  <c r="K481" i="2" s="1"/>
  <c r="J462" i="2"/>
  <c r="K462" i="2" s="1"/>
  <c r="J443" i="2"/>
  <c r="K443" i="2" s="1"/>
  <c r="J425" i="2"/>
  <c r="K425" i="2" s="1"/>
  <c r="J407" i="2"/>
  <c r="K407" i="2" s="1"/>
  <c r="J387" i="2"/>
  <c r="K387" i="2" s="1"/>
  <c r="J371" i="2"/>
  <c r="K371" i="2" s="1"/>
  <c r="J354" i="2"/>
  <c r="K354" i="2" s="1"/>
  <c r="J337" i="2"/>
  <c r="K337" i="2" s="1"/>
  <c r="J320" i="2"/>
  <c r="K320" i="2" s="1"/>
  <c r="J303" i="2"/>
  <c r="K303" i="2" s="1"/>
  <c r="J286" i="2"/>
  <c r="K286" i="2" s="1"/>
  <c r="J254" i="2"/>
  <c r="K254" i="2" s="1"/>
  <c r="J220" i="2"/>
  <c r="K220" i="2" s="1"/>
  <c r="J203" i="2"/>
  <c r="K203" i="2" s="1"/>
  <c r="J186" i="2"/>
  <c r="K186" i="2" s="1"/>
  <c r="J152" i="2"/>
  <c r="K152" i="2" s="1"/>
  <c r="J135" i="2"/>
  <c r="K135" i="2" s="1"/>
  <c r="J118" i="2"/>
  <c r="K118" i="2" s="1"/>
  <c r="J100" i="2"/>
  <c r="K100" i="2" s="1"/>
  <c r="J83" i="2"/>
  <c r="K83" i="2" s="1"/>
  <c r="J50" i="2"/>
  <c r="K50" i="2" s="1"/>
  <c r="J33" i="2"/>
  <c r="K33" i="2" s="1"/>
  <c r="J16" i="2"/>
  <c r="K16" i="2" s="1"/>
  <c r="J975" i="2"/>
  <c r="K975" i="2" s="1"/>
  <c r="J950" i="2"/>
  <c r="K950" i="2" s="1"/>
  <c r="J918" i="2"/>
  <c r="K918" i="2" s="1"/>
  <c r="J888" i="2"/>
  <c r="K888" i="2" s="1"/>
  <c r="J856" i="2"/>
  <c r="K856" i="2" s="1"/>
  <c r="J831" i="2"/>
  <c r="K831" i="2" s="1"/>
  <c r="J807" i="2"/>
  <c r="K807" i="2" s="1"/>
  <c r="J782" i="2"/>
  <c r="K782" i="2" s="1"/>
  <c r="J753" i="2"/>
  <c r="K753" i="2" s="1"/>
  <c r="J730" i="2"/>
  <c r="K730" i="2" s="1"/>
  <c r="J707" i="2"/>
  <c r="K707" i="2" s="1"/>
  <c r="J686" i="2"/>
  <c r="K686" i="2" s="1"/>
  <c r="J661" i="2"/>
  <c r="K661" i="2" s="1"/>
  <c r="J642" i="2"/>
  <c r="K642" i="2" s="1"/>
  <c r="J602" i="2"/>
  <c r="K602" i="2" s="1"/>
  <c r="J540" i="2"/>
  <c r="K540" i="2" s="1"/>
  <c r="J521" i="2"/>
  <c r="K521" i="2" s="1"/>
  <c r="J499" i="2"/>
  <c r="K499" i="2" s="1"/>
  <c r="J480" i="2"/>
  <c r="K480" i="2" s="1"/>
  <c r="J461" i="2"/>
  <c r="K461" i="2" s="1"/>
  <c r="J442" i="2"/>
  <c r="K442" i="2" s="1"/>
  <c r="J424" i="2"/>
  <c r="K424" i="2" s="1"/>
  <c r="J386" i="2"/>
  <c r="K386" i="2" s="1"/>
  <c r="J370" i="2"/>
  <c r="K370" i="2" s="1"/>
  <c r="J353" i="2"/>
  <c r="K353" i="2" s="1"/>
  <c r="J336" i="2"/>
  <c r="K336" i="2" s="1"/>
  <c r="J319" i="2"/>
  <c r="K319" i="2" s="1"/>
  <c r="J302" i="2"/>
  <c r="K302" i="2" s="1"/>
  <c r="J285" i="2"/>
  <c r="K285" i="2" s="1"/>
  <c r="J269" i="2"/>
  <c r="K269" i="2" s="1"/>
  <c r="J253" i="2"/>
  <c r="K253" i="2" s="1"/>
  <c r="J236" i="2"/>
  <c r="K236" i="2" s="1"/>
  <c r="J219" i="2"/>
  <c r="K219" i="2" s="1"/>
  <c r="J974" i="2"/>
  <c r="K974" i="2" s="1"/>
  <c r="J947" i="2"/>
  <c r="K947" i="2" s="1"/>
  <c r="J915" i="2"/>
  <c r="K915" i="2" s="1"/>
  <c r="J887" i="2"/>
  <c r="K887" i="2" s="1"/>
  <c r="J830" i="2"/>
  <c r="K830" i="2" s="1"/>
  <c r="J806" i="2"/>
  <c r="K806" i="2" s="1"/>
  <c r="J781" i="2"/>
  <c r="K781" i="2" s="1"/>
  <c r="J752" i="2"/>
  <c r="K752" i="2" s="1"/>
  <c r="J729" i="2"/>
  <c r="K729" i="2" s="1"/>
  <c r="J706" i="2"/>
  <c r="K706" i="2" s="1"/>
  <c r="J685" i="2"/>
  <c r="K685" i="2" s="1"/>
  <c r="J945" i="2"/>
  <c r="K945" i="2" s="1"/>
  <c r="J914" i="2"/>
  <c r="K914" i="2" s="1"/>
  <c r="J886" i="2"/>
  <c r="K886" i="2" s="1"/>
  <c r="J854" i="2"/>
  <c r="K854" i="2" s="1"/>
  <c r="J803" i="2"/>
  <c r="K803" i="2" s="1"/>
  <c r="J728" i="2"/>
  <c r="K728" i="2" s="1"/>
  <c r="J705" i="2"/>
  <c r="K705" i="2" s="1"/>
  <c r="J684" i="2"/>
  <c r="K684" i="2" s="1"/>
  <c r="J659" i="2"/>
  <c r="K659" i="2" s="1"/>
  <c r="J640" i="2"/>
  <c r="K640" i="2" s="1"/>
  <c r="J621" i="2"/>
  <c r="K621" i="2" s="1"/>
  <c r="J600" i="2"/>
  <c r="K600" i="2" s="1"/>
  <c r="J577" i="2"/>
  <c r="K577" i="2" s="1"/>
  <c r="J538" i="2"/>
  <c r="K538" i="2" s="1"/>
  <c r="J519" i="2"/>
  <c r="K519" i="2" s="1"/>
  <c r="J497" i="2"/>
  <c r="K497" i="2" s="1"/>
  <c r="J478" i="2"/>
  <c r="K478" i="2" s="1"/>
  <c r="J459" i="2"/>
  <c r="K459" i="2" s="1"/>
  <c r="J422" i="2"/>
  <c r="K422" i="2" s="1"/>
  <c r="J402" i="2"/>
  <c r="K402" i="2" s="1"/>
  <c r="J384" i="2"/>
  <c r="K384" i="2" s="1"/>
  <c r="J351" i="2"/>
  <c r="K351" i="2" s="1"/>
  <c r="J334" i="2"/>
  <c r="K334" i="2" s="1"/>
  <c r="J317" i="2"/>
  <c r="K317" i="2" s="1"/>
  <c r="J300" i="2"/>
  <c r="K300" i="2" s="1"/>
  <c r="J283" i="2"/>
  <c r="K283" i="2" s="1"/>
  <c r="J251" i="2"/>
  <c r="K251" i="2" s="1"/>
  <c r="J234" i="2"/>
  <c r="K234" i="2" s="1"/>
  <c r="J217" i="2"/>
  <c r="K217" i="2" s="1"/>
  <c r="J200" i="2"/>
  <c r="K200" i="2" s="1"/>
  <c r="J183" i="2"/>
  <c r="K183" i="2" s="1"/>
  <c r="J148" i="2"/>
  <c r="K148" i="2" s="1"/>
  <c r="J131" i="2"/>
  <c r="K131" i="2" s="1"/>
  <c r="J114" i="2"/>
  <c r="K114" i="2" s="1"/>
  <c r="J97" i="2"/>
  <c r="K97" i="2" s="1"/>
  <c r="J80" i="2"/>
  <c r="K80" i="2" s="1"/>
  <c r="J63" i="2"/>
  <c r="K63" i="2" s="1"/>
  <c r="J47" i="2"/>
  <c r="K47" i="2" s="1"/>
  <c r="J13" i="2"/>
  <c r="K13" i="2" s="1"/>
  <c r="J995" i="2"/>
  <c r="K995" i="2" s="1"/>
  <c r="J967" i="2"/>
  <c r="K967" i="2" s="1"/>
  <c r="J942" i="2"/>
  <c r="K942" i="2" s="1"/>
  <c r="J911" i="2"/>
  <c r="K911" i="2" s="1"/>
  <c r="J874" i="2"/>
  <c r="K874" i="2" s="1"/>
  <c r="J850" i="2"/>
  <c r="K850" i="2" s="1"/>
  <c r="J824" i="2"/>
  <c r="K824" i="2" s="1"/>
  <c r="J800" i="2"/>
  <c r="K800" i="2" s="1"/>
  <c r="J770" i="2"/>
  <c r="K770" i="2" s="1"/>
  <c r="J746" i="2"/>
  <c r="K746" i="2" s="1"/>
  <c r="J725" i="2"/>
  <c r="K725" i="2" s="1"/>
  <c r="J702" i="2"/>
  <c r="K702" i="2" s="1"/>
  <c r="J676" i="2"/>
  <c r="K676" i="2" s="1"/>
  <c r="J656" i="2"/>
  <c r="K656" i="2" s="1"/>
  <c r="J637" i="2"/>
  <c r="K637" i="2" s="1"/>
  <c r="J593" i="2"/>
  <c r="K593" i="2" s="1"/>
  <c r="J574" i="2"/>
  <c r="K574" i="2" s="1"/>
  <c r="J535" i="2"/>
  <c r="K535" i="2" s="1"/>
  <c r="J513" i="2"/>
  <c r="K513" i="2" s="1"/>
  <c r="J494" i="2"/>
  <c r="K494" i="2" s="1"/>
  <c r="J475" i="2"/>
  <c r="K475" i="2" s="1"/>
  <c r="J456" i="2"/>
  <c r="K456" i="2" s="1"/>
  <c r="J435" i="2"/>
  <c r="K435" i="2" s="1"/>
  <c r="J399" i="2"/>
  <c r="K399" i="2" s="1"/>
  <c r="J381" i="2"/>
  <c r="K381" i="2" s="1"/>
  <c r="J365" i="2"/>
  <c r="K365" i="2" s="1"/>
  <c r="J348" i="2"/>
  <c r="K348" i="2" s="1"/>
  <c r="J331" i="2"/>
  <c r="K331" i="2" s="1"/>
  <c r="J314" i="2"/>
  <c r="K314" i="2" s="1"/>
  <c r="J297" i="2"/>
  <c r="K297" i="2" s="1"/>
  <c r="J280" i="2"/>
  <c r="K280" i="2" s="1"/>
  <c r="J264" i="2"/>
  <c r="K264" i="2" s="1"/>
  <c r="J937" i="2"/>
  <c r="K937" i="2" s="1"/>
  <c r="J785" i="2"/>
  <c r="K785" i="2" s="1"/>
  <c r="J750" i="2"/>
  <c r="K750" i="2" s="1"/>
  <c r="J689" i="2"/>
  <c r="K689" i="2" s="1"/>
  <c r="J632" i="2"/>
  <c r="K632" i="2" s="1"/>
  <c r="J607" i="2"/>
  <c r="K607" i="2" s="1"/>
  <c r="J557" i="2"/>
  <c r="K557" i="2" s="1"/>
  <c r="J530" i="2"/>
  <c r="K530" i="2" s="1"/>
  <c r="J507" i="2"/>
  <c r="K507" i="2" s="1"/>
  <c r="J479" i="2"/>
  <c r="K479" i="2" s="1"/>
  <c r="J451" i="2"/>
  <c r="K451" i="2" s="1"/>
  <c r="J430" i="2"/>
  <c r="K430" i="2" s="1"/>
  <c r="J409" i="2"/>
  <c r="K409" i="2" s="1"/>
  <c r="J383" i="2"/>
  <c r="K383" i="2" s="1"/>
  <c r="J342" i="2"/>
  <c r="K342" i="2" s="1"/>
  <c r="J318" i="2"/>
  <c r="K318" i="2" s="1"/>
  <c r="J295" i="2"/>
  <c r="K295" i="2" s="1"/>
  <c r="J274" i="2"/>
  <c r="K274" i="2" s="1"/>
  <c r="J256" i="2"/>
  <c r="K256" i="2" s="1"/>
  <c r="J235" i="2"/>
  <c r="K235" i="2" s="1"/>
  <c r="J214" i="2"/>
  <c r="K214" i="2" s="1"/>
  <c r="J194" i="2"/>
  <c r="K194" i="2" s="1"/>
  <c r="J175" i="2"/>
  <c r="K175" i="2" s="1"/>
  <c r="J158" i="2"/>
  <c r="K158" i="2" s="1"/>
  <c r="J894" i="2"/>
  <c r="K894" i="2" s="1"/>
  <c r="J851" i="2"/>
  <c r="K851" i="2" s="1"/>
  <c r="J784" i="2"/>
  <c r="K784" i="2" s="1"/>
  <c r="J749" i="2"/>
  <c r="K749" i="2" s="1"/>
  <c r="J688" i="2"/>
  <c r="K688" i="2" s="1"/>
  <c r="J655" i="2"/>
  <c r="K655" i="2" s="1"/>
  <c r="J606" i="2"/>
  <c r="K606" i="2" s="1"/>
  <c r="J578" i="2"/>
  <c r="K578" i="2" s="1"/>
  <c r="J529" i="2"/>
  <c r="K529" i="2" s="1"/>
  <c r="J506" i="2"/>
  <c r="K506" i="2" s="1"/>
  <c r="J477" i="2"/>
  <c r="K477" i="2" s="1"/>
  <c r="J429" i="2"/>
  <c r="K429" i="2" s="1"/>
  <c r="J408" i="2"/>
  <c r="K408" i="2" s="1"/>
  <c r="J382" i="2"/>
  <c r="K382" i="2" s="1"/>
  <c r="J362" i="2"/>
  <c r="K362" i="2" s="1"/>
  <c r="J340" i="2"/>
  <c r="K340" i="2" s="1"/>
  <c r="J316" i="2"/>
  <c r="K316" i="2" s="1"/>
  <c r="J273" i="2"/>
  <c r="K273" i="2" s="1"/>
  <c r="J255" i="2"/>
  <c r="K255" i="2" s="1"/>
  <c r="J233" i="2"/>
  <c r="K233" i="2" s="1"/>
  <c r="J212" i="2"/>
  <c r="K212" i="2" s="1"/>
  <c r="J193" i="2"/>
  <c r="K193" i="2" s="1"/>
  <c r="J174" i="2"/>
  <c r="K174" i="2" s="1"/>
  <c r="J969" i="2"/>
  <c r="K969" i="2" s="1"/>
  <c r="J935" i="2"/>
  <c r="K935" i="2" s="1"/>
  <c r="J890" i="2"/>
  <c r="K890" i="2" s="1"/>
  <c r="J849" i="2"/>
  <c r="K849" i="2" s="1"/>
  <c r="J816" i="2"/>
  <c r="K816" i="2" s="1"/>
  <c r="J678" i="2"/>
  <c r="K678" i="2" s="1"/>
  <c r="J654" i="2"/>
  <c r="K654" i="2" s="1"/>
  <c r="J605" i="2"/>
  <c r="K605" i="2" s="1"/>
  <c r="J576" i="2"/>
  <c r="K576" i="2" s="1"/>
  <c r="J528" i="2"/>
  <c r="K528" i="2" s="1"/>
  <c r="J505" i="2"/>
  <c r="K505" i="2" s="1"/>
  <c r="J449" i="2"/>
  <c r="K449" i="2" s="1"/>
  <c r="J428" i="2"/>
  <c r="K428" i="2" s="1"/>
  <c r="J380" i="2"/>
  <c r="K380" i="2" s="1"/>
  <c r="J361" i="2"/>
  <c r="K361" i="2" s="1"/>
  <c r="J315" i="2"/>
  <c r="K315" i="2" s="1"/>
  <c r="J272" i="2"/>
  <c r="K272" i="2" s="1"/>
  <c r="J252" i="2"/>
  <c r="K252" i="2" s="1"/>
  <c r="J232" i="2"/>
  <c r="K232" i="2" s="1"/>
  <c r="J211" i="2"/>
  <c r="K211" i="2" s="1"/>
  <c r="J192" i="2"/>
  <c r="K192" i="2" s="1"/>
  <c r="J156" i="2"/>
  <c r="K156" i="2" s="1"/>
  <c r="J137" i="2"/>
  <c r="K137" i="2" s="1"/>
  <c r="J116" i="2"/>
  <c r="K116" i="2" s="1"/>
  <c r="J96" i="2"/>
  <c r="K96" i="2" s="1"/>
  <c r="J77" i="2"/>
  <c r="K77" i="2" s="1"/>
  <c r="J59" i="2"/>
  <c r="K59" i="2" s="1"/>
  <c r="J41" i="2"/>
  <c r="K41" i="2" s="1"/>
  <c r="J23" i="2"/>
  <c r="K23" i="2" s="1"/>
  <c r="J3" i="2"/>
  <c r="K3" i="2" s="1"/>
  <c r="J961" i="2"/>
  <c r="K961" i="2" s="1"/>
  <c r="J921" i="2"/>
  <c r="K921" i="2" s="1"/>
  <c r="J872" i="2"/>
  <c r="K872" i="2" s="1"/>
  <c r="J809" i="2"/>
  <c r="K809" i="2" s="1"/>
  <c r="J768" i="2"/>
  <c r="K768" i="2" s="1"/>
  <c r="J741" i="2"/>
  <c r="K741" i="2" s="1"/>
  <c r="J710" i="2"/>
  <c r="K710" i="2" s="1"/>
  <c r="J673" i="2"/>
  <c r="K673" i="2" s="1"/>
  <c r="J649" i="2"/>
  <c r="K649" i="2" s="1"/>
  <c r="J594" i="2"/>
  <c r="K594" i="2" s="1"/>
  <c r="J571" i="2"/>
  <c r="K571" i="2" s="1"/>
  <c r="J551" i="2"/>
  <c r="K551" i="2" s="1"/>
  <c r="J524" i="2"/>
  <c r="K524" i="2" s="1"/>
  <c r="J495" i="2"/>
  <c r="K495" i="2" s="1"/>
  <c r="J471" i="2"/>
  <c r="K471" i="2" s="1"/>
  <c r="J445" i="2"/>
  <c r="K445" i="2" s="1"/>
  <c r="J419" i="2"/>
  <c r="K419" i="2" s="1"/>
  <c r="J398" i="2"/>
  <c r="K398" i="2" s="1"/>
  <c r="J376" i="2"/>
  <c r="K376" i="2" s="1"/>
  <c r="J356" i="2"/>
  <c r="K356" i="2" s="1"/>
  <c r="J288" i="2"/>
  <c r="K288" i="2" s="1"/>
  <c r="J247" i="2"/>
  <c r="K247" i="2" s="1"/>
  <c r="J227" i="2"/>
  <c r="K227" i="2" s="1"/>
  <c r="J207" i="2"/>
  <c r="K207" i="2" s="1"/>
  <c r="J151" i="2"/>
  <c r="K151" i="2" s="1"/>
  <c r="J130" i="2"/>
  <c r="K130" i="2" s="1"/>
  <c r="J73" i="2"/>
  <c r="K73" i="2" s="1"/>
  <c r="J55" i="2"/>
  <c r="K55" i="2" s="1"/>
  <c r="J36" i="2"/>
  <c r="K36" i="2" s="1"/>
  <c r="J959" i="2"/>
  <c r="K959" i="2" s="1"/>
  <c r="J913" i="2"/>
  <c r="K913" i="2" s="1"/>
  <c r="J870" i="2"/>
  <c r="K870" i="2" s="1"/>
  <c r="J835" i="2"/>
  <c r="K835" i="2" s="1"/>
  <c r="J801" i="2"/>
  <c r="K801" i="2" s="1"/>
  <c r="J766" i="2"/>
  <c r="K766" i="2" s="1"/>
  <c r="J703" i="2"/>
  <c r="K703" i="2" s="1"/>
  <c r="J671" i="2"/>
  <c r="K671" i="2" s="1"/>
  <c r="J620" i="2"/>
  <c r="K620" i="2" s="1"/>
  <c r="J22" i="2"/>
  <c r="K22" i="2" s="1"/>
  <c r="J43" i="2"/>
  <c r="K43" i="2" s="1"/>
  <c r="J64" i="2"/>
  <c r="K64" i="2" s="1"/>
  <c r="J86" i="2"/>
  <c r="K86" i="2" s="1"/>
  <c r="J106" i="2"/>
  <c r="K106" i="2" s="1"/>
  <c r="J126" i="2"/>
  <c r="K126" i="2" s="1"/>
  <c r="J147" i="2"/>
  <c r="K147" i="2" s="1"/>
  <c r="J170" i="2"/>
  <c r="K170" i="2" s="1"/>
  <c r="J191" i="2"/>
  <c r="K191" i="2" s="1"/>
  <c r="J221" i="2"/>
  <c r="K221" i="2" s="1"/>
  <c r="J244" i="2"/>
  <c r="K244" i="2" s="1"/>
  <c r="J296" i="2"/>
  <c r="K296" i="2" s="1"/>
  <c r="J324" i="2"/>
  <c r="K324" i="2" s="1"/>
  <c r="J349" i="2"/>
  <c r="K349" i="2" s="1"/>
  <c r="J375" i="2"/>
  <c r="K375" i="2" s="1"/>
  <c r="J434" i="2"/>
  <c r="K434" i="2" s="1"/>
  <c r="J465" i="2"/>
  <c r="K465" i="2" s="1"/>
  <c r="J496" i="2"/>
  <c r="K496" i="2" s="1"/>
  <c r="J536" i="2"/>
  <c r="K536" i="2" s="1"/>
  <c r="J562" i="2"/>
  <c r="K562" i="2" s="1"/>
  <c r="J590" i="2"/>
  <c r="K590" i="2" s="1"/>
  <c r="J626" i="2"/>
  <c r="K626" i="2" s="1"/>
  <c r="J694" i="2"/>
  <c r="K694" i="2" s="1"/>
  <c r="J771" i="2"/>
  <c r="K771" i="2" s="1"/>
  <c r="J822" i="2"/>
  <c r="K822" i="2" s="1"/>
  <c r="J864" i="2"/>
  <c r="K864" i="2" s="1"/>
  <c r="J4" i="2"/>
  <c r="K4" i="2" s="1"/>
  <c r="J25" i="2"/>
  <c r="K25" i="2" s="1"/>
  <c r="J45" i="2"/>
  <c r="K45" i="2" s="1"/>
  <c r="J108" i="2"/>
  <c r="K108" i="2" s="1"/>
  <c r="J128" i="2"/>
  <c r="K128" i="2" s="1"/>
  <c r="J153" i="2"/>
  <c r="K153" i="2" s="1"/>
  <c r="J196" i="2"/>
  <c r="K196" i="2" s="1"/>
  <c r="J275" i="2"/>
  <c r="K275" i="2" s="1"/>
  <c r="J327" i="2"/>
  <c r="K327" i="2" s="1"/>
  <c r="J352" i="2"/>
  <c r="K352" i="2" s="1"/>
  <c r="J378" i="2"/>
  <c r="K378" i="2" s="1"/>
  <c r="J411" i="2"/>
  <c r="K411" i="2" s="1"/>
  <c r="J439" i="2"/>
  <c r="K439" i="2" s="1"/>
  <c r="J467" i="2"/>
  <c r="K467" i="2" s="1"/>
  <c r="J504" i="2"/>
  <c r="K504" i="2" s="1"/>
  <c r="J539" i="2"/>
  <c r="K539" i="2" s="1"/>
  <c r="J567" i="2"/>
  <c r="K567" i="2" s="1"/>
  <c r="J592" i="2"/>
  <c r="K592" i="2" s="1"/>
  <c r="J660" i="2"/>
  <c r="K660" i="2" s="1"/>
  <c r="J739" i="2"/>
  <c r="K739" i="2" s="1"/>
  <c r="J982" i="2"/>
  <c r="K982" i="2" s="1"/>
  <c r="J871" i="2"/>
  <c r="K871" i="2" s="1"/>
  <c r="J28" i="2"/>
  <c r="K28" i="2" s="1"/>
  <c r="J49" i="2"/>
  <c r="K49" i="2" s="1"/>
  <c r="J91" i="2"/>
  <c r="K91" i="2" s="1"/>
  <c r="J134" i="2"/>
  <c r="K134" i="2" s="1"/>
  <c r="J201" i="2"/>
  <c r="K201" i="2" s="1"/>
  <c r="J226" i="2"/>
  <c r="K226" i="2" s="1"/>
  <c r="J278" i="2"/>
  <c r="K278" i="2" s="1"/>
  <c r="J305" i="2"/>
  <c r="K305" i="2" s="1"/>
  <c r="J330" i="2"/>
  <c r="K330" i="2" s="1"/>
  <c r="J359" i="2"/>
  <c r="K359" i="2" s="1"/>
  <c r="J390" i="2"/>
  <c r="K390" i="2" s="1"/>
  <c r="J444" i="2"/>
  <c r="K444" i="2" s="1"/>
  <c r="J474" i="2"/>
  <c r="K474" i="2" s="1"/>
  <c r="J510" i="2"/>
  <c r="K510" i="2" s="1"/>
  <c r="J544" i="2"/>
  <c r="K544" i="2" s="1"/>
  <c r="J570" i="2"/>
  <c r="K570" i="2" s="1"/>
  <c r="J604" i="2"/>
  <c r="K604" i="2" s="1"/>
  <c r="J634" i="2"/>
  <c r="K634" i="2" s="1"/>
  <c r="J668" i="2"/>
  <c r="K668" i="2" s="1"/>
  <c r="J712" i="2"/>
  <c r="K712" i="2" s="1"/>
  <c r="J744" i="2"/>
  <c r="K744" i="2" s="1"/>
  <c r="J789" i="2"/>
  <c r="K789" i="2" s="1"/>
  <c r="J833" i="2"/>
  <c r="K833" i="2" s="1"/>
  <c r="J873" i="2"/>
  <c r="K873" i="2" s="1"/>
  <c r="J938" i="2"/>
  <c r="K938" i="2" s="1"/>
  <c r="J9" i="2"/>
  <c r="K9" i="2" s="1"/>
  <c r="J29" i="2"/>
  <c r="K29" i="2" s="1"/>
  <c r="J51" i="2"/>
  <c r="K51" i="2" s="1"/>
  <c r="J71" i="2"/>
  <c r="K71" i="2" s="1"/>
  <c r="J112" i="2"/>
  <c r="K112" i="2" s="1"/>
  <c r="J159" i="2"/>
  <c r="K159" i="2" s="1"/>
  <c r="J178" i="2"/>
  <c r="K178" i="2" s="1"/>
  <c r="J202" i="2"/>
  <c r="K202" i="2" s="1"/>
  <c r="J228" i="2"/>
  <c r="K228" i="2" s="1"/>
  <c r="J258" i="2"/>
  <c r="K258" i="2" s="1"/>
  <c r="J279" i="2"/>
  <c r="K279" i="2" s="1"/>
  <c r="J306" i="2"/>
  <c r="K306" i="2" s="1"/>
  <c r="J360" i="2"/>
  <c r="K360" i="2" s="1"/>
  <c r="J391" i="2"/>
  <c r="K391" i="2" s="1"/>
  <c r="J415" i="2"/>
  <c r="K415" i="2" s="1"/>
  <c r="J446" i="2"/>
  <c r="K446" i="2" s="1"/>
  <c r="J511" i="2"/>
  <c r="K511" i="2" s="1"/>
  <c r="J545" i="2"/>
  <c r="K545" i="2" s="1"/>
  <c r="J572" i="2"/>
  <c r="K572" i="2" s="1"/>
  <c r="J608" i="2"/>
  <c r="K608" i="2" s="1"/>
  <c r="J636" i="2"/>
  <c r="K636" i="2" s="1"/>
  <c r="J669" i="2"/>
  <c r="K669" i="2" s="1"/>
  <c r="J713" i="2"/>
  <c r="K713" i="2" s="1"/>
  <c r="J790" i="2"/>
  <c r="K790" i="2" s="1"/>
  <c r="J834" i="2"/>
  <c r="K834" i="2" s="1"/>
  <c r="J878" i="2"/>
  <c r="K878" i="2" s="1"/>
  <c r="J943" i="2"/>
  <c r="K943" i="2" s="1"/>
  <c r="J986" i="2"/>
  <c r="K986" i="2" s="1"/>
  <c r="J10" i="2"/>
  <c r="K10" i="2" s="1"/>
  <c r="J52" i="2"/>
  <c r="K52" i="2" s="1"/>
  <c r="J72" i="2"/>
  <c r="K72" i="2" s="1"/>
  <c r="J113" i="2"/>
  <c r="K113" i="2" s="1"/>
  <c r="J138" i="2"/>
  <c r="K138" i="2" s="1"/>
  <c r="J160" i="2"/>
  <c r="K160" i="2" s="1"/>
  <c r="J179" i="2"/>
  <c r="K179" i="2" s="1"/>
  <c r="J204" i="2"/>
  <c r="K204" i="2" s="1"/>
  <c r="J230" i="2"/>
  <c r="K230" i="2" s="1"/>
  <c r="J259" i="2"/>
  <c r="K259" i="2" s="1"/>
  <c r="J281" i="2"/>
  <c r="K281" i="2" s="1"/>
  <c r="J307" i="2"/>
  <c r="K307" i="2" s="1"/>
  <c r="J333" i="2"/>
  <c r="K333" i="2" s="1"/>
  <c r="J392" i="2"/>
  <c r="K392" i="2" s="1"/>
  <c r="J447" i="2"/>
  <c r="K447" i="2" s="1"/>
  <c r="J482" i="2"/>
  <c r="K482" i="2" s="1"/>
  <c r="J546" i="2"/>
  <c r="K546" i="2" s="1"/>
  <c r="J573" i="2"/>
  <c r="K573" i="2" s="1"/>
  <c r="J609" i="2"/>
  <c r="K609" i="2" s="1"/>
  <c r="J638" i="2"/>
  <c r="K638" i="2" s="1"/>
  <c r="J670" i="2"/>
  <c r="K670" i="2" s="1"/>
  <c r="J879" i="2"/>
  <c r="K879" i="2" s="1"/>
  <c r="J944" i="2"/>
  <c r="K944" i="2" s="1"/>
  <c r="J11" i="2"/>
  <c r="K11" i="2" s="1"/>
  <c r="J31" i="2"/>
  <c r="K31" i="2" s="1"/>
  <c r="J74" i="2"/>
  <c r="K74" i="2" s="1"/>
  <c r="J94" i="2"/>
  <c r="K94" i="2" s="1"/>
  <c r="J115" i="2"/>
  <c r="K115" i="2" s="1"/>
  <c r="J139" i="2"/>
  <c r="K139" i="2" s="1"/>
  <c r="J180" i="2"/>
  <c r="K180" i="2" s="1"/>
  <c r="J205" i="2"/>
  <c r="K205" i="2" s="1"/>
  <c r="J231" i="2"/>
  <c r="K231" i="2" s="1"/>
  <c r="J260" i="2"/>
  <c r="K260" i="2" s="1"/>
  <c r="J282" i="2"/>
  <c r="K282" i="2" s="1"/>
  <c r="J308" i="2"/>
  <c r="K308" i="2" s="1"/>
  <c r="J335" i="2"/>
  <c r="K335" i="2" s="1"/>
  <c r="J364" i="2"/>
  <c r="K364" i="2" s="1"/>
  <c r="J393" i="2"/>
  <c r="K393" i="2" s="1"/>
  <c r="J448" i="2"/>
  <c r="K448" i="2" s="1"/>
  <c r="J483" i="2"/>
  <c r="K483" i="2" s="1"/>
  <c r="J514" i="2"/>
  <c r="K514" i="2" s="1"/>
  <c r="J552" i="2"/>
  <c r="K552" i="2" s="1"/>
  <c r="J575" i="2"/>
  <c r="K575" i="2" s="1"/>
  <c r="J610" i="2"/>
  <c r="K610" i="2" s="1"/>
  <c r="J672" i="2"/>
  <c r="K672" i="2" s="1"/>
  <c r="J792" i="2"/>
  <c r="K792" i="2" s="1"/>
  <c r="B28" i="6"/>
  <c r="B29" i="6"/>
  <c r="A8" i="7"/>
  <c r="B8" i="7" s="1"/>
  <c r="A9" i="7"/>
  <c r="B9" i="7" s="1"/>
  <c r="C40" i="6"/>
  <c r="C40" i="7" s="1"/>
  <c r="A10" i="7"/>
  <c r="B10" i="7" s="1"/>
  <c r="C2" i="6"/>
  <c r="C2" i="7" s="1"/>
  <c r="C39" i="6"/>
  <c r="C39" i="7" s="1"/>
  <c r="A24" i="7"/>
  <c r="B24" i="7" s="1"/>
  <c r="A25" i="7"/>
  <c r="B25" i="7" s="1"/>
  <c r="A40" i="7"/>
  <c r="B40" i="7" s="1"/>
  <c r="C8" i="6"/>
  <c r="C8" i="7" s="1"/>
  <c r="A41" i="7"/>
  <c r="B41" i="7" s="1"/>
  <c r="C7" i="6"/>
  <c r="C7" i="7" s="1"/>
  <c r="B2" i="6"/>
  <c r="C6" i="8" s="1" a="1"/>
  <c r="C6" i="8" s="1"/>
  <c r="C24" i="6"/>
  <c r="C24" i="7" s="1"/>
  <c r="B12" i="6"/>
  <c r="C23" i="6"/>
  <c r="C23" i="7" s="1"/>
  <c r="B13" i="6"/>
  <c r="B2" i="7"/>
  <c r="B5" i="8"/>
  <c r="B6" i="8"/>
  <c r="E2" i="8"/>
  <c r="B51" i="7"/>
  <c r="A7" i="8"/>
  <c r="C38" i="6"/>
  <c r="C38" i="7" s="1"/>
  <c r="B30" i="6"/>
  <c r="C37" i="6"/>
  <c r="C37" i="7" s="1"/>
  <c r="C21" i="6"/>
  <c r="C21" i="7" s="1"/>
  <c r="C5" i="6"/>
  <c r="C5" i="7" s="1"/>
  <c r="B47" i="6"/>
  <c r="A11" i="7"/>
  <c r="B11" i="7" s="1"/>
  <c r="A44" i="7"/>
  <c r="B44" i="7" s="1"/>
  <c r="B34" i="6"/>
  <c r="B50" i="6"/>
  <c r="A14" i="7"/>
  <c r="B14" i="7" s="1"/>
  <c r="A30" i="7"/>
  <c r="B30" i="7" s="1"/>
  <c r="A46" i="7"/>
  <c r="B46" i="7" s="1"/>
  <c r="C49" i="6"/>
  <c r="C49" i="7" s="1"/>
  <c r="C33" i="6"/>
  <c r="C33" i="7" s="1"/>
  <c r="C17" i="6"/>
  <c r="C17" i="7" s="1"/>
  <c r="B3" i="6"/>
  <c r="B19" i="6"/>
  <c r="B35" i="6"/>
  <c r="B51" i="6"/>
  <c r="A15" i="7"/>
  <c r="B15" i="7" s="1"/>
  <c r="A31" i="7"/>
  <c r="B31" i="7" s="1"/>
  <c r="A47" i="7"/>
  <c r="B47" i="7" s="1"/>
  <c r="A42" i="7"/>
  <c r="B42" i="7" s="1"/>
  <c r="A43" i="7"/>
  <c r="B43" i="7" s="1"/>
  <c r="C36" i="6"/>
  <c r="C36" i="7" s="1"/>
  <c r="C20" i="6"/>
  <c r="C20" i="7" s="1"/>
  <c r="C4" i="6"/>
  <c r="C4" i="7" s="1"/>
  <c r="B48" i="6"/>
  <c r="A12" i="7"/>
  <c r="B12" i="7" s="1"/>
  <c r="C51" i="6"/>
  <c r="C51" i="7" s="1"/>
  <c r="C35" i="6"/>
  <c r="C35" i="7" s="1"/>
  <c r="C19" i="6"/>
  <c r="C19" i="7" s="1"/>
  <c r="C3" i="6"/>
  <c r="C3" i="7" s="1"/>
  <c r="B17" i="6"/>
  <c r="B33" i="6"/>
  <c r="B49" i="6"/>
  <c r="A13" i="7"/>
  <c r="B13" i="7" s="1"/>
  <c r="A29" i="7"/>
  <c r="B29" i="7" s="1"/>
  <c r="A45" i="7"/>
  <c r="B45" i="7" s="1"/>
  <c r="C50" i="6"/>
  <c r="C50" i="7" s="1"/>
  <c r="C34" i="6"/>
  <c r="C34" i="7" s="1"/>
  <c r="C18" i="6"/>
  <c r="C18" i="7" s="1"/>
  <c r="B18" i="6"/>
  <c r="C48" i="6"/>
  <c r="C48" i="7" s="1"/>
  <c r="C32" i="6"/>
  <c r="C32" i="7" s="1"/>
  <c r="C16" i="6"/>
  <c r="C16" i="7" s="1"/>
  <c r="B4" i="6"/>
  <c r="B20" i="6"/>
  <c r="B36" i="6"/>
  <c r="A16" i="7"/>
  <c r="B16" i="7" s="1"/>
  <c r="A32" i="7"/>
  <c r="B32" i="7" s="1"/>
  <c r="A48" i="7"/>
  <c r="B48" i="7" s="1"/>
  <c r="C22" i="6"/>
  <c r="C22" i="7" s="1"/>
  <c r="C6" i="6"/>
  <c r="C6" i="7" s="1"/>
  <c r="B46" i="6"/>
  <c r="B15" i="6"/>
  <c r="B16" i="6"/>
  <c r="C47" i="6"/>
  <c r="C47" i="7" s="1"/>
  <c r="C31" i="6"/>
  <c r="C31" i="7" s="1"/>
  <c r="C15" i="6"/>
  <c r="C15" i="7" s="1"/>
  <c r="B5" i="6"/>
  <c r="B21" i="6"/>
  <c r="B37" i="6"/>
  <c r="A17" i="7"/>
  <c r="B17" i="7" s="1"/>
  <c r="A33" i="7"/>
  <c r="B33" i="7" s="1"/>
  <c r="A49" i="7"/>
  <c r="B49" i="7" s="1"/>
  <c r="C46" i="6"/>
  <c r="C46" i="7" s="1"/>
  <c r="C30" i="6"/>
  <c r="C30" i="7" s="1"/>
  <c r="C14" i="6"/>
  <c r="C14" i="7" s="1"/>
  <c r="B6" i="6"/>
  <c r="B22" i="6"/>
  <c r="B38" i="6"/>
  <c r="A18" i="7"/>
  <c r="B18" i="7" s="1"/>
  <c r="A34" i="7"/>
  <c r="B34" i="7" s="1"/>
  <c r="A50" i="7"/>
  <c r="B50" i="7" s="1"/>
  <c r="C45" i="6"/>
  <c r="C45" i="7" s="1"/>
  <c r="C29" i="6"/>
  <c r="C29" i="7" s="1"/>
  <c r="C13" i="6"/>
  <c r="C13" i="7" s="1"/>
  <c r="B7" i="6"/>
  <c r="B23" i="6"/>
  <c r="B39" i="6"/>
  <c r="A3" i="7"/>
  <c r="B3" i="7" s="1"/>
  <c r="A19" i="7"/>
  <c r="B19" i="7" s="1"/>
  <c r="A35" i="7"/>
  <c r="B35" i="7" s="1"/>
  <c r="A27" i="7"/>
  <c r="B27" i="7" s="1"/>
  <c r="A28" i="7"/>
  <c r="B28" i="7" s="1"/>
  <c r="C44" i="6"/>
  <c r="C44" i="7" s="1"/>
  <c r="C28" i="6"/>
  <c r="C28" i="7" s="1"/>
  <c r="C12" i="6"/>
  <c r="C12" i="7" s="1"/>
  <c r="B8" i="6"/>
  <c r="B24" i="6"/>
  <c r="B40" i="6"/>
  <c r="A4" i="7"/>
  <c r="B4" i="7" s="1"/>
  <c r="A20" i="7"/>
  <c r="B20" i="7" s="1"/>
  <c r="A36" i="7"/>
  <c r="B36" i="7" s="1"/>
  <c r="B14" i="6"/>
  <c r="B31" i="6"/>
  <c r="B32" i="6"/>
  <c r="C43" i="6"/>
  <c r="C43" i="7" s="1"/>
  <c r="C27" i="6"/>
  <c r="C27" i="7" s="1"/>
  <c r="C11" i="6"/>
  <c r="C11" i="7" s="1"/>
  <c r="B9" i="6"/>
  <c r="B25" i="6"/>
  <c r="B41" i="6"/>
  <c r="A5" i="7"/>
  <c r="B5" i="7" s="1"/>
  <c r="A21" i="7"/>
  <c r="B21" i="7" s="1"/>
  <c r="A37" i="7"/>
  <c r="B37" i="7" s="1"/>
  <c r="A26" i="7"/>
  <c r="B26" i="7" s="1"/>
  <c r="C42" i="6"/>
  <c r="C42" i="7" s="1"/>
  <c r="C26" i="6"/>
  <c r="C26" i="7" s="1"/>
  <c r="C10" i="6"/>
  <c r="C10" i="7" s="1"/>
  <c r="B10" i="6"/>
  <c r="B26" i="6"/>
  <c r="B42" i="6"/>
  <c r="A6" i="7"/>
  <c r="B6" i="7" s="1"/>
  <c r="A22" i="7"/>
  <c r="B22" i="7" s="1"/>
  <c r="A38" i="7"/>
  <c r="B38" i="7" s="1"/>
  <c r="C41" i="6"/>
  <c r="C41" i="7" s="1"/>
  <c r="C25" i="6"/>
  <c r="C25" i="7" s="1"/>
  <c r="C9" i="6"/>
  <c r="C9" i="7" s="1"/>
  <c r="B11" i="6"/>
  <c r="B27" i="6"/>
  <c r="B43" i="6"/>
  <c r="A7" i="7"/>
  <c r="B7" i="7" s="1"/>
  <c r="A23" i="7"/>
  <c r="B23" i="7" s="1"/>
  <c r="A39" i="7"/>
  <c r="B39" i="7" s="1"/>
  <c r="C7" i="8" l="1" a="1"/>
  <c r="C7" i="8" s="1"/>
  <c r="A8" i="8"/>
  <c r="B7" i="8"/>
  <c r="A9" i="8" l="1"/>
  <c r="B8" i="8"/>
  <c r="C8" i="8" a="1"/>
  <c r="C8" i="8" s="1"/>
  <c r="A10" i="8" l="1"/>
  <c r="B9" i="8"/>
  <c r="C9" i="8" a="1"/>
  <c r="C9" i="8" s="1"/>
  <c r="A11" i="8" l="1"/>
  <c r="B10" i="8"/>
  <c r="C10" i="8" a="1"/>
  <c r="C10" i="8" s="1"/>
  <c r="A12" i="8" l="1"/>
  <c r="B11" i="8"/>
  <c r="C11" i="8" a="1"/>
  <c r="C11" i="8" s="1"/>
  <c r="A13" i="8" l="1"/>
  <c r="B12" i="8"/>
  <c r="C12" i="8" a="1"/>
  <c r="C12" i="8" s="1"/>
  <c r="A14" i="8" l="1"/>
  <c r="B13" i="8"/>
  <c r="C13" i="8" a="1"/>
  <c r="C13" i="8" s="1"/>
  <c r="A15" i="8" l="1"/>
  <c r="B14" i="8"/>
  <c r="C14" i="8" a="1"/>
  <c r="C14" i="8" s="1"/>
  <c r="A16" i="8" l="1"/>
  <c r="B15" i="8"/>
  <c r="C15" i="8" a="1"/>
  <c r="C15" i="8" s="1"/>
  <c r="A17" i="8" l="1"/>
  <c r="B16" i="8"/>
  <c r="C16" i="8" a="1"/>
  <c r="C16" i="8" s="1"/>
  <c r="A18" i="8" l="1"/>
  <c r="B17" i="8"/>
  <c r="C17" i="8" a="1"/>
  <c r="C17" i="8" s="1"/>
  <c r="A19" i="8" l="1"/>
  <c r="B18" i="8"/>
  <c r="C18" i="8" a="1"/>
  <c r="C18" i="8" s="1"/>
  <c r="A20" i="8" l="1"/>
  <c r="B19" i="8"/>
  <c r="C19" i="8" a="1"/>
  <c r="C19" i="8" s="1"/>
  <c r="A21" i="8" l="1"/>
  <c r="B20" i="8"/>
  <c r="C20" i="8" a="1"/>
  <c r="C20" i="8" s="1"/>
  <c r="A22" i="8" l="1"/>
  <c r="B21" i="8"/>
  <c r="C21" i="8" a="1"/>
  <c r="C21" i="8" s="1"/>
  <c r="A23" i="8" l="1"/>
  <c r="B22" i="8"/>
  <c r="C22" i="8" a="1"/>
  <c r="C22" i="8" s="1"/>
  <c r="A24" i="8" l="1"/>
  <c r="B23" i="8"/>
  <c r="C23" i="8" a="1"/>
  <c r="C23" i="8" s="1"/>
  <c r="A25" i="8" l="1"/>
  <c r="B24" i="8"/>
  <c r="C24" i="8" a="1"/>
  <c r="C24" i="8" s="1"/>
  <c r="A26" i="8" l="1"/>
  <c r="B25" i="8"/>
  <c r="C25" i="8" a="1"/>
  <c r="C25" i="8" s="1"/>
  <c r="A27" i="8" l="1"/>
  <c r="B26" i="8"/>
  <c r="C26" i="8" a="1"/>
  <c r="C26" i="8" s="1"/>
  <c r="A28" i="8" l="1"/>
  <c r="B27" i="8"/>
  <c r="C27" i="8" a="1"/>
  <c r="C27" i="8" s="1"/>
  <c r="A29" i="8" l="1"/>
  <c r="B28" i="8"/>
  <c r="C28" i="8" a="1"/>
  <c r="C28" i="8" s="1"/>
  <c r="A30" i="8" l="1"/>
  <c r="B29" i="8"/>
  <c r="C29" i="8" a="1"/>
  <c r="C29" i="8" s="1"/>
  <c r="A31" i="8" l="1"/>
  <c r="B30" i="8"/>
  <c r="C30" i="8" a="1"/>
  <c r="C30" i="8" s="1"/>
  <c r="A32" i="8" l="1"/>
  <c r="B31" i="8"/>
  <c r="C31" i="8" a="1"/>
  <c r="C31" i="8" s="1"/>
  <c r="A33" i="8" l="1"/>
  <c r="B32" i="8"/>
  <c r="C32" i="8" a="1"/>
  <c r="C32" i="8" s="1"/>
  <c r="A34" i="8" l="1"/>
  <c r="B33" i="8"/>
  <c r="C33" i="8" a="1"/>
  <c r="C33" i="8" s="1"/>
  <c r="A35" i="8" l="1"/>
  <c r="B34" i="8"/>
  <c r="C34" i="8" a="1"/>
  <c r="C34" i="8" s="1"/>
  <c r="A36" i="8" l="1"/>
  <c r="B35" i="8"/>
  <c r="C35" i="8" a="1"/>
  <c r="C35" i="8" s="1"/>
  <c r="A37" i="8" l="1"/>
  <c r="B36" i="8"/>
  <c r="C36" i="8" a="1"/>
  <c r="C36" i="8" s="1"/>
  <c r="A38" i="8" l="1"/>
  <c r="B37" i="8"/>
  <c r="C37" i="8" a="1"/>
  <c r="C37" i="8" s="1"/>
  <c r="A39" i="8" l="1"/>
  <c r="B38" i="8"/>
  <c r="C38" i="8" a="1"/>
  <c r="C38" i="8" s="1"/>
  <c r="A40" i="8" l="1"/>
  <c r="B39" i="8"/>
  <c r="C39" i="8" a="1"/>
  <c r="C39" i="8" s="1"/>
  <c r="A41" i="8" l="1"/>
  <c r="B40" i="8"/>
  <c r="C40" i="8" a="1"/>
  <c r="C40" i="8" s="1"/>
  <c r="A42" i="8" l="1"/>
  <c r="B41" i="8"/>
  <c r="C41" i="8" a="1"/>
  <c r="C41" i="8" s="1"/>
  <c r="A43" i="8" l="1"/>
  <c r="B42" i="8"/>
  <c r="C42" i="8" a="1"/>
  <c r="C42" i="8" s="1"/>
  <c r="A44" i="8" l="1"/>
  <c r="B43" i="8"/>
  <c r="C43" i="8" a="1"/>
  <c r="C43" i="8" s="1"/>
  <c r="A45" i="8" l="1"/>
  <c r="B44" i="8"/>
  <c r="C44" i="8" a="1"/>
  <c r="C44" i="8" s="1"/>
  <c r="A46" i="8" l="1"/>
  <c r="B45" i="8"/>
  <c r="C45" i="8" a="1"/>
  <c r="C45" i="8" s="1"/>
  <c r="A47" i="8" l="1"/>
  <c r="B46" i="8"/>
  <c r="C46" i="8" a="1"/>
  <c r="C46" i="8" s="1"/>
  <c r="A48" i="8" l="1"/>
  <c r="B47" i="8"/>
  <c r="C47" i="8" a="1"/>
  <c r="C47" i="8" s="1"/>
  <c r="A49" i="8" l="1"/>
  <c r="B48" i="8"/>
  <c r="C48" i="8" a="1"/>
  <c r="C48" i="8" s="1"/>
  <c r="A50" i="8" l="1"/>
  <c r="B49" i="8"/>
  <c r="C49" i="8" a="1"/>
  <c r="C49" i="8" s="1"/>
  <c r="A51" i="8" l="1"/>
  <c r="B50" i="8"/>
  <c r="C50" i="8" a="1"/>
  <c r="C50" i="8" s="1"/>
  <c r="A52" i="8" l="1"/>
  <c r="B51" i="8"/>
  <c r="C51" i="8" a="1"/>
  <c r="C51" i="8" s="1"/>
  <c r="A53" i="8" l="1"/>
  <c r="B52" i="8"/>
  <c r="C52" i="8" a="1"/>
  <c r="C52" i="8" s="1"/>
  <c r="A54" i="8" l="1"/>
  <c r="B53" i="8"/>
  <c r="C53" i="8" a="1"/>
  <c r="C53" i="8" s="1"/>
  <c r="A55" i="8" l="1"/>
  <c r="B54" i="8"/>
  <c r="C54" i="8" a="1"/>
  <c r="C54" i="8" s="1"/>
  <c r="D50" i="7" l="1" a="1"/>
  <c r="D50" i="7" s="1"/>
  <c r="E50" i="7" s="1"/>
  <c r="F50" i="7" s="1"/>
  <c r="B55" i="8"/>
  <c r="D34" i="7" s="1" a="1"/>
  <c r="D34" i="7" s="1"/>
  <c r="E34" i="7" s="1"/>
  <c r="F34" i="7" s="1"/>
  <c r="C55" i="8" a="1"/>
  <c r="C55" i="8" s="1"/>
  <c r="D51" i="7" s="1" a="1"/>
  <c r="D51" i="7" s="1"/>
  <c r="E51" i="7" s="1"/>
  <c r="F51" i="7" s="1"/>
  <c r="D32" i="7" l="1" a="1"/>
  <c r="D32" i="7" s="1"/>
  <c r="E32" i="7" s="1"/>
  <c r="F32" i="7" s="1"/>
  <c r="D45" i="7" a="1"/>
  <c r="D45" i="7" s="1"/>
  <c r="E45" i="7" s="1"/>
  <c r="F45" i="7" s="1"/>
  <c r="D44" i="7" a="1"/>
  <c r="D44" i="7" s="1"/>
  <c r="E44" i="7" s="1"/>
  <c r="F44" i="7" s="1"/>
  <c r="D19" i="7" a="1"/>
  <c r="D19" i="7" s="1"/>
  <c r="E19" i="7" s="1"/>
  <c r="F19" i="7" s="1"/>
  <c r="D36" i="7" a="1"/>
  <c r="D36" i="7" s="1"/>
  <c r="E36" i="7" s="1"/>
  <c r="F36" i="7" s="1"/>
  <c r="D38" i="7" a="1"/>
  <c r="D38" i="7" s="1"/>
  <c r="E38" i="7" s="1"/>
  <c r="F38" i="7" s="1"/>
  <c r="D2" i="7" a="1"/>
  <c r="D2" i="7" s="1"/>
  <c r="E2" i="7" s="1"/>
  <c r="F2" i="7" s="1"/>
  <c r="D11" i="7" a="1"/>
  <c r="D11" i="7" s="1"/>
  <c r="E11" i="7" s="1"/>
  <c r="F11" i="7" s="1"/>
  <c r="D25" i="7" a="1"/>
  <c r="D25" i="7" s="1"/>
  <c r="E25" i="7" s="1"/>
  <c r="F25" i="7" s="1"/>
  <c r="D20" i="7" a="1"/>
  <c r="D20" i="7" s="1"/>
  <c r="E20" i="7" s="1"/>
  <c r="F20" i="7" s="1"/>
  <c r="D27" i="7" a="1"/>
  <c r="D27" i="7" s="1"/>
  <c r="E27" i="7" s="1"/>
  <c r="F27" i="7" s="1"/>
  <c r="D18" i="7" a="1"/>
  <c r="D18" i="7" s="1"/>
  <c r="E18" i="7" s="1"/>
  <c r="F18" i="7" s="1"/>
  <c r="D21" i="7" a="1"/>
  <c r="D21" i="7" s="1"/>
  <c r="E21" i="7" s="1"/>
  <c r="F21" i="7" s="1"/>
  <c r="D15" i="7" a="1"/>
  <c r="D15" i="7" s="1"/>
  <c r="E15" i="7" s="1"/>
  <c r="F15" i="7" s="1"/>
  <c r="D42" i="7" a="1"/>
  <c r="D42" i="7" s="1"/>
  <c r="E42" i="7" s="1"/>
  <c r="F42" i="7" s="1"/>
  <c r="D49" i="7" a="1"/>
  <c r="D49" i="7" s="1"/>
  <c r="E49" i="7" s="1"/>
  <c r="F49" i="7" s="1"/>
  <c r="D30" i="7" a="1"/>
  <c r="D30" i="7" s="1"/>
  <c r="E30" i="7" s="1"/>
  <c r="F30" i="7" s="1"/>
  <c r="D23" i="7" a="1"/>
  <c r="D23" i="7" s="1"/>
  <c r="E23" i="7" s="1"/>
  <c r="F23" i="7" s="1"/>
  <c r="D40" i="7" a="1"/>
  <c r="D40" i="7" s="1"/>
  <c r="E40" i="7" s="1"/>
  <c r="F40" i="7" s="1"/>
  <c r="D13" i="7" a="1"/>
  <c r="D13" i="7" s="1"/>
  <c r="E13" i="7" s="1"/>
  <c r="F13" i="7" s="1"/>
  <c r="D33" i="7" a="1"/>
  <c r="D33" i="7" s="1"/>
  <c r="E33" i="7" s="1"/>
  <c r="F33" i="7" s="1"/>
  <c r="D7" i="7" a="1"/>
  <c r="D7" i="7" s="1"/>
  <c r="E7" i="7" s="1"/>
  <c r="F7" i="7" s="1"/>
  <c r="D16" i="7" a="1"/>
  <c r="D16" i="7" s="1"/>
  <c r="E16" i="7" s="1"/>
  <c r="F16" i="7" s="1"/>
  <c r="D3" i="7" a="1"/>
  <c r="D3" i="7" s="1"/>
  <c r="E3" i="7" s="1"/>
  <c r="F3" i="7" s="1"/>
  <c r="D6" i="7" a="1"/>
  <c r="D6" i="7" s="1"/>
  <c r="E6" i="7" s="1"/>
  <c r="F6" i="7" s="1"/>
  <c r="D8" i="7" a="1"/>
  <c r="D8" i="7" s="1"/>
  <c r="E8" i="7" s="1"/>
  <c r="F8" i="7" s="1"/>
  <c r="D43" i="7" a="1"/>
  <c r="D43" i="7" s="1"/>
  <c r="E43" i="7" s="1"/>
  <c r="F43" i="7" s="1"/>
  <c r="D41" i="7" a="1"/>
  <c r="D41" i="7" s="1"/>
  <c r="E41" i="7" s="1"/>
  <c r="F41" i="7" s="1"/>
  <c r="D24" i="7" a="1"/>
  <c r="D24" i="7" s="1"/>
  <c r="E24" i="7" s="1"/>
  <c r="F24" i="7" s="1"/>
  <c r="D4" i="7" a="1"/>
  <c r="D4" i="7" s="1"/>
  <c r="E4" i="7" s="1"/>
  <c r="F4" i="7" s="1"/>
  <c r="D35" i="7" a="1"/>
  <c r="D35" i="7" s="1"/>
  <c r="E35" i="7" s="1"/>
  <c r="F35" i="7" s="1"/>
  <c r="D22" i="7" a="1"/>
  <c r="D22" i="7" s="1"/>
  <c r="E22" i="7" s="1"/>
  <c r="F22" i="7" s="1"/>
  <c r="D9" i="7" a="1"/>
  <c r="D9" i="7" s="1"/>
  <c r="E9" i="7" s="1"/>
  <c r="F9" i="7" s="1"/>
  <c r="D12" i="7" a="1"/>
  <c r="D12" i="7" s="1"/>
  <c r="E12" i="7" s="1"/>
  <c r="F12" i="7" s="1"/>
  <c r="D31" i="7" a="1"/>
  <c r="D31" i="7" s="1"/>
  <c r="E31" i="7" s="1"/>
  <c r="F31" i="7" s="1"/>
  <c r="D28" i="7" a="1"/>
  <c r="D28" i="7" s="1"/>
  <c r="E28" i="7" s="1"/>
  <c r="F28" i="7" s="1"/>
  <c r="D14" i="7" a="1"/>
  <c r="D14" i="7" s="1"/>
  <c r="E14" i="7" s="1"/>
  <c r="F14" i="7" s="1"/>
  <c r="D17" i="7" a="1"/>
  <c r="D17" i="7" s="1"/>
  <c r="E17" i="7" s="1"/>
  <c r="F17" i="7" s="1"/>
  <c r="D48" i="7" a="1"/>
  <c r="D48" i="7" s="1"/>
  <c r="E48" i="7" s="1"/>
  <c r="F48" i="7" s="1"/>
  <c r="D47" i="7" a="1"/>
  <c r="D47" i="7" s="1"/>
  <c r="E47" i="7" s="1"/>
  <c r="F47" i="7" s="1"/>
  <c r="D29" i="7" a="1"/>
  <c r="D29" i="7" s="1"/>
  <c r="E29" i="7" s="1"/>
  <c r="F29" i="7" s="1"/>
  <c r="D37" i="7" a="1"/>
  <c r="D37" i="7" s="1"/>
  <c r="E37" i="7" s="1"/>
  <c r="F37" i="7" s="1"/>
  <c r="D5" i="7" a="1"/>
  <c r="D5" i="7" s="1"/>
  <c r="E5" i="7" s="1"/>
  <c r="F5" i="7" s="1"/>
  <c r="D46" i="7" a="1"/>
  <c r="D46" i="7" s="1"/>
  <c r="E46" i="7" s="1"/>
  <c r="F46" i="7" s="1"/>
  <c r="D39" i="7" a="1"/>
  <c r="D39" i="7" s="1"/>
  <c r="E39" i="7" s="1"/>
  <c r="F39" i="7" s="1"/>
  <c r="D26" i="7" a="1"/>
  <c r="D26" i="7" s="1"/>
  <c r="E26" i="7" s="1"/>
  <c r="F26" i="7" s="1"/>
  <c r="D10" i="7" a="1"/>
  <c r="D10" i="7" s="1"/>
  <c r="E10" i="7" s="1"/>
  <c r="F10" i="7" s="1"/>
  <c r="F52" i="7" l="1"/>
  <c r="J10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<sst xmlns="http://schemas.openxmlformats.org/spreadsheetml/2006/main" count="898" uniqueCount="34">
  <si>
    <t>transaction date (1=1day=24 hours)</t>
  </si>
  <si>
    <t>bid-ask spread</t>
  </si>
  <si>
    <t>volume of the transaction (if known)</t>
  </si>
  <si>
    <t>Sign of the transaction</t>
  </si>
  <si>
    <t>Price (before transaction)</t>
  </si>
  <si>
    <t/>
  </si>
  <si>
    <t>Index</t>
  </si>
  <si>
    <t>Dp</t>
  </si>
  <si>
    <t>Log.volume</t>
  </si>
  <si>
    <t>Normalized.r</t>
  </si>
  <si>
    <t>Signed.dp</t>
  </si>
  <si>
    <t>Eff.volume</t>
  </si>
  <si>
    <t>Lag l</t>
  </si>
  <si>
    <t>Autocorrelation C(l)</t>
  </si>
  <si>
    <t>Nombre de paires</t>
  </si>
  <si>
    <t>Nombre de paires (N-l)</t>
  </si>
  <si>
    <t>R(l)</t>
  </si>
  <si>
    <t>Nobs</t>
  </si>
  <si>
    <t>G0</t>
  </si>
  <si>
    <t>beta</t>
  </si>
  <si>
    <t>L</t>
  </si>
  <si>
    <t>n</t>
  </si>
  <si>
    <t>G(n)</t>
  </si>
  <si>
    <t>C(n)</t>
  </si>
  <si>
    <t>R_th(l)</t>
  </si>
  <si>
    <t>Erreur</t>
  </si>
  <si>
    <t>Erreur^2</t>
  </si>
  <si>
    <t>SSE</t>
  </si>
  <si>
    <t>SOLVER</t>
  </si>
  <si>
    <t>VARIABLES</t>
  </si>
  <si>
    <t>CONTRAINTES</t>
  </si>
  <si>
    <t>Cible</t>
  </si>
  <si>
    <t>&gt;=0</t>
  </si>
  <si>
    <t>[0;2]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</si>
</sst>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4" borderId="0" xfId="0" applyFill="1" applyBorder="1"/>
    <xf numFmtId="0" fontId="0" fillId="5" borderId="0" xfId="0" applyFill="1" applyBorder="1"/>
    <xf numFmtId="0" fontId="1" fillId="6" borderId="0" xfId="0" applyFont="1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/>
    </xf>
    <xf numFmtId="0" fontId="0" fillId="8" borderId="0" xfId="0" applyFill="1" applyBorder="1"/>
    <xf numFmtId="0" fontId="0" fillId="8" borderId="0" xfId="0" applyFill="1" applyBorder="1" applyAlignment="1">
      <alignment horizontal="center"/>
    </xf>
    <xf numFmtId="0" fontId="1" fillId="6" borderId="3" xfId="0" applyFont="1" applyFill="1" applyBorder="1"/>
    <xf numFmtId="0" fontId="1" fillId="6" borderId="4" xfId="0" applyFont="1" applyFill="1" applyBorder="1"/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8" borderId="8" xfId="0" applyFill="1" applyBorder="1"/>
    <xf numFmtId="0" fontId="0" fillId="8" borderId="9" xfId="0" applyFill="1" applyBorder="1" applyAlignment="1">
      <alignment horizontal="center"/>
    </xf>
    <xf numFmtId="0" fontId="0" fillId="8" borderId="3" xfId="0" applyFill="1" applyBorder="1"/>
    <xf numFmtId="0" fontId="0" fillId="8" borderId="10" xfId="0" applyFill="1" applyBorder="1"/>
    <xf numFmtId="0" fontId="0" fillId="8" borderId="10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4" borderId="8" xfId="0" applyFill="1" applyBorder="1"/>
    <xf numFmtId="0" fontId="0" fillId="4" borderId="9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3" xfId="0" applyFill="1" applyBorder="1"/>
    <xf numFmtId="0" fontId="0" fillId="5" borderId="10" xfId="0" applyFill="1" applyBorder="1"/>
    <xf numFmtId="0" fontId="0" fillId="5" borderId="4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1" fillId="3" borderId="11" xfId="0" applyFont="1" applyFill="1" applyBorder="1" applyAlignment="1">
      <alignment horizontal="center" vertical="center" wrapText="1"/>
    </xf>
    <xf numFmtId="0" fontId="0" fillId="4" borderId="12" xfId="0" applyFill="1" applyBorder="1"/>
    <xf numFmtId="0" fontId="0" fillId="4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 = f(lag)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R_lags!$A$2:$A$51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R_lags!$B$2:$B$51</c:f>
              <c:numCache>
                <c:formatCode>General</c:formatCode>
                <c:ptCount val="50"/>
                <c:pt idx="0">
                  <c:v>6.2262000000000456E-2</c:v>
                </c:pt>
                <c:pt idx="1">
                  <c:v>5.7603603603603878E-2</c:v>
                </c:pt>
                <c:pt idx="2">
                  <c:v>5.6391783567133709E-2</c:v>
                </c:pt>
                <c:pt idx="3">
                  <c:v>5.1438314944836035E-2</c:v>
                </c:pt>
                <c:pt idx="4">
                  <c:v>5.4457831325302124E-2</c:v>
                </c:pt>
                <c:pt idx="5">
                  <c:v>5.7326633165829498E-2</c:v>
                </c:pt>
                <c:pt idx="6">
                  <c:v>5.2145875251508496E-2</c:v>
                </c:pt>
                <c:pt idx="7">
                  <c:v>5.1479355488420177E-2</c:v>
                </c:pt>
                <c:pt idx="8">
                  <c:v>5.2504032258064694E-2</c:v>
                </c:pt>
                <c:pt idx="9">
                  <c:v>5.5797174571140626E-2</c:v>
                </c:pt>
                <c:pt idx="10">
                  <c:v>5.3522222222222048E-2</c:v>
                </c:pt>
                <c:pt idx="11">
                  <c:v>4.9461071789686756E-2</c:v>
                </c:pt>
                <c:pt idx="12">
                  <c:v>4.9741902834008249E-2</c:v>
                </c:pt>
                <c:pt idx="13">
                  <c:v>5.1940222897668774E-2</c:v>
                </c:pt>
                <c:pt idx="14">
                  <c:v>5.4077079107504429E-2</c:v>
                </c:pt>
                <c:pt idx="15">
                  <c:v>5.2569543147206917E-2</c:v>
                </c:pt>
                <c:pt idx="16">
                  <c:v>5.2709349593496269E-2</c:v>
                </c:pt>
                <c:pt idx="17">
                  <c:v>5.5148524923703542E-2</c:v>
                </c:pt>
                <c:pt idx="18">
                  <c:v>5.8966395112016845E-2</c:v>
                </c:pt>
                <c:pt idx="19">
                  <c:v>5.9471967380224942E-2</c:v>
                </c:pt>
                <c:pt idx="20">
                  <c:v>5.8489795918367456E-2</c:v>
                </c:pt>
                <c:pt idx="21">
                  <c:v>5.7448416751788488E-2</c:v>
                </c:pt>
                <c:pt idx="22">
                  <c:v>6.0724948875257492E-2</c:v>
                </c:pt>
                <c:pt idx="23">
                  <c:v>6.258648925281636E-2</c:v>
                </c:pt>
                <c:pt idx="24">
                  <c:v>5.9348360655738092E-2</c:v>
                </c:pt>
                <c:pt idx="25">
                  <c:v>5.6013333333333797E-2</c:v>
                </c:pt>
                <c:pt idx="26">
                  <c:v>5.8706365503081108E-2</c:v>
                </c:pt>
                <c:pt idx="27">
                  <c:v>6.212024665981427E-2</c:v>
                </c:pt>
                <c:pt idx="28">
                  <c:v>6.3854938271606168E-2</c:v>
                </c:pt>
                <c:pt idx="29">
                  <c:v>5.8940267765191678E-2</c:v>
                </c:pt>
                <c:pt idx="30">
                  <c:v>5.8679381443300413E-2</c:v>
                </c:pt>
                <c:pt idx="31">
                  <c:v>6.0629514963881449E-2</c:v>
                </c:pt>
                <c:pt idx="32">
                  <c:v>5.9162190082643576E-2</c:v>
                </c:pt>
                <c:pt idx="33">
                  <c:v>5.6311271975181681E-2</c:v>
                </c:pt>
                <c:pt idx="34">
                  <c:v>5.3718426501034901E-2</c:v>
                </c:pt>
                <c:pt idx="35">
                  <c:v>5.4294300518135323E-2</c:v>
                </c:pt>
                <c:pt idx="36">
                  <c:v>5.2521784232363762E-2</c:v>
                </c:pt>
                <c:pt idx="37">
                  <c:v>5.0928348909657188E-2</c:v>
                </c:pt>
                <c:pt idx="38">
                  <c:v>4.9303534303533202E-2</c:v>
                </c:pt>
                <c:pt idx="39">
                  <c:v>4.6346514047867708E-2</c:v>
                </c:pt>
                <c:pt idx="40">
                  <c:v>4.9258333333335035E-2</c:v>
                </c:pt>
                <c:pt idx="41">
                  <c:v>5.0633993743483263E-2</c:v>
                </c:pt>
                <c:pt idx="42">
                  <c:v>4.5824634655534296E-2</c:v>
                </c:pt>
                <c:pt idx="43">
                  <c:v>4.664994775339544E-2</c:v>
                </c:pt>
                <c:pt idx="44">
                  <c:v>4.7254184100419733E-2</c:v>
                </c:pt>
                <c:pt idx="45">
                  <c:v>4.6816753926702266E-2</c:v>
                </c:pt>
                <c:pt idx="46">
                  <c:v>4.8167714884697239E-2</c:v>
                </c:pt>
                <c:pt idx="47">
                  <c:v>4.5563483735571966E-2</c:v>
                </c:pt>
                <c:pt idx="48">
                  <c:v>4.8723739495798696E-2</c:v>
                </c:pt>
                <c:pt idx="49">
                  <c:v>4.8256572029443764E-2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A-4D2E-B1E8-F790A293A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22896"/>
        <c:axId val="537523376"/>
      </c:scatterChart>
      <c:valAx>
        <c:axId val="53752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3376"/>
        <c:crosses val="autoZero"/>
        <c:crossBetween val="midCat"/>
      </c:valAx>
      <c:valAx>
        <c:axId val="53752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10</xdr:row>
      <xdr:rowOff>133350</xdr:rowOff>
    </xdr:from>
    <xdr:to>
      <xdr:col>12</xdr:col>
      <xdr:colOff>388620</xdr:colOff>
      <xdr:row>25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D9246FD-3424-8019-EBF8-556F8A493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79C4-2DFB-47F9-B9F4-42C137F6B8F3}">
  <dimension ref="A1:L52"/>
  <sheetViews>
    <sheetView tabSelected="1" workbookViewId="0">
      <selection activeCell="N9" sqref="N9"/>
    </sheetView>
  </sheetViews>
  <sheetFormatPr baseColWidth="10" defaultRowHeight="14.4" x14ac:dyDescent="0.3"/>
  <cols>
    <col min="1" max="3" width="11.5546875" style="1"/>
    <col min="4" max="4" width="12.6640625" style="1" bestFit="1" customWidth="1"/>
    <col min="5" max="16384" width="11.5546875" style="1"/>
  </cols>
  <sheetData>
    <row r="1" spans="1:12" ht="28.8" x14ac:dyDescent="0.3">
      <c r="A1" s="23" t="s">
        <v>12</v>
      </c>
      <c r="B1" s="24" t="s">
        <v>16</v>
      </c>
      <c r="C1" s="24" t="s">
        <v>14</v>
      </c>
      <c r="D1" s="24" t="s">
        <v>24</v>
      </c>
      <c r="E1" s="24" t="s">
        <v>25</v>
      </c>
      <c r="F1" s="25" t="s">
        <v>26</v>
      </c>
      <c r="H1" s="1" t="s">
        <v>17</v>
      </c>
    </row>
    <row r="2" spans="1:12" x14ac:dyDescent="0.3">
      <c r="A2" s="26">
        <f>C_lags!A2</f>
        <v>1</v>
      </c>
      <c r="B2" s="2">
        <f ca="1">(SUMPRODUCT(OFFSET(data_prep!$E$2,A2,0,$H$2-A2,1),OFFSET(data_prep!$D$2,0,0,$H$2-A2,1))-SUMPRODUCT(OFFSET(data_prep!$E$2,0,0,$H$2-A2,1),OFFSET(data_prep!$D$2,0,0,$H$2-A2,1)))/COUNT(OFFSET(data_prep!$D$2,0,0,$H$2-A2,1))</f>
        <v>6.2262000000000456E-2</v>
      </c>
      <c r="C2" s="2">
        <f>C_lags!C2</f>
        <v>1000</v>
      </c>
      <c r="D2" s="2" cm="1">
        <f t="array" aca="1" ref="D2" ca="1">IF(A2&lt;=0,"", SUMPRODUCT( INDEX(model!$B:$B,5):INDEX(model!$B:$B,4+A2), INDEX( INDEX(model!$C:$C,6):INDEX(model!$C:$C,5+A2), A2-(ROW(INDEX(model!$B:$B,5):INDEX(model!$B:$B,4+A2))-ROW(INDEX(model!$B:$B,5))) ) ) + IF(A2&lt;model!$E$2, SUMPRODUCT( ( INDEX(model!$B:$B,6+A2):INDEX(model!$B:$B,5+model!$E$2) - INDEX(model!$B:$B,6):INDEX(model!$B:$B,5+model!$E$2-A2) ), INDEX(model!$C:$C,6):INDEX(model!$C:$C,5+model!$E$2-A2) ), 0) )</f>
        <v>0</v>
      </c>
      <c r="E2" s="2">
        <f ca="1">B2-D2</f>
        <v>6.2262000000000456E-2</v>
      </c>
      <c r="F2" s="27">
        <f ca="1">E2^2</f>
        <v>3.8765566440000566E-3</v>
      </c>
      <c r="G2" s="1">
        <f>MATCH(9.99999999999999E+307,data_prep!$E:$E)</f>
        <v>1002</v>
      </c>
      <c r="H2" s="1">
        <f>$G$2-1</f>
        <v>1001</v>
      </c>
    </row>
    <row r="3" spans="1:12" x14ac:dyDescent="0.3">
      <c r="A3" s="28">
        <f>C_lags!A3</f>
        <v>2</v>
      </c>
      <c r="B3" s="3">
        <f ca="1">(SUMPRODUCT(OFFSET(data_prep!$E$2,A3,0,$H$2-A3,1),OFFSET(data_prep!$D$2,0,0,$H$2-A3,1))-SUMPRODUCT(OFFSET(data_prep!$E$2,0,0,$H$2-A3,1),OFFSET(data_prep!$D$2,0,0,$H$2-A3,1)))/COUNT(OFFSET(data_prep!$D$2,0,0,$H$2-A3,1))</f>
        <v>5.7603603603603878E-2</v>
      </c>
      <c r="C3" s="3">
        <f>C_lags!C3</f>
        <v>999</v>
      </c>
      <c r="D3" s="3" cm="1">
        <f t="array" aca="1" ref="D3" ca="1">IF(A3&lt;=0,"", SUMPRODUCT( INDEX(model!$B:$B,5):INDEX(model!$B:$B,4+A3), INDEX( INDEX(model!$C:$C,6):INDEX(model!$C:$C,5+A3), A3-(ROW(INDEX(model!$B:$B,5):INDEX(model!$B:$B,4+A3))-ROW(INDEX(model!$B:$B,5))) ) ) + IF(A3&lt;model!$E$2, SUMPRODUCT( ( INDEX(model!$B:$B,6+A3):INDEX(model!$B:$B,5+model!$E$2) - INDEX(model!$B:$B,6):INDEX(model!$B:$B,5+model!$E$2-A3) ), INDEX(model!$C:$C,6):INDEX(model!$C:$C,5+model!$E$2-A3) ), 0) )</f>
        <v>0</v>
      </c>
      <c r="E3" s="3">
        <f ca="1">B3-D3</f>
        <v>5.7603603603603878E-2</v>
      </c>
      <c r="F3" s="29">
        <f ca="1">E3^2</f>
        <v>3.3181751481211256E-3</v>
      </c>
    </row>
    <row r="4" spans="1:12" ht="15" thickBot="1" x14ac:dyDescent="0.35">
      <c r="A4" s="26">
        <f>C_lags!A4</f>
        <v>3</v>
      </c>
      <c r="B4" s="2">
        <f ca="1">(SUMPRODUCT(OFFSET(data_prep!$E$2,A4,0,$H$2-A4,1),OFFSET(data_prep!$D$2,0,0,$H$2-A4,1))-SUMPRODUCT(OFFSET(data_prep!$E$2,0,0,$H$2-A4,1),OFFSET(data_prep!$D$2,0,0,$H$2-A4,1)))/COUNT(OFFSET(data_prep!$D$2,0,0,$H$2-A4,1))</f>
        <v>5.6391783567133709E-2</v>
      </c>
      <c r="C4" s="2">
        <f>C_lags!C4</f>
        <v>998</v>
      </c>
      <c r="D4" s="2" cm="1">
        <f t="array" aca="1" ref="D4" ca="1">IF(A4&lt;=0,"", SUMPRODUCT( INDEX(model!$B:$B,5):INDEX(model!$B:$B,4+A4), INDEX( INDEX(model!$C:$C,6):INDEX(model!$C:$C,5+A4), A4-(ROW(INDEX(model!$B:$B,5):INDEX(model!$B:$B,4+A4))-ROW(INDEX(model!$B:$B,5))) ) ) + IF(A4&lt;model!$E$2, SUMPRODUCT( ( INDEX(model!$B:$B,6+A4):INDEX(model!$B:$B,5+model!$E$2) - INDEX(model!$B:$B,6):INDEX(model!$B:$B,5+model!$E$2-A4) ), INDEX(model!$C:$C,6):INDEX(model!$C:$C,5+model!$E$2-A4) ), 0) )</f>
        <v>0</v>
      </c>
      <c r="E4" s="2">
        <f ca="1">B4-D4</f>
        <v>5.6391783567133709E-2</v>
      </c>
      <c r="F4" s="27">
        <f ca="1">E4^2</f>
        <v>3.1800332538824516E-3</v>
      </c>
    </row>
    <row r="5" spans="1:12" x14ac:dyDescent="0.3">
      <c r="A5" s="28">
        <f>C_lags!A5</f>
        <v>4</v>
      </c>
      <c r="B5" s="3">
        <f ca="1">(SUMPRODUCT(OFFSET(data_prep!$E$2,A5,0,$H$2-A5,1),OFFSET(data_prep!$D$2,0,0,$H$2-A5,1))-SUMPRODUCT(OFFSET(data_prep!$E$2,0,0,$H$2-A5,1),OFFSET(data_prep!$D$2,0,0,$H$2-A5,1)))/COUNT(OFFSET(data_prep!$D$2,0,0,$H$2-A5,1))</f>
        <v>5.1438314944836035E-2</v>
      </c>
      <c r="C5" s="3">
        <f>C_lags!C5</f>
        <v>997</v>
      </c>
      <c r="D5" s="3" cm="1">
        <f t="array" aca="1" ref="D5" ca="1">IF(A5&lt;=0,"", SUMPRODUCT( INDEX(model!$B:$B,5):INDEX(model!$B:$B,4+A5), INDEX( INDEX(model!$C:$C,6):INDEX(model!$C:$C,5+A5), A5-(ROW(INDEX(model!$B:$B,5):INDEX(model!$B:$B,4+A5))-ROW(INDEX(model!$B:$B,5))) ) ) + IF(A5&lt;model!$E$2, SUMPRODUCT( ( INDEX(model!$B:$B,6+A5):INDEX(model!$B:$B,5+model!$E$2) - INDEX(model!$B:$B,6):INDEX(model!$B:$B,5+model!$E$2-A5) ), INDEX(model!$C:$C,6):INDEX(model!$C:$C,5+model!$E$2-A5) ), 0) )</f>
        <v>0</v>
      </c>
      <c r="E5" s="3">
        <f ca="1">B5-D5</f>
        <v>5.1438314944836035E-2</v>
      </c>
      <c r="F5" s="29">
        <f ca="1">E5^2</f>
        <v>2.6459002443641423E-3</v>
      </c>
      <c r="I5" s="10" t="s">
        <v>28</v>
      </c>
      <c r="J5" s="11"/>
      <c r="K5" s="11"/>
      <c r="L5" s="12"/>
    </row>
    <row r="6" spans="1:12" x14ac:dyDescent="0.3">
      <c r="A6" s="26">
        <f>C_lags!A6</f>
        <v>5</v>
      </c>
      <c r="B6" s="2">
        <f ca="1">(SUMPRODUCT(OFFSET(data_prep!$E$2,A6,0,$H$2-A6,1),OFFSET(data_prep!$D$2,0,0,$H$2-A6,1))-SUMPRODUCT(OFFSET(data_prep!$E$2,0,0,$H$2-A6,1),OFFSET(data_prep!$D$2,0,0,$H$2-A6,1)))/COUNT(OFFSET(data_prep!$D$2,0,0,$H$2-A6,1))</f>
        <v>5.4457831325302124E-2</v>
      </c>
      <c r="C6" s="2">
        <f>C_lags!C6</f>
        <v>996</v>
      </c>
      <c r="D6" s="2" cm="1">
        <f t="array" aca="1" ref="D6" ca="1">IF(A6&lt;=0,"", SUMPRODUCT( INDEX(model!$B:$B,5):INDEX(model!$B:$B,4+A6), INDEX( INDEX(model!$C:$C,6):INDEX(model!$C:$C,5+A6), A6-(ROW(INDEX(model!$B:$B,5):INDEX(model!$B:$B,4+A6))-ROW(INDEX(model!$B:$B,5))) ) ) + IF(A6&lt;model!$E$2, SUMPRODUCT( ( INDEX(model!$B:$B,6+A6):INDEX(model!$B:$B,5+model!$E$2) - INDEX(model!$B:$B,6):INDEX(model!$B:$B,5+model!$E$2-A6) ), INDEX(model!$C:$C,6):INDEX(model!$C:$C,5+model!$E$2-A6) ), 0) )</f>
        <v>0</v>
      </c>
      <c r="E6" s="2">
        <f ca="1">B6-D6</f>
        <v>5.4457831325302124E-2</v>
      </c>
      <c r="F6" s="27">
        <f ca="1">E6^2</f>
        <v>2.9656553926550571E-3</v>
      </c>
      <c r="I6" s="13"/>
      <c r="J6" s="4"/>
      <c r="K6" s="4"/>
      <c r="L6" s="14"/>
    </row>
    <row r="7" spans="1:12" x14ac:dyDescent="0.3">
      <c r="A7" s="28">
        <f>C_lags!A7</f>
        <v>6</v>
      </c>
      <c r="B7" s="3">
        <f ca="1">(SUMPRODUCT(OFFSET(data_prep!$E$2,A7,0,$H$2-A7,1),OFFSET(data_prep!$D$2,0,0,$H$2-A7,1))-SUMPRODUCT(OFFSET(data_prep!$E$2,0,0,$H$2-A7,1),OFFSET(data_prep!$D$2,0,0,$H$2-A7,1)))/COUNT(OFFSET(data_prep!$D$2,0,0,$H$2-A7,1))</f>
        <v>5.7326633165829498E-2</v>
      </c>
      <c r="C7" s="3">
        <f>C_lags!C7</f>
        <v>995</v>
      </c>
      <c r="D7" s="3" cm="1">
        <f t="array" aca="1" ref="D7" ca="1">IF(A7&lt;=0,"", SUMPRODUCT( INDEX(model!$B:$B,5):INDEX(model!$B:$B,4+A7), INDEX( INDEX(model!$C:$C,6):INDEX(model!$C:$C,5+A7), A7-(ROW(INDEX(model!$B:$B,5):INDEX(model!$B:$B,4+A7))-ROW(INDEX(model!$B:$B,5))) ) ) + IF(A7&lt;model!$E$2, SUMPRODUCT( ( INDEX(model!$B:$B,6+A7):INDEX(model!$B:$B,5+model!$E$2) - INDEX(model!$B:$B,6):INDEX(model!$B:$B,5+model!$E$2-A7) ), INDEX(model!$C:$C,6):INDEX(model!$C:$C,5+model!$E$2-A7) ), 0) )</f>
        <v>0</v>
      </c>
      <c r="E7" s="3">
        <f ca="1">B7-D7</f>
        <v>5.7326633165829498E-2</v>
      </c>
      <c r="F7" s="29">
        <f ca="1">E7^2</f>
        <v>3.2863428701295824E-3</v>
      </c>
      <c r="I7" s="15" t="s">
        <v>29</v>
      </c>
      <c r="J7" s="5"/>
      <c r="K7" s="5" t="s">
        <v>30</v>
      </c>
      <c r="L7" s="16"/>
    </row>
    <row r="8" spans="1:12" x14ac:dyDescent="0.3">
      <c r="A8" s="26">
        <f>C_lags!A8</f>
        <v>7</v>
      </c>
      <c r="B8" s="2">
        <f ca="1">(SUMPRODUCT(OFFSET(data_prep!$E$2,A8,0,$H$2-A8,1),OFFSET(data_prep!$D$2,0,0,$H$2-A8,1))-SUMPRODUCT(OFFSET(data_prep!$E$2,0,0,$H$2-A8,1),OFFSET(data_prep!$D$2,0,0,$H$2-A8,1)))/COUNT(OFFSET(data_prep!$D$2,0,0,$H$2-A8,1))</f>
        <v>5.2145875251508496E-2</v>
      </c>
      <c r="C8" s="2">
        <f>C_lags!C8</f>
        <v>994</v>
      </c>
      <c r="D8" s="2" cm="1">
        <f t="array" aca="1" ref="D8" ca="1">IF(A8&lt;=0,"", SUMPRODUCT( INDEX(model!$B:$B,5):INDEX(model!$B:$B,4+A8), INDEX( INDEX(model!$C:$C,6):INDEX(model!$C:$C,5+A8), A8-(ROW(INDEX(model!$B:$B,5):INDEX(model!$B:$B,4+A8))-ROW(INDEX(model!$B:$B,5))) ) ) + IF(A8&lt;model!$E$2, SUMPRODUCT( ( INDEX(model!$B:$B,6+A8):INDEX(model!$B:$B,5+model!$E$2) - INDEX(model!$B:$B,6):INDEX(model!$B:$B,5+model!$E$2-A8) ), INDEX(model!$C:$C,6):INDEX(model!$C:$C,5+model!$E$2-A8) ), 0) )</f>
        <v>0</v>
      </c>
      <c r="E8" s="2">
        <f ca="1">B8-D8</f>
        <v>5.2145875251508496E-2</v>
      </c>
      <c r="F8" s="27">
        <f ca="1">E8^2</f>
        <v>2.7191923057458861E-3</v>
      </c>
      <c r="I8" s="17" t="s">
        <v>18</v>
      </c>
      <c r="J8" s="6">
        <v>0</v>
      </c>
      <c r="K8" s="7" t="s">
        <v>32</v>
      </c>
      <c r="L8" s="18"/>
    </row>
    <row r="9" spans="1:12" ht="15" thickBot="1" x14ac:dyDescent="0.35">
      <c r="A9" s="28">
        <f>C_lags!A9</f>
        <v>8</v>
      </c>
      <c r="B9" s="3">
        <f ca="1">(SUMPRODUCT(OFFSET(data_prep!$E$2,A9,0,$H$2-A9,1),OFFSET(data_prep!$D$2,0,0,$H$2-A9,1))-SUMPRODUCT(OFFSET(data_prep!$E$2,0,0,$H$2-A9,1),OFFSET(data_prep!$D$2,0,0,$H$2-A9,1)))/COUNT(OFFSET(data_prep!$D$2,0,0,$H$2-A9,1))</f>
        <v>5.1479355488420177E-2</v>
      </c>
      <c r="C9" s="3">
        <f>C_lags!C9</f>
        <v>993</v>
      </c>
      <c r="D9" s="3" cm="1">
        <f t="array" aca="1" ref="D9" ca="1">IF(A9&lt;=0,"", SUMPRODUCT( INDEX(model!$B:$B,5):INDEX(model!$B:$B,4+A9), INDEX( INDEX(model!$C:$C,6):INDEX(model!$C:$C,5+A9), A9-(ROW(INDEX(model!$B:$B,5):INDEX(model!$B:$B,4+A9))-ROW(INDEX(model!$B:$B,5))) ) ) + IF(A9&lt;model!$E$2, SUMPRODUCT( ( INDEX(model!$B:$B,6+A9):INDEX(model!$B:$B,5+model!$E$2) - INDEX(model!$B:$B,6):INDEX(model!$B:$B,5+model!$E$2-A9) ), INDEX(model!$C:$C,6):INDEX(model!$C:$C,5+model!$E$2-A9) ), 0) )</f>
        <v>0</v>
      </c>
      <c r="E9" s="3">
        <f ca="1">B9-D9</f>
        <v>5.1479355488420177E-2</v>
      </c>
      <c r="F9" s="29">
        <f ca="1">E9^2</f>
        <v>2.6501240415031367E-3</v>
      </c>
      <c r="I9" s="19" t="s">
        <v>19</v>
      </c>
      <c r="J9" s="20">
        <v>0.50000444188114856</v>
      </c>
      <c r="K9" s="21" t="s">
        <v>33</v>
      </c>
      <c r="L9" s="22"/>
    </row>
    <row r="10" spans="1:12" ht="15" thickBot="1" x14ac:dyDescent="0.35">
      <c r="A10" s="26">
        <f>C_lags!A10</f>
        <v>9</v>
      </c>
      <c r="B10" s="2">
        <f ca="1">(SUMPRODUCT(OFFSET(data_prep!$E$2,A10,0,$H$2-A10,1),OFFSET(data_prep!$D$2,0,0,$H$2-A10,1))-SUMPRODUCT(OFFSET(data_prep!$E$2,0,0,$H$2-A10,1),OFFSET(data_prep!$D$2,0,0,$H$2-A10,1)))/COUNT(OFFSET(data_prep!$D$2,0,0,$H$2-A10,1))</f>
        <v>5.2504032258064694E-2</v>
      </c>
      <c r="C10" s="2">
        <f>C_lags!C10</f>
        <v>992</v>
      </c>
      <c r="D10" s="2" cm="1">
        <f t="array" aca="1" ref="D10" ca="1">IF(A10&lt;=0,"", SUMPRODUCT( INDEX(model!$B:$B,5):INDEX(model!$B:$B,4+A10), INDEX( INDEX(model!$C:$C,6):INDEX(model!$C:$C,5+A10), A10-(ROW(INDEX(model!$B:$B,5):INDEX(model!$B:$B,4+A10))-ROW(INDEX(model!$B:$B,5))) ) ) + IF(A10&lt;model!$E$2, SUMPRODUCT( ( INDEX(model!$B:$B,6+A10):INDEX(model!$B:$B,5+model!$E$2) - INDEX(model!$B:$B,6):INDEX(model!$B:$B,5+model!$E$2-A10) ), INDEX(model!$C:$C,6):INDEX(model!$C:$C,5+model!$E$2-A10) ), 0) )</f>
        <v>0</v>
      </c>
      <c r="E10" s="2">
        <f ca="1">B10-D10</f>
        <v>5.2504032258064694E-2</v>
      </c>
      <c r="F10" s="27">
        <f ca="1">E10^2</f>
        <v>2.756673403355898E-3</v>
      </c>
      <c r="I10" s="8" t="s">
        <v>31</v>
      </c>
      <c r="J10" s="9">
        <f ca="1">F52</f>
        <v>0.14770384786658203</v>
      </c>
    </row>
    <row r="11" spans="1:12" x14ac:dyDescent="0.3">
      <c r="A11" s="28">
        <f>C_lags!A11</f>
        <v>10</v>
      </c>
      <c r="B11" s="3">
        <f ca="1">(SUMPRODUCT(OFFSET(data_prep!$E$2,A11,0,$H$2-A11,1),OFFSET(data_prep!$D$2,0,0,$H$2-A11,1))-SUMPRODUCT(OFFSET(data_prep!$E$2,0,0,$H$2-A11,1),OFFSET(data_prep!$D$2,0,0,$H$2-A11,1)))/COUNT(OFFSET(data_prep!$D$2,0,0,$H$2-A11,1))</f>
        <v>5.5797174571140626E-2</v>
      </c>
      <c r="C11" s="3">
        <f>C_lags!C11</f>
        <v>991</v>
      </c>
      <c r="D11" s="3" cm="1">
        <f t="array" aca="1" ref="D11" ca="1">IF(A11&lt;=0,"", SUMPRODUCT( INDEX(model!$B:$B,5):INDEX(model!$B:$B,4+A11), INDEX( INDEX(model!$C:$C,6):INDEX(model!$C:$C,5+A11), A11-(ROW(INDEX(model!$B:$B,5):INDEX(model!$B:$B,4+A11))-ROW(INDEX(model!$B:$B,5))) ) ) + IF(A11&lt;model!$E$2, SUMPRODUCT( ( INDEX(model!$B:$B,6+A11):INDEX(model!$B:$B,5+model!$E$2) - INDEX(model!$B:$B,6):INDEX(model!$B:$B,5+model!$E$2-A11) ), INDEX(model!$C:$C,6):INDEX(model!$C:$C,5+model!$E$2-A11) ), 0) )</f>
        <v>0</v>
      </c>
      <c r="E11" s="3">
        <f ca="1">B11-D11</f>
        <v>5.5797174571140626E-2</v>
      </c>
      <c r="F11" s="29">
        <f ca="1">E11^2</f>
        <v>3.1133246901223423E-3</v>
      </c>
    </row>
    <row r="12" spans="1:12" x14ac:dyDescent="0.3">
      <c r="A12" s="26">
        <f>C_lags!A12</f>
        <v>11</v>
      </c>
      <c r="B12" s="2">
        <f ca="1">(SUMPRODUCT(OFFSET(data_prep!$E$2,A12,0,$H$2-A12,1),OFFSET(data_prep!$D$2,0,0,$H$2-A12,1))-SUMPRODUCT(OFFSET(data_prep!$E$2,0,0,$H$2-A12,1),OFFSET(data_prep!$D$2,0,0,$H$2-A12,1)))/COUNT(OFFSET(data_prep!$D$2,0,0,$H$2-A12,1))</f>
        <v>5.3522222222222048E-2</v>
      </c>
      <c r="C12" s="2">
        <f>C_lags!C12</f>
        <v>990</v>
      </c>
      <c r="D12" s="2" cm="1">
        <f t="array" aca="1" ref="D12" ca="1">IF(A12&lt;=0,"", SUMPRODUCT( INDEX(model!$B:$B,5):INDEX(model!$B:$B,4+A12), INDEX( INDEX(model!$C:$C,6):INDEX(model!$C:$C,5+A12), A12-(ROW(INDEX(model!$B:$B,5):INDEX(model!$B:$B,4+A12))-ROW(INDEX(model!$B:$B,5))) ) ) + IF(A12&lt;model!$E$2, SUMPRODUCT( ( INDEX(model!$B:$B,6+A12):INDEX(model!$B:$B,5+model!$E$2) - INDEX(model!$B:$B,6):INDEX(model!$B:$B,5+model!$E$2-A12) ), INDEX(model!$C:$C,6):INDEX(model!$C:$C,5+model!$E$2-A12) ), 0) )</f>
        <v>0</v>
      </c>
      <c r="E12" s="2">
        <f ca="1">B12-D12</f>
        <v>5.3522222222222048E-2</v>
      </c>
      <c r="F12" s="27">
        <f ca="1">E12^2</f>
        <v>2.8646282716049197E-3</v>
      </c>
    </row>
    <row r="13" spans="1:12" x14ac:dyDescent="0.3">
      <c r="A13" s="28">
        <f>C_lags!A13</f>
        <v>12</v>
      </c>
      <c r="B13" s="3">
        <f ca="1">(SUMPRODUCT(OFFSET(data_prep!$E$2,A13,0,$H$2-A13,1),OFFSET(data_prep!$D$2,0,0,$H$2-A13,1))-SUMPRODUCT(OFFSET(data_prep!$E$2,0,0,$H$2-A13,1),OFFSET(data_prep!$D$2,0,0,$H$2-A13,1)))/COUNT(OFFSET(data_prep!$D$2,0,0,$H$2-A13,1))</f>
        <v>4.9461071789686756E-2</v>
      </c>
      <c r="C13" s="3">
        <f>C_lags!C13</f>
        <v>989</v>
      </c>
      <c r="D13" s="3" cm="1">
        <f t="array" aca="1" ref="D13" ca="1">IF(A13&lt;=0,"", SUMPRODUCT( INDEX(model!$B:$B,5):INDEX(model!$B:$B,4+A13), INDEX( INDEX(model!$C:$C,6):INDEX(model!$C:$C,5+A13), A13-(ROW(INDEX(model!$B:$B,5):INDEX(model!$B:$B,4+A13))-ROW(INDEX(model!$B:$B,5))) ) ) + IF(A13&lt;model!$E$2, SUMPRODUCT( ( INDEX(model!$B:$B,6+A13):INDEX(model!$B:$B,5+model!$E$2) - INDEX(model!$B:$B,6):INDEX(model!$B:$B,5+model!$E$2-A13) ), INDEX(model!$C:$C,6):INDEX(model!$C:$C,5+model!$E$2-A13) ), 0) )</f>
        <v>0</v>
      </c>
      <c r="E13" s="3">
        <f ca="1">B13-D13</f>
        <v>4.9461071789686756E-2</v>
      </c>
      <c r="F13" s="29">
        <f ca="1">E13^2</f>
        <v>2.4463976225845472E-3</v>
      </c>
    </row>
    <row r="14" spans="1:12" x14ac:dyDescent="0.3">
      <c r="A14" s="26">
        <f>C_lags!A14</f>
        <v>13</v>
      </c>
      <c r="B14" s="2">
        <f ca="1">(SUMPRODUCT(OFFSET(data_prep!$E$2,A14,0,$H$2-A14,1),OFFSET(data_prep!$D$2,0,0,$H$2-A14,1))-SUMPRODUCT(OFFSET(data_prep!$E$2,0,0,$H$2-A14,1),OFFSET(data_prep!$D$2,0,0,$H$2-A14,1)))/COUNT(OFFSET(data_prep!$D$2,0,0,$H$2-A14,1))</f>
        <v>4.9741902834008249E-2</v>
      </c>
      <c r="C14" s="2">
        <f>C_lags!C14</f>
        <v>988</v>
      </c>
      <c r="D14" s="2" cm="1">
        <f t="array" aca="1" ref="D14" ca="1">IF(A14&lt;=0,"", SUMPRODUCT( INDEX(model!$B:$B,5):INDEX(model!$B:$B,4+A14), INDEX( INDEX(model!$C:$C,6):INDEX(model!$C:$C,5+A14), A14-(ROW(INDEX(model!$B:$B,5):INDEX(model!$B:$B,4+A14))-ROW(INDEX(model!$B:$B,5))) ) ) + IF(A14&lt;model!$E$2, SUMPRODUCT( ( INDEX(model!$B:$B,6+A14):INDEX(model!$B:$B,5+model!$E$2) - INDEX(model!$B:$B,6):INDEX(model!$B:$B,5+model!$E$2-A14) ), INDEX(model!$C:$C,6):INDEX(model!$C:$C,5+model!$E$2-A14) ), 0) )</f>
        <v>0</v>
      </c>
      <c r="E14" s="2">
        <f ca="1">B14-D14</f>
        <v>4.9741902834008249E-2</v>
      </c>
      <c r="F14" s="27">
        <f ca="1">E14^2</f>
        <v>2.4742568975479177E-3</v>
      </c>
    </row>
    <row r="15" spans="1:12" x14ac:dyDescent="0.3">
      <c r="A15" s="28">
        <f>C_lags!A15</f>
        <v>14</v>
      </c>
      <c r="B15" s="3">
        <f ca="1">(SUMPRODUCT(OFFSET(data_prep!$E$2,A15,0,$H$2-A15,1),OFFSET(data_prep!$D$2,0,0,$H$2-A15,1))-SUMPRODUCT(OFFSET(data_prep!$E$2,0,0,$H$2-A15,1),OFFSET(data_prep!$D$2,0,0,$H$2-A15,1)))/COUNT(OFFSET(data_prep!$D$2,0,0,$H$2-A15,1))</f>
        <v>5.1940222897668774E-2</v>
      </c>
      <c r="C15" s="3">
        <f>C_lags!C15</f>
        <v>987</v>
      </c>
      <c r="D15" s="3" cm="1">
        <f t="array" aca="1" ref="D15" ca="1">IF(A15&lt;=0,"", SUMPRODUCT( INDEX(model!$B:$B,5):INDEX(model!$B:$B,4+A15), INDEX( INDEX(model!$C:$C,6):INDEX(model!$C:$C,5+A15), A15-(ROW(INDEX(model!$B:$B,5):INDEX(model!$B:$B,4+A15))-ROW(INDEX(model!$B:$B,5))) ) ) + IF(A15&lt;model!$E$2, SUMPRODUCT( ( INDEX(model!$B:$B,6+A15):INDEX(model!$B:$B,5+model!$E$2) - INDEX(model!$B:$B,6):INDEX(model!$B:$B,5+model!$E$2-A15) ), INDEX(model!$C:$C,6):INDEX(model!$C:$C,5+model!$E$2-A15) ), 0) )</f>
        <v>0</v>
      </c>
      <c r="E15" s="3">
        <f ca="1">B15-D15</f>
        <v>5.1940222897668774E-2</v>
      </c>
      <c r="F15" s="29">
        <f ca="1">E15^2</f>
        <v>2.6977867546595156E-3</v>
      </c>
    </row>
    <row r="16" spans="1:12" x14ac:dyDescent="0.3">
      <c r="A16" s="26">
        <f>C_lags!A16</f>
        <v>15</v>
      </c>
      <c r="B16" s="2">
        <f ca="1">(SUMPRODUCT(OFFSET(data_prep!$E$2,A16,0,$H$2-A16,1),OFFSET(data_prep!$D$2,0,0,$H$2-A16,1))-SUMPRODUCT(OFFSET(data_prep!$E$2,0,0,$H$2-A16,1),OFFSET(data_prep!$D$2,0,0,$H$2-A16,1)))/COUNT(OFFSET(data_prep!$D$2,0,0,$H$2-A16,1))</f>
        <v>5.4077079107504429E-2</v>
      </c>
      <c r="C16" s="2">
        <f>C_lags!C16</f>
        <v>986</v>
      </c>
      <c r="D16" s="2" cm="1">
        <f t="array" aca="1" ref="D16" ca="1">IF(A16&lt;=0,"", SUMPRODUCT( INDEX(model!$B:$B,5):INDEX(model!$B:$B,4+A16), INDEX( INDEX(model!$C:$C,6):INDEX(model!$C:$C,5+A16), A16-(ROW(INDEX(model!$B:$B,5):INDEX(model!$B:$B,4+A16))-ROW(INDEX(model!$B:$B,5))) ) ) + IF(A16&lt;model!$E$2, SUMPRODUCT( ( INDEX(model!$B:$B,6+A16):INDEX(model!$B:$B,5+model!$E$2) - INDEX(model!$B:$B,6):INDEX(model!$B:$B,5+model!$E$2-A16) ), INDEX(model!$C:$C,6):INDEX(model!$C:$C,5+model!$E$2-A16) ), 0) )</f>
        <v>0</v>
      </c>
      <c r="E16" s="2">
        <f ca="1">B16-D16</f>
        <v>5.4077079107504429E-2</v>
      </c>
      <c r="F16" s="27">
        <f ca="1">E16^2</f>
        <v>2.924330484799292E-3</v>
      </c>
    </row>
    <row r="17" spans="1:6" x14ac:dyDescent="0.3">
      <c r="A17" s="28">
        <f>C_lags!A17</f>
        <v>16</v>
      </c>
      <c r="B17" s="3">
        <f ca="1">(SUMPRODUCT(OFFSET(data_prep!$E$2,A17,0,$H$2-A17,1),OFFSET(data_prep!$D$2,0,0,$H$2-A17,1))-SUMPRODUCT(OFFSET(data_prep!$E$2,0,0,$H$2-A17,1),OFFSET(data_prep!$D$2,0,0,$H$2-A17,1)))/COUNT(OFFSET(data_prep!$D$2,0,0,$H$2-A17,1))</f>
        <v>5.2569543147206917E-2</v>
      </c>
      <c r="C17" s="3">
        <f>C_lags!C17</f>
        <v>985</v>
      </c>
      <c r="D17" s="3" cm="1">
        <f t="array" aca="1" ref="D17" ca="1">IF(A17&lt;=0,"", SUMPRODUCT( INDEX(model!$B:$B,5):INDEX(model!$B:$B,4+A17), INDEX( INDEX(model!$C:$C,6):INDEX(model!$C:$C,5+A17), A17-(ROW(INDEX(model!$B:$B,5):INDEX(model!$B:$B,4+A17))-ROW(INDEX(model!$B:$B,5))) ) ) + IF(A17&lt;model!$E$2, SUMPRODUCT( ( INDEX(model!$B:$B,6+A17):INDEX(model!$B:$B,5+model!$E$2) - INDEX(model!$B:$B,6):INDEX(model!$B:$B,5+model!$E$2-A17) ), INDEX(model!$C:$C,6):INDEX(model!$C:$C,5+model!$E$2-A17) ), 0) )</f>
        <v>0</v>
      </c>
      <c r="E17" s="3">
        <f ca="1">B17-D17</f>
        <v>5.2569543147206917E-2</v>
      </c>
      <c r="F17" s="29">
        <f ca="1">E17^2</f>
        <v>2.7635568667060497E-3</v>
      </c>
    </row>
    <row r="18" spans="1:6" x14ac:dyDescent="0.3">
      <c r="A18" s="26">
        <f>C_lags!A18</f>
        <v>17</v>
      </c>
      <c r="B18" s="2">
        <f ca="1">(SUMPRODUCT(OFFSET(data_prep!$E$2,A18,0,$H$2-A18,1),OFFSET(data_prep!$D$2,0,0,$H$2-A18,1))-SUMPRODUCT(OFFSET(data_prep!$E$2,0,0,$H$2-A18,1),OFFSET(data_prep!$D$2,0,0,$H$2-A18,1)))/COUNT(OFFSET(data_prep!$D$2,0,0,$H$2-A18,1))</f>
        <v>5.2709349593496269E-2</v>
      </c>
      <c r="C18" s="2">
        <f>C_lags!C18</f>
        <v>984</v>
      </c>
      <c r="D18" s="2" cm="1">
        <f t="array" aca="1" ref="D18" ca="1">IF(A18&lt;=0,"", SUMPRODUCT( INDEX(model!$B:$B,5):INDEX(model!$B:$B,4+A18), INDEX( INDEX(model!$C:$C,6):INDEX(model!$C:$C,5+A18), A18-(ROW(INDEX(model!$B:$B,5):INDEX(model!$B:$B,4+A18))-ROW(INDEX(model!$B:$B,5))) ) ) + IF(A18&lt;model!$E$2, SUMPRODUCT( ( INDEX(model!$B:$B,6+A18):INDEX(model!$B:$B,5+model!$E$2) - INDEX(model!$B:$B,6):INDEX(model!$B:$B,5+model!$E$2-A18) ), INDEX(model!$C:$C,6):INDEX(model!$C:$C,5+model!$E$2-A18) ), 0) )</f>
        <v>0</v>
      </c>
      <c r="E18" s="2">
        <f ca="1">B18-D18</f>
        <v>5.2709349593496269E-2</v>
      </c>
      <c r="F18" s="27">
        <f ca="1">E18^2</f>
        <v>2.7782755345694054E-3</v>
      </c>
    </row>
    <row r="19" spans="1:6" x14ac:dyDescent="0.3">
      <c r="A19" s="28">
        <f>C_lags!A19</f>
        <v>18</v>
      </c>
      <c r="B19" s="3">
        <f ca="1">(SUMPRODUCT(OFFSET(data_prep!$E$2,A19,0,$H$2-A19,1),OFFSET(data_prep!$D$2,0,0,$H$2-A19,1))-SUMPRODUCT(OFFSET(data_prep!$E$2,0,0,$H$2-A19,1),OFFSET(data_prep!$D$2,0,0,$H$2-A19,1)))/COUNT(OFFSET(data_prep!$D$2,0,0,$H$2-A19,1))</f>
        <v>5.5148524923703542E-2</v>
      </c>
      <c r="C19" s="3">
        <f>C_lags!C19</f>
        <v>983</v>
      </c>
      <c r="D19" s="3" cm="1">
        <f t="array" aca="1" ref="D19" ca="1">IF(A19&lt;=0,"", SUMPRODUCT( INDEX(model!$B:$B,5):INDEX(model!$B:$B,4+A19), INDEX( INDEX(model!$C:$C,6):INDEX(model!$C:$C,5+A19), A19-(ROW(INDEX(model!$B:$B,5):INDEX(model!$B:$B,4+A19))-ROW(INDEX(model!$B:$B,5))) ) ) + IF(A19&lt;model!$E$2, SUMPRODUCT( ( INDEX(model!$B:$B,6+A19):INDEX(model!$B:$B,5+model!$E$2) - INDEX(model!$B:$B,6):INDEX(model!$B:$B,5+model!$E$2-A19) ), INDEX(model!$C:$C,6):INDEX(model!$C:$C,5+model!$E$2-A19) ), 0) )</f>
        <v>0</v>
      </c>
      <c r="E19" s="3">
        <f ca="1">B19-D19</f>
        <v>5.5148524923703542E-2</v>
      </c>
      <c r="F19" s="29">
        <f ca="1">E19^2</f>
        <v>3.0413598012603506E-3</v>
      </c>
    </row>
    <row r="20" spans="1:6" x14ac:dyDescent="0.3">
      <c r="A20" s="26">
        <f>C_lags!A20</f>
        <v>19</v>
      </c>
      <c r="B20" s="2">
        <f ca="1">(SUMPRODUCT(OFFSET(data_prep!$E$2,A20,0,$H$2-A20,1),OFFSET(data_prep!$D$2,0,0,$H$2-A20,1))-SUMPRODUCT(OFFSET(data_prep!$E$2,0,0,$H$2-A20,1),OFFSET(data_prep!$D$2,0,0,$H$2-A20,1)))/COUNT(OFFSET(data_prep!$D$2,0,0,$H$2-A20,1))</f>
        <v>5.8966395112016845E-2</v>
      </c>
      <c r="C20" s="2">
        <f>C_lags!C20</f>
        <v>982</v>
      </c>
      <c r="D20" s="2" cm="1">
        <f t="array" aca="1" ref="D20" ca="1">IF(A20&lt;=0,"", SUMPRODUCT( INDEX(model!$B:$B,5):INDEX(model!$B:$B,4+A20), INDEX( INDEX(model!$C:$C,6):INDEX(model!$C:$C,5+A20), A20-(ROW(INDEX(model!$B:$B,5):INDEX(model!$B:$B,4+A20))-ROW(INDEX(model!$B:$B,5))) ) ) + IF(A20&lt;model!$E$2, SUMPRODUCT( ( INDEX(model!$B:$B,6+A20):INDEX(model!$B:$B,5+model!$E$2) - INDEX(model!$B:$B,6):INDEX(model!$B:$B,5+model!$E$2-A20) ), INDEX(model!$C:$C,6):INDEX(model!$C:$C,5+model!$E$2-A20) ), 0) )</f>
        <v>0</v>
      </c>
      <c r="E20" s="2">
        <f ca="1">B20-D20</f>
        <v>5.8966395112016845E-2</v>
      </c>
      <c r="F20" s="27">
        <f ca="1">E20^2</f>
        <v>3.4770357525064841E-3</v>
      </c>
    </row>
    <row r="21" spans="1:6" x14ac:dyDescent="0.3">
      <c r="A21" s="28">
        <f>C_lags!A21</f>
        <v>20</v>
      </c>
      <c r="B21" s="3">
        <f ca="1">(SUMPRODUCT(OFFSET(data_prep!$E$2,A21,0,$H$2-A21,1),OFFSET(data_prep!$D$2,0,0,$H$2-A21,1))-SUMPRODUCT(OFFSET(data_prep!$E$2,0,0,$H$2-A21,1),OFFSET(data_prep!$D$2,0,0,$H$2-A21,1)))/COUNT(OFFSET(data_prep!$D$2,0,0,$H$2-A21,1))</f>
        <v>5.9471967380224942E-2</v>
      </c>
      <c r="C21" s="3">
        <f>C_lags!C21</f>
        <v>981</v>
      </c>
      <c r="D21" s="3" cm="1">
        <f t="array" aca="1" ref="D21" ca="1">IF(A21&lt;=0,"", SUMPRODUCT( INDEX(model!$B:$B,5):INDEX(model!$B:$B,4+A21), INDEX( INDEX(model!$C:$C,6):INDEX(model!$C:$C,5+A21), A21-(ROW(INDEX(model!$B:$B,5):INDEX(model!$B:$B,4+A21))-ROW(INDEX(model!$B:$B,5))) ) ) + IF(A21&lt;model!$E$2, SUMPRODUCT( ( INDEX(model!$B:$B,6+A21):INDEX(model!$B:$B,5+model!$E$2) - INDEX(model!$B:$B,6):INDEX(model!$B:$B,5+model!$E$2-A21) ), INDEX(model!$C:$C,6):INDEX(model!$C:$C,5+model!$E$2-A21) ), 0) )</f>
        <v>0</v>
      </c>
      <c r="E21" s="3">
        <f ca="1">B21-D21</f>
        <v>5.9471967380224942E-2</v>
      </c>
      <c r="F21" s="29">
        <f ca="1">E21^2</f>
        <v>3.5369149040745396E-3</v>
      </c>
    </row>
    <row r="22" spans="1:6" x14ac:dyDescent="0.3">
      <c r="A22" s="26">
        <f>C_lags!A22</f>
        <v>21</v>
      </c>
      <c r="B22" s="2">
        <f ca="1">(SUMPRODUCT(OFFSET(data_prep!$E$2,A22,0,$H$2-A22,1),OFFSET(data_prep!$D$2,0,0,$H$2-A22,1))-SUMPRODUCT(OFFSET(data_prep!$E$2,0,0,$H$2-A22,1),OFFSET(data_prep!$D$2,0,0,$H$2-A22,1)))/COUNT(OFFSET(data_prep!$D$2,0,0,$H$2-A22,1))</f>
        <v>5.8489795918367456E-2</v>
      </c>
      <c r="C22" s="2">
        <f>C_lags!C22</f>
        <v>980</v>
      </c>
      <c r="D22" s="2" cm="1">
        <f t="array" aca="1" ref="D22" ca="1">IF(A22&lt;=0,"", SUMPRODUCT( INDEX(model!$B:$B,5):INDEX(model!$B:$B,4+A22), INDEX( INDEX(model!$C:$C,6):INDEX(model!$C:$C,5+A22), A22-(ROW(INDEX(model!$B:$B,5):INDEX(model!$B:$B,4+A22))-ROW(INDEX(model!$B:$B,5))) ) ) + IF(A22&lt;model!$E$2, SUMPRODUCT( ( INDEX(model!$B:$B,6+A22):INDEX(model!$B:$B,5+model!$E$2) - INDEX(model!$B:$B,6):INDEX(model!$B:$B,5+model!$E$2-A22) ), INDEX(model!$C:$C,6):INDEX(model!$C:$C,5+model!$E$2-A22) ), 0) )</f>
        <v>0</v>
      </c>
      <c r="E22" s="2">
        <f ca="1">B22-D22</f>
        <v>5.8489795918367456E-2</v>
      </c>
      <c r="F22" s="27">
        <f ca="1">E22^2</f>
        <v>3.4210562265722744E-3</v>
      </c>
    </row>
    <row r="23" spans="1:6" x14ac:dyDescent="0.3">
      <c r="A23" s="28">
        <f>C_lags!A23</f>
        <v>22</v>
      </c>
      <c r="B23" s="3">
        <f ca="1">(SUMPRODUCT(OFFSET(data_prep!$E$2,A23,0,$H$2-A23,1),OFFSET(data_prep!$D$2,0,0,$H$2-A23,1))-SUMPRODUCT(OFFSET(data_prep!$E$2,0,0,$H$2-A23,1),OFFSET(data_prep!$D$2,0,0,$H$2-A23,1)))/COUNT(OFFSET(data_prep!$D$2,0,0,$H$2-A23,1))</f>
        <v>5.7448416751788488E-2</v>
      </c>
      <c r="C23" s="3">
        <f>C_lags!C23</f>
        <v>979</v>
      </c>
      <c r="D23" s="3" cm="1">
        <f t="array" aca="1" ref="D23" ca="1">IF(A23&lt;=0,"", SUMPRODUCT( INDEX(model!$B:$B,5):INDEX(model!$B:$B,4+A23), INDEX( INDEX(model!$C:$C,6):INDEX(model!$C:$C,5+A23), A23-(ROW(INDEX(model!$B:$B,5):INDEX(model!$B:$B,4+A23))-ROW(INDEX(model!$B:$B,5))) ) ) + IF(A23&lt;model!$E$2, SUMPRODUCT( ( INDEX(model!$B:$B,6+A23):INDEX(model!$B:$B,5+model!$E$2) - INDEX(model!$B:$B,6):INDEX(model!$B:$B,5+model!$E$2-A23) ), INDEX(model!$C:$C,6):INDEX(model!$C:$C,5+model!$E$2-A23) ), 0) )</f>
        <v>0</v>
      </c>
      <c r="E23" s="3">
        <f ca="1">B23-D23</f>
        <v>5.7448416751788488E-2</v>
      </c>
      <c r="F23" s="29">
        <f ca="1">E23^2</f>
        <v>3.3003205872871723E-3</v>
      </c>
    </row>
    <row r="24" spans="1:6" x14ac:dyDescent="0.3">
      <c r="A24" s="26">
        <f>C_lags!A24</f>
        <v>23</v>
      </c>
      <c r="B24" s="2">
        <f ca="1">(SUMPRODUCT(OFFSET(data_prep!$E$2,A24,0,$H$2-A24,1),OFFSET(data_prep!$D$2,0,0,$H$2-A24,1))-SUMPRODUCT(OFFSET(data_prep!$E$2,0,0,$H$2-A24,1),OFFSET(data_prep!$D$2,0,0,$H$2-A24,1)))/COUNT(OFFSET(data_prep!$D$2,0,0,$H$2-A24,1))</f>
        <v>6.0724948875257492E-2</v>
      </c>
      <c r="C24" s="2">
        <f>C_lags!C24</f>
        <v>978</v>
      </c>
      <c r="D24" s="2" cm="1">
        <f t="array" aca="1" ref="D24" ca="1">IF(A24&lt;=0,"", SUMPRODUCT( INDEX(model!$B:$B,5):INDEX(model!$B:$B,4+A24), INDEX( INDEX(model!$C:$C,6):INDEX(model!$C:$C,5+A24), A24-(ROW(INDEX(model!$B:$B,5):INDEX(model!$B:$B,4+A24))-ROW(INDEX(model!$B:$B,5))) ) ) + IF(A24&lt;model!$E$2, SUMPRODUCT( ( INDEX(model!$B:$B,6+A24):INDEX(model!$B:$B,5+model!$E$2) - INDEX(model!$B:$B,6):INDEX(model!$B:$B,5+model!$E$2-A24) ), INDEX(model!$C:$C,6):INDEX(model!$C:$C,5+model!$E$2-A24) ), 0) )</f>
        <v>0</v>
      </c>
      <c r="E24" s="2">
        <f ca="1">B24-D24</f>
        <v>6.0724948875257492E-2</v>
      </c>
      <c r="F24" s="27">
        <f ca="1">E24^2</f>
        <v>3.6875194159026363E-3</v>
      </c>
    </row>
    <row r="25" spans="1:6" x14ac:dyDescent="0.3">
      <c r="A25" s="28">
        <f>C_lags!A25</f>
        <v>24</v>
      </c>
      <c r="B25" s="3">
        <f ca="1">(SUMPRODUCT(OFFSET(data_prep!$E$2,A25,0,$H$2-A25,1),OFFSET(data_prep!$D$2,0,0,$H$2-A25,1))-SUMPRODUCT(OFFSET(data_prep!$E$2,0,0,$H$2-A25,1),OFFSET(data_prep!$D$2,0,0,$H$2-A25,1)))/COUNT(OFFSET(data_prep!$D$2,0,0,$H$2-A25,1))</f>
        <v>6.258648925281636E-2</v>
      </c>
      <c r="C25" s="3">
        <f>C_lags!C25</f>
        <v>977</v>
      </c>
      <c r="D25" s="3" cm="1">
        <f t="array" aca="1" ref="D25" ca="1">IF(A25&lt;=0,"", SUMPRODUCT( INDEX(model!$B:$B,5):INDEX(model!$B:$B,4+A25), INDEX( INDEX(model!$C:$C,6):INDEX(model!$C:$C,5+A25), A25-(ROW(INDEX(model!$B:$B,5):INDEX(model!$B:$B,4+A25))-ROW(INDEX(model!$B:$B,5))) ) ) + IF(A25&lt;model!$E$2, SUMPRODUCT( ( INDEX(model!$B:$B,6+A25):INDEX(model!$B:$B,5+model!$E$2) - INDEX(model!$B:$B,6):INDEX(model!$B:$B,5+model!$E$2-A25) ), INDEX(model!$C:$C,6):INDEX(model!$C:$C,5+model!$E$2-A25) ), 0) )</f>
        <v>0</v>
      </c>
      <c r="E25" s="3">
        <f ca="1">B25-D25</f>
        <v>6.258648925281636E-2</v>
      </c>
      <c r="F25" s="29">
        <f ca="1">E25^2</f>
        <v>3.9170686369928978E-3</v>
      </c>
    </row>
    <row r="26" spans="1:6" x14ac:dyDescent="0.3">
      <c r="A26" s="26">
        <f>C_lags!A26</f>
        <v>25</v>
      </c>
      <c r="B26" s="2">
        <f ca="1">(SUMPRODUCT(OFFSET(data_prep!$E$2,A26,0,$H$2-A26,1),OFFSET(data_prep!$D$2,0,0,$H$2-A26,1))-SUMPRODUCT(OFFSET(data_prep!$E$2,0,0,$H$2-A26,1),OFFSET(data_prep!$D$2,0,0,$H$2-A26,1)))/COUNT(OFFSET(data_prep!$D$2,0,0,$H$2-A26,1))</f>
        <v>5.9348360655738092E-2</v>
      </c>
      <c r="C26" s="2">
        <f>C_lags!C26</f>
        <v>976</v>
      </c>
      <c r="D26" s="2" cm="1">
        <f t="array" aca="1" ref="D26" ca="1">IF(A26&lt;=0,"", SUMPRODUCT( INDEX(model!$B:$B,5):INDEX(model!$B:$B,4+A26), INDEX( INDEX(model!$C:$C,6):INDEX(model!$C:$C,5+A26), A26-(ROW(INDEX(model!$B:$B,5):INDEX(model!$B:$B,4+A26))-ROW(INDEX(model!$B:$B,5))) ) ) + IF(A26&lt;model!$E$2, SUMPRODUCT( ( INDEX(model!$B:$B,6+A26):INDEX(model!$B:$B,5+model!$E$2) - INDEX(model!$B:$B,6):INDEX(model!$B:$B,5+model!$E$2-A26) ), INDEX(model!$C:$C,6):INDEX(model!$C:$C,5+model!$E$2-A26) ), 0) )</f>
        <v>0</v>
      </c>
      <c r="E26" s="2">
        <f ca="1">B26-D26</f>
        <v>5.9348360655738092E-2</v>
      </c>
      <c r="F26" s="27">
        <f ca="1">E26^2</f>
        <v>3.5222279125235612E-3</v>
      </c>
    </row>
    <row r="27" spans="1:6" x14ac:dyDescent="0.3">
      <c r="A27" s="28">
        <f>C_lags!A27</f>
        <v>26</v>
      </c>
      <c r="B27" s="3">
        <f ca="1">(SUMPRODUCT(OFFSET(data_prep!$E$2,A27,0,$H$2-A27,1),OFFSET(data_prep!$D$2,0,0,$H$2-A27,1))-SUMPRODUCT(OFFSET(data_prep!$E$2,0,0,$H$2-A27,1),OFFSET(data_prep!$D$2,0,0,$H$2-A27,1)))/COUNT(OFFSET(data_prep!$D$2,0,0,$H$2-A27,1))</f>
        <v>5.6013333333333797E-2</v>
      </c>
      <c r="C27" s="3">
        <f>C_lags!C27</f>
        <v>975</v>
      </c>
      <c r="D27" s="3" cm="1">
        <f t="array" aca="1" ref="D27" ca="1">IF(A27&lt;=0,"", SUMPRODUCT( INDEX(model!$B:$B,5):INDEX(model!$B:$B,4+A27), INDEX( INDEX(model!$C:$C,6):INDEX(model!$C:$C,5+A27), A27-(ROW(INDEX(model!$B:$B,5):INDEX(model!$B:$B,4+A27))-ROW(INDEX(model!$B:$B,5))) ) ) + IF(A27&lt;model!$E$2, SUMPRODUCT( ( INDEX(model!$B:$B,6+A27):INDEX(model!$B:$B,5+model!$E$2) - INDEX(model!$B:$B,6):INDEX(model!$B:$B,5+model!$E$2-A27) ), INDEX(model!$C:$C,6):INDEX(model!$C:$C,5+model!$E$2-A27) ), 0) )</f>
        <v>0</v>
      </c>
      <c r="E27" s="3">
        <f ca="1">B27-D27</f>
        <v>5.6013333333333797E-2</v>
      </c>
      <c r="F27" s="29">
        <f ca="1">E27^2</f>
        <v>3.1374935111111628E-3</v>
      </c>
    </row>
    <row r="28" spans="1:6" x14ac:dyDescent="0.3">
      <c r="A28" s="26">
        <f>C_lags!A28</f>
        <v>27</v>
      </c>
      <c r="B28" s="2">
        <f ca="1">(SUMPRODUCT(OFFSET(data_prep!$E$2,A28,0,$H$2-A28,1),OFFSET(data_prep!$D$2,0,0,$H$2-A28,1))-SUMPRODUCT(OFFSET(data_prep!$E$2,0,0,$H$2-A28,1),OFFSET(data_prep!$D$2,0,0,$H$2-A28,1)))/COUNT(OFFSET(data_prep!$D$2,0,0,$H$2-A28,1))</f>
        <v>5.8706365503081108E-2</v>
      </c>
      <c r="C28" s="2">
        <f>C_lags!C28</f>
        <v>974</v>
      </c>
      <c r="D28" s="2" cm="1">
        <f t="array" aca="1" ref="D28" ca="1">IF(A28&lt;=0,"", SUMPRODUCT( INDEX(model!$B:$B,5):INDEX(model!$B:$B,4+A28), INDEX( INDEX(model!$C:$C,6):INDEX(model!$C:$C,5+A28), A28-(ROW(INDEX(model!$B:$B,5):INDEX(model!$B:$B,4+A28))-ROW(INDEX(model!$B:$B,5))) ) ) + IF(A28&lt;model!$E$2, SUMPRODUCT( ( INDEX(model!$B:$B,6+A28):INDEX(model!$B:$B,5+model!$E$2) - INDEX(model!$B:$B,6):INDEX(model!$B:$B,5+model!$E$2-A28) ), INDEX(model!$C:$C,6):INDEX(model!$C:$C,5+model!$E$2-A28) ), 0) )</f>
        <v>0</v>
      </c>
      <c r="E28" s="2">
        <f ca="1">B28-D28</f>
        <v>5.8706365503081108E-2</v>
      </c>
      <c r="F28" s="27">
        <f ca="1">E28^2</f>
        <v>3.4464373505813514E-3</v>
      </c>
    </row>
    <row r="29" spans="1:6" x14ac:dyDescent="0.3">
      <c r="A29" s="28">
        <f>C_lags!A29</f>
        <v>28</v>
      </c>
      <c r="B29" s="3">
        <f ca="1">(SUMPRODUCT(OFFSET(data_prep!$E$2,A29,0,$H$2-A29,1),OFFSET(data_prep!$D$2,0,0,$H$2-A29,1))-SUMPRODUCT(OFFSET(data_prep!$E$2,0,0,$H$2-A29,1),OFFSET(data_prep!$D$2,0,0,$H$2-A29,1)))/COUNT(OFFSET(data_prep!$D$2,0,0,$H$2-A29,1))</f>
        <v>6.212024665981427E-2</v>
      </c>
      <c r="C29" s="3">
        <f>C_lags!C29</f>
        <v>973</v>
      </c>
      <c r="D29" s="3" cm="1">
        <f t="array" aca="1" ref="D29" ca="1">IF(A29&lt;=0,"", SUMPRODUCT( INDEX(model!$B:$B,5):INDEX(model!$B:$B,4+A29), INDEX( INDEX(model!$C:$C,6):INDEX(model!$C:$C,5+A29), A29-(ROW(INDEX(model!$B:$B,5):INDEX(model!$B:$B,4+A29))-ROW(INDEX(model!$B:$B,5))) ) ) + IF(A29&lt;model!$E$2, SUMPRODUCT( ( INDEX(model!$B:$B,6+A29):INDEX(model!$B:$B,5+model!$E$2) - INDEX(model!$B:$B,6):INDEX(model!$B:$B,5+model!$E$2-A29) ), INDEX(model!$C:$C,6):INDEX(model!$C:$C,5+model!$E$2-A29) ), 0) )</f>
        <v>0</v>
      </c>
      <c r="E29" s="3">
        <f ca="1">B29-D29</f>
        <v>6.212024665981427E-2</v>
      </c>
      <c r="F29" s="29">
        <f ca="1">E29^2</f>
        <v>3.8589250450761659E-3</v>
      </c>
    </row>
    <row r="30" spans="1:6" x14ac:dyDescent="0.3">
      <c r="A30" s="26">
        <f>C_lags!A30</f>
        <v>29</v>
      </c>
      <c r="B30" s="2">
        <f ca="1">(SUMPRODUCT(OFFSET(data_prep!$E$2,A30,0,$H$2-A30,1),OFFSET(data_prep!$D$2,0,0,$H$2-A30,1))-SUMPRODUCT(OFFSET(data_prep!$E$2,0,0,$H$2-A30,1),OFFSET(data_prep!$D$2,0,0,$H$2-A30,1)))/COUNT(OFFSET(data_prep!$D$2,0,0,$H$2-A30,1))</f>
        <v>6.3854938271606168E-2</v>
      </c>
      <c r="C30" s="2">
        <f>C_lags!C30</f>
        <v>972</v>
      </c>
      <c r="D30" s="2" cm="1">
        <f t="array" aca="1" ref="D30" ca="1">IF(A30&lt;=0,"", SUMPRODUCT( INDEX(model!$B:$B,5):INDEX(model!$B:$B,4+A30), INDEX( INDEX(model!$C:$C,6):INDEX(model!$C:$C,5+A30), A30-(ROW(INDEX(model!$B:$B,5):INDEX(model!$B:$B,4+A30))-ROW(INDEX(model!$B:$B,5))) ) ) + IF(A30&lt;model!$E$2, SUMPRODUCT( ( INDEX(model!$B:$B,6+A30):INDEX(model!$B:$B,5+model!$E$2) - INDEX(model!$B:$B,6):INDEX(model!$B:$B,5+model!$E$2-A30) ), INDEX(model!$C:$C,6):INDEX(model!$C:$C,5+model!$E$2-A30) ), 0) )</f>
        <v>0</v>
      </c>
      <c r="E30" s="2">
        <f ca="1">B30-D30</f>
        <v>6.3854938271606168E-2</v>
      </c>
      <c r="F30" s="27">
        <f ca="1">E30^2</f>
        <v>4.0774531416706344E-3</v>
      </c>
    </row>
    <row r="31" spans="1:6" x14ac:dyDescent="0.3">
      <c r="A31" s="28">
        <f>C_lags!A31</f>
        <v>30</v>
      </c>
      <c r="B31" s="3">
        <f ca="1">(SUMPRODUCT(OFFSET(data_prep!$E$2,A31,0,$H$2-A31,1),OFFSET(data_prep!$D$2,0,0,$H$2-A31,1))-SUMPRODUCT(OFFSET(data_prep!$E$2,0,0,$H$2-A31,1),OFFSET(data_prep!$D$2,0,0,$H$2-A31,1)))/COUNT(OFFSET(data_prep!$D$2,0,0,$H$2-A31,1))</f>
        <v>5.8940267765191678E-2</v>
      </c>
      <c r="C31" s="3">
        <f>C_lags!C31</f>
        <v>971</v>
      </c>
      <c r="D31" s="3" cm="1">
        <f t="array" aca="1" ref="D31" ca="1">IF(A31&lt;=0,"", SUMPRODUCT( INDEX(model!$B:$B,5):INDEX(model!$B:$B,4+A31), INDEX( INDEX(model!$C:$C,6):INDEX(model!$C:$C,5+A31), A31-(ROW(INDEX(model!$B:$B,5):INDEX(model!$B:$B,4+A31))-ROW(INDEX(model!$B:$B,5))) ) ) + IF(A31&lt;model!$E$2, SUMPRODUCT( ( INDEX(model!$B:$B,6+A31):INDEX(model!$B:$B,5+model!$E$2) - INDEX(model!$B:$B,6):INDEX(model!$B:$B,5+model!$E$2-A31) ), INDEX(model!$C:$C,6):INDEX(model!$C:$C,5+model!$E$2-A31) ), 0) )</f>
        <v>0</v>
      </c>
      <c r="E31" s="3">
        <f ca="1">B31-D31</f>
        <v>5.8940267765191678E-2</v>
      </c>
      <c r="F31" s="29">
        <f ca="1">E31^2</f>
        <v>3.4739551642324934E-3</v>
      </c>
    </row>
    <row r="32" spans="1:6" x14ac:dyDescent="0.3">
      <c r="A32" s="26">
        <f>C_lags!A32</f>
        <v>31</v>
      </c>
      <c r="B32" s="2">
        <f ca="1">(SUMPRODUCT(OFFSET(data_prep!$E$2,A32,0,$H$2-A32,1),OFFSET(data_prep!$D$2,0,0,$H$2-A32,1))-SUMPRODUCT(OFFSET(data_prep!$E$2,0,0,$H$2-A32,1),OFFSET(data_prep!$D$2,0,0,$H$2-A32,1)))/COUNT(OFFSET(data_prep!$D$2,0,0,$H$2-A32,1))</f>
        <v>5.8679381443300413E-2</v>
      </c>
      <c r="C32" s="2">
        <f>C_lags!C32</f>
        <v>970</v>
      </c>
      <c r="D32" s="2" cm="1">
        <f t="array" aca="1" ref="D32" ca="1">IF(A32&lt;=0,"", SUMPRODUCT( INDEX(model!$B:$B,5):INDEX(model!$B:$B,4+A32), INDEX( INDEX(model!$C:$C,6):INDEX(model!$C:$C,5+A32), A32-(ROW(INDEX(model!$B:$B,5):INDEX(model!$B:$B,4+A32))-ROW(INDEX(model!$B:$B,5))) ) ) + IF(A32&lt;model!$E$2, SUMPRODUCT( ( INDEX(model!$B:$B,6+A32):INDEX(model!$B:$B,5+model!$E$2) - INDEX(model!$B:$B,6):INDEX(model!$B:$B,5+model!$E$2-A32) ), INDEX(model!$C:$C,6):INDEX(model!$C:$C,5+model!$E$2-A32) ), 0) )</f>
        <v>0</v>
      </c>
      <c r="E32" s="2">
        <f ca="1">B32-D32</f>
        <v>5.8679381443300413E-2</v>
      </c>
      <c r="F32" s="27">
        <f ca="1">E32^2</f>
        <v>3.4432698065683487E-3</v>
      </c>
    </row>
    <row r="33" spans="1:6" x14ac:dyDescent="0.3">
      <c r="A33" s="28">
        <f>C_lags!A33</f>
        <v>32</v>
      </c>
      <c r="B33" s="3">
        <f ca="1">(SUMPRODUCT(OFFSET(data_prep!$E$2,A33,0,$H$2-A33,1),OFFSET(data_prep!$D$2,0,0,$H$2-A33,1))-SUMPRODUCT(OFFSET(data_prep!$E$2,0,0,$H$2-A33,1),OFFSET(data_prep!$D$2,0,0,$H$2-A33,1)))/COUNT(OFFSET(data_prep!$D$2,0,0,$H$2-A33,1))</f>
        <v>6.0629514963881449E-2</v>
      </c>
      <c r="C33" s="3">
        <f>C_lags!C33</f>
        <v>969</v>
      </c>
      <c r="D33" s="3" cm="1">
        <f t="array" aca="1" ref="D33" ca="1">IF(A33&lt;=0,"", SUMPRODUCT( INDEX(model!$B:$B,5):INDEX(model!$B:$B,4+A33), INDEX( INDEX(model!$C:$C,6):INDEX(model!$C:$C,5+A33), A33-(ROW(INDEX(model!$B:$B,5):INDEX(model!$B:$B,4+A33))-ROW(INDEX(model!$B:$B,5))) ) ) + IF(A33&lt;model!$E$2, SUMPRODUCT( ( INDEX(model!$B:$B,6+A33):INDEX(model!$B:$B,5+model!$E$2) - INDEX(model!$B:$B,6):INDEX(model!$B:$B,5+model!$E$2-A33) ), INDEX(model!$C:$C,6):INDEX(model!$C:$C,5+model!$E$2-A33) ), 0) )</f>
        <v>0</v>
      </c>
      <c r="E33" s="3">
        <f ca="1">B33-D33</f>
        <v>6.0629514963881449E-2</v>
      </c>
      <c r="F33" s="29">
        <f ca="1">E33^2</f>
        <v>3.6759380847555248E-3</v>
      </c>
    </row>
    <row r="34" spans="1:6" x14ac:dyDescent="0.3">
      <c r="A34" s="26">
        <f>C_lags!A34</f>
        <v>33</v>
      </c>
      <c r="B34" s="2">
        <f ca="1">(SUMPRODUCT(OFFSET(data_prep!$E$2,A34,0,$H$2-A34,1),OFFSET(data_prep!$D$2,0,0,$H$2-A34,1))-SUMPRODUCT(OFFSET(data_prep!$E$2,0,0,$H$2-A34,1),OFFSET(data_prep!$D$2,0,0,$H$2-A34,1)))/COUNT(OFFSET(data_prep!$D$2,0,0,$H$2-A34,1))</f>
        <v>5.9162190082643576E-2</v>
      </c>
      <c r="C34" s="2">
        <f>C_lags!C34</f>
        <v>968</v>
      </c>
      <c r="D34" s="2" cm="1">
        <f t="array" aca="1" ref="D34" ca="1">IF(A34&lt;=0,"", SUMPRODUCT( INDEX(model!$B:$B,5):INDEX(model!$B:$B,4+A34), INDEX( INDEX(model!$C:$C,6):INDEX(model!$C:$C,5+A34), A34-(ROW(INDEX(model!$B:$B,5):INDEX(model!$B:$B,4+A34))-ROW(INDEX(model!$B:$B,5))) ) ) + IF(A34&lt;model!$E$2, SUMPRODUCT( ( INDEX(model!$B:$B,6+A34):INDEX(model!$B:$B,5+model!$E$2) - INDEX(model!$B:$B,6):INDEX(model!$B:$B,5+model!$E$2-A34) ), INDEX(model!$C:$C,6):INDEX(model!$C:$C,5+model!$E$2-A34) ), 0) )</f>
        <v>0</v>
      </c>
      <c r="E34" s="2">
        <f ca="1">B34-D34</f>
        <v>5.9162190082643576E-2</v>
      </c>
      <c r="F34" s="27">
        <f ca="1">E34^2</f>
        <v>3.50016473537485E-3</v>
      </c>
    </row>
    <row r="35" spans="1:6" x14ac:dyDescent="0.3">
      <c r="A35" s="28">
        <f>C_lags!A35</f>
        <v>34</v>
      </c>
      <c r="B35" s="3">
        <f ca="1">(SUMPRODUCT(OFFSET(data_prep!$E$2,A35,0,$H$2-A35,1),OFFSET(data_prep!$D$2,0,0,$H$2-A35,1))-SUMPRODUCT(OFFSET(data_prep!$E$2,0,0,$H$2-A35,1),OFFSET(data_prep!$D$2,0,0,$H$2-A35,1)))/COUNT(OFFSET(data_prep!$D$2,0,0,$H$2-A35,1))</f>
        <v>5.6311271975181681E-2</v>
      </c>
      <c r="C35" s="3">
        <f>C_lags!C35</f>
        <v>967</v>
      </c>
      <c r="D35" s="3" cm="1">
        <f t="array" aca="1" ref="D35" ca="1">IF(A35&lt;=0,"", SUMPRODUCT( INDEX(model!$B:$B,5):INDEX(model!$B:$B,4+A35), INDEX( INDEX(model!$C:$C,6):INDEX(model!$C:$C,5+A35), A35-(ROW(INDEX(model!$B:$B,5):INDEX(model!$B:$B,4+A35))-ROW(INDEX(model!$B:$B,5))) ) ) + IF(A35&lt;model!$E$2, SUMPRODUCT( ( INDEX(model!$B:$B,6+A35):INDEX(model!$B:$B,5+model!$E$2) - INDEX(model!$B:$B,6):INDEX(model!$B:$B,5+model!$E$2-A35) ), INDEX(model!$C:$C,6):INDEX(model!$C:$C,5+model!$E$2-A35) ), 0) )</f>
        <v>0</v>
      </c>
      <c r="E35" s="3">
        <f ca="1">B35-D35</f>
        <v>5.6311271975181681E-2</v>
      </c>
      <c r="F35" s="29">
        <f ca="1">E35^2</f>
        <v>3.1709593514628819E-3</v>
      </c>
    </row>
    <row r="36" spans="1:6" x14ac:dyDescent="0.3">
      <c r="A36" s="26">
        <f>C_lags!A36</f>
        <v>35</v>
      </c>
      <c r="B36" s="2">
        <f ca="1">(SUMPRODUCT(OFFSET(data_prep!$E$2,A36,0,$H$2-A36,1),OFFSET(data_prep!$D$2,0,0,$H$2-A36,1))-SUMPRODUCT(OFFSET(data_prep!$E$2,0,0,$H$2-A36,1),OFFSET(data_prep!$D$2,0,0,$H$2-A36,1)))/COUNT(OFFSET(data_prep!$D$2,0,0,$H$2-A36,1))</f>
        <v>5.3718426501034901E-2</v>
      </c>
      <c r="C36" s="2">
        <f>C_lags!C36</f>
        <v>966</v>
      </c>
      <c r="D36" s="2" cm="1">
        <f t="array" aca="1" ref="D36" ca="1">IF(A36&lt;=0,"", SUMPRODUCT( INDEX(model!$B:$B,5):INDEX(model!$B:$B,4+A36), INDEX( INDEX(model!$C:$C,6):INDEX(model!$C:$C,5+A36), A36-(ROW(INDEX(model!$B:$B,5):INDEX(model!$B:$B,4+A36))-ROW(INDEX(model!$B:$B,5))) ) ) + IF(A36&lt;model!$E$2, SUMPRODUCT( ( INDEX(model!$B:$B,6+A36):INDEX(model!$B:$B,5+model!$E$2) - INDEX(model!$B:$B,6):INDEX(model!$B:$B,5+model!$E$2-A36) ), INDEX(model!$C:$C,6):INDEX(model!$C:$C,5+model!$E$2-A36) ), 0) )</f>
        <v>0</v>
      </c>
      <c r="E36" s="2">
        <f ca="1">B36-D36</f>
        <v>5.3718426501034901E-2</v>
      </c>
      <c r="F36" s="27">
        <f ca="1">E36^2</f>
        <v>2.8856693457470889E-3</v>
      </c>
    </row>
    <row r="37" spans="1:6" x14ac:dyDescent="0.3">
      <c r="A37" s="28">
        <f>C_lags!A37</f>
        <v>36</v>
      </c>
      <c r="B37" s="3">
        <f ca="1">(SUMPRODUCT(OFFSET(data_prep!$E$2,A37,0,$H$2-A37,1),OFFSET(data_prep!$D$2,0,0,$H$2-A37,1))-SUMPRODUCT(OFFSET(data_prep!$E$2,0,0,$H$2-A37,1),OFFSET(data_prep!$D$2,0,0,$H$2-A37,1)))/COUNT(OFFSET(data_prep!$D$2,0,0,$H$2-A37,1))</f>
        <v>5.4294300518135323E-2</v>
      </c>
      <c r="C37" s="3">
        <f>C_lags!C37</f>
        <v>965</v>
      </c>
      <c r="D37" s="3" cm="1">
        <f t="array" aca="1" ref="D37" ca="1">IF(A37&lt;=0,"", SUMPRODUCT( INDEX(model!$B:$B,5):INDEX(model!$B:$B,4+A37), INDEX( INDEX(model!$C:$C,6):INDEX(model!$C:$C,5+A37), A37-(ROW(INDEX(model!$B:$B,5):INDEX(model!$B:$B,4+A37))-ROW(INDEX(model!$B:$B,5))) ) ) + IF(A37&lt;model!$E$2, SUMPRODUCT( ( INDEX(model!$B:$B,6+A37):INDEX(model!$B:$B,5+model!$E$2) - INDEX(model!$B:$B,6):INDEX(model!$B:$B,5+model!$E$2-A37) ), INDEX(model!$C:$C,6):INDEX(model!$C:$C,5+model!$E$2-A37) ), 0) )</f>
        <v>0</v>
      </c>
      <c r="E37" s="3">
        <f ca="1">B37-D37</f>
        <v>5.4294300518135323E-2</v>
      </c>
      <c r="F37" s="29">
        <f ca="1">E37^2</f>
        <v>2.9478710687535895E-3</v>
      </c>
    </row>
    <row r="38" spans="1:6" x14ac:dyDescent="0.3">
      <c r="A38" s="26">
        <f>C_lags!A38</f>
        <v>37</v>
      </c>
      <c r="B38" s="2">
        <f ca="1">(SUMPRODUCT(OFFSET(data_prep!$E$2,A38,0,$H$2-A38,1),OFFSET(data_prep!$D$2,0,0,$H$2-A38,1))-SUMPRODUCT(OFFSET(data_prep!$E$2,0,0,$H$2-A38,1),OFFSET(data_prep!$D$2,0,0,$H$2-A38,1)))/COUNT(OFFSET(data_prep!$D$2,0,0,$H$2-A38,1))</f>
        <v>5.2521784232363762E-2</v>
      </c>
      <c r="C38" s="2">
        <f>C_lags!C38</f>
        <v>964</v>
      </c>
      <c r="D38" s="2" cm="1">
        <f t="array" aca="1" ref="D38" ca="1">IF(A38&lt;=0,"", SUMPRODUCT( INDEX(model!$B:$B,5):INDEX(model!$B:$B,4+A38), INDEX( INDEX(model!$C:$C,6):INDEX(model!$C:$C,5+A38), A38-(ROW(INDEX(model!$B:$B,5):INDEX(model!$B:$B,4+A38))-ROW(INDEX(model!$B:$B,5))) ) ) + IF(A38&lt;model!$E$2, SUMPRODUCT( ( INDEX(model!$B:$B,6+A38):INDEX(model!$B:$B,5+model!$E$2) - INDEX(model!$B:$B,6):INDEX(model!$B:$B,5+model!$E$2-A38) ), INDEX(model!$C:$C,6):INDEX(model!$C:$C,5+model!$E$2-A38) ), 0) )</f>
        <v>0</v>
      </c>
      <c r="E38" s="2">
        <f ca="1">B38-D38</f>
        <v>5.2521784232363762E-2</v>
      </c>
      <c r="F38" s="27">
        <f ca="1">E38^2</f>
        <v>2.7585378189509749E-3</v>
      </c>
    </row>
    <row r="39" spans="1:6" x14ac:dyDescent="0.3">
      <c r="A39" s="28">
        <f>C_lags!A39</f>
        <v>38</v>
      </c>
      <c r="B39" s="3">
        <f ca="1">(SUMPRODUCT(OFFSET(data_prep!$E$2,A39,0,$H$2-A39,1),OFFSET(data_prep!$D$2,0,0,$H$2-A39,1))-SUMPRODUCT(OFFSET(data_prep!$E$2,0,0,$H$2-A39,1),OFFSET(data_prep!$D$2,0,0,$H$2-A39,1)))/COUNT(OFFSET(data_prep!$D$2,0,0,$H$2-A39,1))</f>
        <v>5.0928348909657188E-2</v>
      </c>
      <c r="C39" s="3">
        <f>C_lags!C39</f>
        <v>963</v>
      </c>
      <c r="D39" s="3" cm="1">
        <f t="array" aca="1" ref="D39" ca="1">IF(A39&lt;=0,"", SUMPRODUCT( INDEX(model!$B:$B,5):INDEX(model!$B:$B,4+A39), INDEX( INDEX(model!$C:$C,6):INDEX(model!$C:$C,5+A39), A39-(ROW(INDEX(model!$B:$B,5):INDEX(model!$B:$B,4+A39))-ROW(INDEX(model!$B:$B,5))) ) ) + IF(A39&lt;model!$E$2, SUMPRODUCT( ( INDEX(model!$B:$B,6+A39):INDEX(model!$B:$B,5+model!$E$2) - INDEX(model!$B:$B,6):INDEX(model!$B:$B,5+model!$E$2-A39) ), INDEX(model!$C:$C,6):INDEX(model!$C:$C,5+model!$E$2-A39) ), 0) )</f>
        <v>0</v>
      </c>
      <c r="E39" s="3">
        <f ca="1">B39-D39</f>
        <v>5.0928348909657188E-2</v>
      </c>
      <c r="F39" s="29">
        <f ca="1">E39^2</f>
        <v>2.5936967226637803E-3</v>
      </c>
    </row>
    <row r="40" spans="1:6" x14ac:dyDescent="0.3">
      <c r="A40" s="26">
        <f>C_lags!A40</f>
        <v>39</v>
      </c>
      <c r="B40" s="2">
        <f ca="1">(SUMPRODUCT(OFFSET(data_prep!$E$2,A40,0,$H$2-A40,1),OFFSET(data_prep!$D$2,0,0,$H$2-A40,1))-SUMPRODUCT(OFFSET(data_prep!$E$2,0,0,$H$2-A40,1),OFFSET(data_prep!$D$2,0,0,$H$2-A40,1)))/COUNT(OFFSET(data_prep!$D$2,0,0,$H$2-A40,1))</f>
        <v>4.9303534303533202E-2</v>
      </c>
      <c r="C40" s="2">
        <f>C_lags!C40</f>
        <v>962</v>
      </c>
      <c r="D40" s="2" cm="1">
        <f t="array" aca="1" ref="D40" ca="1">IF(A40&lt;=0,"", SUMPRODUCT( INDEX(model!$B:$B,5):INDEX(model!$B:$B,4+A40), INDEX( INDEX(model!$C:$C,6):INDEX(model!$C:$C,5+A40), A40-(ROW(INDEX(model!$B:$B,5):INDEX(model!$B:$B,4+A40))-ROW(INDEX(model!$B:$B,5))) ) ) + IF(A40&lt;model!$E$2, SUMPRODUCT( ( INDEX(model!$B:$B,6+A40):INDEX(model!$B:$B,5+model!$E$2) - INDEX(model!$B:$B,6):INDEX(model!$B:$B,5+model!$E$2-A40) ), INDEX(model!$C:$C,6):INDEX(model!$C:$C,5+model!$E$2-A40) ), 0) )</f>
        <v>0</v>
      </c>
      <c r="E40" s="2">
        <f ca="1">B40-D40</f>
        <v>4.9303534303533202E-2</v>
      </c>
      <c r="F40" s="27">
        <f ca="1">E40^2</f>
        <v>2.4308384948196751E-3</v>
      </c>
    </row>
    <row r="41" spans="1:6" x14ac:dyDescent="0.3">
      <c r="A41" s="28">
        <f>C_lags!A41</f>
        <v>40</v>
      </c>
      <c r="B41" s="3">
        <f ca="1">(SUMPRODUCT(OFFSET(data_prep!$E$2,A41,0,$H$2-A41,1),OFFSET(data_prep!$D$2,0,0,$H$2-A41,1))-SUMPRODUCT(OFFSET(data_prep!$E$2,0,0,$H$2-A41,1),OFFSET(data_prep!$D$2,0,0,$H$2-A41,1)))/COUNT(OFFSET(data_prep!$D$2,0,0,$H$2-A41,1))</f>
        <v>4.6346514047867708E-2</v>
      </c>
      <c r="C41" s="3">
        <f>C_lags!C41</f>
        <v>961</v>
      </c>
      <c r="D41" s="3" cm="1">
        <f t="array" aca="1" ref="D41" ca="1">IF(A41&lt;=0,"", SUMPRODUCT( INDEX(model!$B:$B,5):INDEX(model!$B:$B,4+A41), INDEX( INDEX(model!$C:$C,6):INDEX(model!$C:$C,5+A41), A41-(ROW(INDEX(model!$B:$B,5):INDEX(model!$B:$B,4+A41))-ROW(INDEX(model!$B:$B,5))) ) ) + IF(A41&lt;model!$E$2, SUMPRODUCT( ( INDEX(model!$B:$B,6+A41):INDEX(model!$B:$B,5+model!$E$2) - INDEX(model!$B:$B,6):INDEX(model!$B:$B,5+model!$E$2-A41) ), INDEX(model!$C:$C,6):INDEX(model!$C:$C,5+model!$E$2-A41) ), 0) )</f>
        <v>0</v>
      </c>
      <c r="E41" s="3">
        <f ca="1">B41-D41</f>
        <v>4.6346514047867708E-2</v>
      </c>
      <c r="F41" s="29">
        <f ca="1">E41^2</f>
        <v>2.1479993643891988E-3</v>
      </c>
    </row>
    <row r="42" spans="1:6" x14ac:dyDescent="0.3">
      <c r="A42" s="26">
        <f>C_lags!A42</f>
        <v>41</v>
      </c>
      <c r="B42" s="2">
        <f ca="1">(SUMPRODUCT(OFFSET(data_prep!$E$2,A42,0,$H$2-A42,1),OFFSET(data_prep!$D$2,0,0,$H$2-A42,1))-SUMPRODUCT(OFFSET(data_prep!$E$2,0,0,$H$2-A42,1),OFFSET(data_prep!$D$2,0,0,$H$2-A42,1)))/COUNT(OFFSET(data_prep!$D$2,0,0,$H$2-A42,1))</f>
        <v>4.9258333333335035E-2</v>
      </c>
      <c r="C42" s="2">
        <f>C_lags!C42</f>
        <v>960</v>
      </c>
      <c r="D42" s="2" cm="1">
        <f t="array" aca="1" ref="D42" ca="1">IF(A42&lt;=0,"", SUMPRODUCT( INDEX(model!$B:$B,5):INDEX(model!$B:$B,4+A42), INDEX( INDEX(model!$C:$C,6):INDEX(model!$C:$C,5+A42), A42-(ROW(INDEX(model!$B:$B,5):INDEX(model!$B:$B,4+A42))-ROW(INDEX(model!$B:$B,5))) ) ) + IF(A42&lt;model!$E$2, SUMPRODUCT( ( INDEX(model!$B:$B,6+A42):INDEX(model!$B:$B,5+model!$E$2) - INDEX(model!$B:$B,6):INDEX(model!$B:$B,5+model!$E$2-A42) ), INDEX(model!$C:$C,6):INDEX(model!$C:$C,5+model!$E$2-A42) ), 0) )</f>
        <v>0</v>
      </c>
      <c r="E42" s="2">
        <f ca="1">B42-D42</f>
        <v>4.9258333333335035E-2</v>
      </c>
      <c r="F42" s="27">
        <f ca="1">E42^2</f>
        <v>2.4263834027779454E-3</v>
      </c>
    </row>
    <row r="43" spans="1:6" x14ac:dyDescent="0.3">
      <c r="A43" s="28">
        <f>C_lags!A43</f>
        <v>42</v>
      </c>
      <c r="B43" s="3">
        <f ca="1">(SUMPRODUCT(OFFSET(data_prep!$E$2,A43,0,$H$2-A43,1),OFFSET(data_prep!$D$2,0,0,$H$2-A43,1))-SUMPRODUCT(OFFSET(data_prep!$E$2,0,0,$H$2-A43,1),OFFSET(data_prep!$D$2,0,0,$H$2-A43,1)))/COUNT(OFFSET(data_prep!$D$2,0,0,$H$2-A43,1))</f>
        <v>5.0633993743483263E-2</v>
      </c>
      <c r="C43" s="3">
        <f>C_lags!C43</f>
        <v>959</v>
      </c>
      <c r="D43" s="3" cm="1">
        <f t="array" aca="1" ref="D43" ca="1">IF(A43&lt;=0,"", SUMPRODUCT( INDEX(model!$B:$B,5):INDEX(model!$B:$B,4+A43), INDEX( INDEX(model!$C:$C,6):INDEX(model!$C:$C,5+A43), A43-(ROW(INDEX(model!$B:$B,5):INDEX(model!$B:$B,4+A43))-ROW(INDEX(model!$B:$B,5))) ) ) + IF(A43&lt;model!$E$2, SUMPRODUCT( ( INDEX(model!$B:$B,6+A43):INDEX(model!$B:$B,5+model!$E$2) - INDEX(model!$B:$B,6):INDEX(model!$B:$B,5+model!$E$2-A43) ), INDEX(model!$C:$C,6):INDEX(model!$C:$C,5+model!$E$2-A43) ), 0) )</f>
        <v>0</v>
      </c>
      <c r="E43" s="3">
        <f ca="1">B43-D43</f>
        <v>5.0633993743483263E-2</v>
      </c>
      <c r="F43" s="29">
        <f ca="1">E43^2</f>
        <v>2.5638013224151021E-3</v>
      </c>
    </row>
    <row r="44" spans="1:6" x14ac:dyDescent="0.3">
      <c r="A44" s="26">
        <f>C_lags!A44</f>
        <v>43</v>
      </c>
      <c r="B44" s="2">
        <f ca="1">(SUMPRODUCT(OFFSET(data_prep!$E$2,A44,0,$H$2-A44,1),OFFSET(data_prep!$D$2,0,0,$H$2-A44,1))-SUMPRODUCT(OFFSET(data_prep!$E$2,0,0,$H$2-A44,1),OFFSET(data_prep!$D$2,0,0,$H$2-A44,1)))/COUNT(OFFSET(data_prep!$D$2,0,0,$H$2-A44,1))</f>
        <v>4.5824634655534296E-2</v>
      </c>
      <c r="C44" s="2">
        <f>C_lags!C44</f>
        <v>958</v>
      </c>
      <c r="D44" s="2" cm="1">
        <f t="array" aca="1" ref="D44" ca="1">IF(A44&lt;=0,"", SUMPRODUCT( INDEX(model!$B:$B,5):INDEX(model!$B:$B,4+A44), INDEX( INDEX(model!$C:$C,6):INDEX(model!$C:$C,5+A44), A44-(ROW(INDEX(model!$B:$B,5):INDEX(model!$B:$B,4+A44))-ROW(INDEX(model!$B:$B,5))) ) ) + IF(A44&lt;model!$E$2, SUMPRODUCT( ( INDEX(model!$B:$B,6+A44):INDEX(model!$B:$B,5+model!$E$2) - INDEX(model!$B:$B,6):INDEX(model!$B:$B,5+model!$E$2-A44) ), INDEX(model!$C:$C,6):INDEX(model!$C:$C,5+model!$E$2-A44) ), 0) )</f>
        <v>0</v>
      </c>
      <c r="E44" s="2">
        <f ca="1">B44-D44</f>
        <v>4.5824634655534296E-2</v>
      </c>
      <c r="F44" s="27">
        <f ca="1">E44^2</f>
        <v>2.099897141313195E-3</v>
      </c>
    </row>
    <row r="45" spans="1:6" x14ac:dyDescent="0.3">
      <c r="A45" s="28">
        <f>C_lags!A45</f>
        <v>44</v>
      </c>
      <c r="B45" s="3">
        <f ca="1">(SUMPRODUCT(OFFSET(data_prep!$E$2,A45,0,$H$2-A45,1),OFFSET(data_prep!$D$2,0,0,$H$2-A45,1))-SUMPRODUCT(OFFSET(data_prep!$E$2,0,0,$H$2-A45,1),OFFSET(data_prep!$D$2,0,0,$H$2-A45,1)))/COUNT(OFFSET(data_prep!$D$2,0,0,$H$2-A45,1))</f>
        <v>4.664994775339544E-2</v>
      </c>
      <c r="C45" s="3">
        <f>C_lags!C45</f>
        <v>957</v>
      </c>
      <c r="D45" s="3" cm="1">
        <f t="array" aca="1" ref="D45" ca="1">IF(A45&lt;=0,"", SUMPRODUCT( INDEX(model!$B:$B,5):INDEX(model!$B:$B,4+A45), INDEX( INDEX(model!$C:$C,6):INDEX(model!$C:$C,5+A45), A45-(ROW(INDEX(model!$B:$B,5):INDEX(model!$B:$B,4+A45))-ROW(INDEX(model!$B:$B,5))) ) ) + IF(A45&lt;model!$E$2, SUMPRODUCT( ( INDEX(model!$B:$B,6+A45):INDEX(model!$B:$B,5+model!$E$2) - INDEX(model!$B:$B,6):INDEX(model!$B:$B,5+model!$E$2-A45) ), INDEX(model!$C:$C,6):INDEX(model!$C:$C,5+model!$E$2-A45) ), 0) )</f>
        <v>0</v>
      </c>
      <c r="E45" s="3">
        <f ca="1">B45-D45</f>
        <v>4.664994775339544E-2</v>
      </c>
      <c r="F45" s="29">
        <f ca="1">E45^2</f>
        <v>2.1762176253945242E-3</v>
      </c>
    </row>
    <row r="46" spans="1:6" x14ac:dyDescent="0.3">
      <c r="A46" s="26">
        <f>C_lags!A46</f>
        <v>45</v>
      </c>
      <c r="B46" s="2">
        <f ca="1">(SUMPRODUCT(OFFSET(data_prep!$E$2,A46,0,$H$2-A46,1),OFFSET(data_prep!$D$2,0,0,$H$2-A46,1))-SUMPRODUCT(OFFSET(data_prep!$E$2,0,0,$H$2-A46,1),OFFSET(data_prep!$D$2,0,0,$H$2-A46,1)))/COUNT(OFFSET(data_prep!$D$2,0,0,$H$2-A46,1))</f>
        <v>4.7254184100419733E-2</v>
      </c>
      <c r="C46" s="2">
        <f>C_lags!C46</f>
        <v>956</v>
      </c>
      <c r="D46" s="2" cm="1">
        <f t="array" aca="1" ref="D46" ca="1">IF(A46&lt;=0,"", SUMPRODUCT( INDEX(model!$B:$B,5):INDEX(model!$B:$B,4+A46), INDEX( INDEX(model!$C:$C,6):INDEX(model!$C:$C,5+A46), A46-(ROW(INDEX(model!$B:$B,5):INDEX(model!$B:$B,4+A46))-ROW(INDEX(model!$B:$B,5))) ) ) + IF(A46&lt;model!$E$2, SUMPRODUCT( ( INDEX(model!$B:$B,6+A46):INDEX(model!$B:$B,5+model!$E$2) - INDEX(model!$B:$B,6):INDEX(model!$B:$B,5+model!$E$2-A46) ), INDEX(model!$C:$C,6):INDEX(model!$C:$C,5+model!$E$2-A46) ), 0) )</f>
        <v>0</v>
      </c>
      <c r="E46" s="2">
        <f ca="1">B46-D46</f>
        <v>4.7254184100419733E-2</v>
      </c>
      <c r="F46" s="27">
        <f ca="1">E46^2</f>
        <v>2.2329579149963611E-3</v>
      </c>
    </row>
    <row r="47" spans="1:6" x14ac:dyDescent="0.3">
      <c r="A47" s="28">
        <f>C_lags!A47</f>
        <v>46</v>
      </c>
      <c r="B47" s="3">
        <f ca="1">(SUMPRODUCT(OFFSET(data_prep!$E$2,A47,0,$H$2-A47,1),OFFSET(data_prep!$D$2,0,0,$H$2-A47,1))-SUMPRODUCT(OFFSET(data_prep!$E$2,0,0,$H$2-A47,1),OFFSET(data_prep!$D$2,0,0,$H$2-A47,1)))/COUNT(OFFSET(data_prep!$D$2,0,0,$H$2-A47,1))</f>
        <v>4.6816753926702266E-2</v>
      </c>
      <c r="C47" s="3">
        <f>C_lags!C47</f>
        <v>955</v>
      </c>
      <c r="D47" s="3" cm="1">
        <f t="array" aca="1" ref="D47" ca="1">IF(A47&lt;=0,"", SUMPRODUCT( INDEX(model!$B:$B,5):INDEX(model!$B:$B,4+A47), INDEX( INDEX(model!$C:$C,6):INDEX(model!$C:$C,5+A47), A47-(ROW(INDEX(model!$B:$B,5):INDEX(model!$B:$B,4+A47))-ROW(INDEX(model!$B:$B,5))) ) ) + IF(A47&lt;model!$E$2, SUMPRODUCT( ( INDEX(model!$B:$B,6+A47):INDEX(model!$B:$B,5+model!$E$2) - INDEX(model!$B:$B,6):INDEX(model!$B:$B,5+model!$E$2-A47) ), INDEX(model!$C:$C,6):INDEX(model!$C:$C,5+model!$E$2-A47) ), 0) )</f>
        <v>0</v>
      </c>
      <c r="E47" s="3">
        <f ca="1">B47-D47</f>
        <v>4.6816753926702266E-2</v>
      </c>
      <c r="F47" s="29">
        <f ca="1">E47^2</f>
        <v>2.1918084482333922E-3</v>
      </c>
    </row>
    <row r="48" spans="1:6" x14ac:dyDescent="0.3">
      <c r="A48" s="26">
        <f>C_lags!A48</f>
        <v>47</v>
      </c>
      <c r="B48" s="2">
        <f ca="1">(SUMPRODUCT(OFFSET(data_prep!$E$2,A48,0,$H$2-A48,1),OFFSET(data_prep!$D$2,0,0,$H$2-A48,1))-SUMPRODUCT(OFFSET(data_prep!$E$2,0,0,$H$2-A48,1),OFFSET(data_prep!$D$2,0,0,$H$2-A48,1)))/COUNT(OFFSET(data_prep!$D$2,0,0,$H$2-A48,1))</f>
        <v>4.8167714884697239E-2</v>
      </c>
      <c r="C48" s="2">
        <f>C_lags!C48</f>
        <v>954</v>
      </c>
      <c r="D48" s="2" cm="1">
        <f t="array" aca="1" ref="D48" ca="1">IF(A48&lt;=0,"", SUMPRODUCT( INDEX(model!$B:$B,5):INDEX(model!$B:$B,4+A48), INDEX( INDEX(model!$C:$C,6):INDEX(model!$C:$C,5+A48), A48-(ROW(INDEX(model!$B:$B,5):INDEX(model!$B:$B,4+A48))-ROW(INDEX(model!$B:$B,5))) ) ) + IF(A48&lt;model!$E$2, SUMPRODUCT( ( INDEX(model!$B:$B,6+A48):INDEX(model!$B:$B,5+model!$E$2) - INDEX(model!$B:$B,6):INDEX(model!$B:$B,5+model!$E$2-A48) ), INDEX(model!$C:$C,6):INDEX(model!$C:$C,5+model!$E$2-A48) ), 0) )</f>
        <v>0</v>
      </c>
      <c r="E48" s="2">
        <f ca="1">B48-D48</f>
        <v>4.8167714884697239E-2</v>
      </c>
      <c r="F48" s="27">
        <f ca="1">E48^2</f>
        <v>2.320128757213484E-3</v>
      </c>
    </row>
    <row r="49" spans="1:6" x14ac:dyDescent="0.3">
      <c r="A49" s="28">
        <f>C_lags!A49</f>
        <v>48</v>
      </c>
      <c r="B49" s="3">
        <f ca="1">(SUMPRODUCT(OFFSET(data_prep!$E$2,A49,0,$H$2-A49,1),OFFSET(data_prep!$D$2,0,0,$H$2-A49,1))-SUMPRODUCT(OFFSET(data_prep!$E$2,0,0,$H$2-A49,1),OFFSET(data_prep!$D$2,0,0,$H$2-A49,1)))/COUNT(OFFSET(data_prep!$D$2,0,0,$H$2-A49,1))</f>
        <v>4.5563483735571966E-2</v>
      </c>
      <c r="C49" s="3">
        <f>C_lags!C49</f>
        <v>953</v>
      </c>
      <c r="D49" s="3" cm="1">
        <f t="array" aca="1" ref="D49" ca="1">IF(A49&lt;=0,"", SUMPRODUCT( INDEX(model!$B:$B,5):INDEX(model!$B:$B,4+A49), INDEX( INDEX(model!$C:$C,6):INDEX(model!$C:$C,5+A49), A49-(ROW(INDEX(model!$B:$B,5):INDEX(model!$B:$B,4+A49))-ROW(INDEX(model!$B:$B,5))) ) ) + IF(A49&lt;model!$E$2, SUMPRODUCT( ( INDEX(model!$B:$B,6+A49):INDEX(model!$B:$B,5+model!$E$2) - INDEX(model!$B:$B,6):INDEX(model!$B:$B,5+model!$E$2-A49) ), INDEX(model!$C:$C,6):INDEX(model!$C:$C,5+model!$E$2-A49) ), 0) )</f>
        <v>0</v>
      </c>
      <c r="E49" s="3">
        <f ca="1">B49-D49</f>
        <v>4.5563483735571966E-2</v>
      </c>
      <c r="F49" s="29">
        <f ca="1">E49^2</f>
        <v>2.0760310501217313E-3</v>
      </c>
    </row>
    <row r="50" spans="1:6" x14ac:dyDescent="0.3">
      <c r="A50" s="26">
        <f>C_lags!A50</f>
        <v>49</v>
      </c>
      <c r="B50" s="2">
        <f ca="1">(SUMPRODUCT(OFFSET(data_prep!$E$2,A50,0,$H$2-A50,1),OFFSET(data_prep!$D$2,0,0,$H$2-A50,1))-SUMPRODUCT(OFFSET(data_prep!$E$2,0,0,$H$2-A50,1),OFFSET(data_prep!$D$2,0,0,$H$2-A50,1)))/COUNT(OFFSET(data_prep!$D$2,0,0,$H$2-A50,1))</f>
        <v>4.8723739495798696E-2</v>
      </c>
      <c r="C50" s="2">
        <f>C_lags!C50</f>
        <v>952</v>
      </c>
      <c r="D50" s="2" cm="1">
        <f t="array" aca="1" ref="D50" ca="1">IF(A50&lt;=0,"", SUMPRODUCT( INDEX(model!$B:$B,5):INDEX(model!$B:$B,4+A50), INDEX( INDEX(model!$C:$C,6):INDEX(model!$C:$C,5+A50), A50-(ROW(INDEX(model!$B:$B,5):INDEX(model!$B:$B,4+A50))-ROW(INDEX(model!$B:$B,5))) ) ) + IF(A50&lt;model!$E$2, SUMPRODUCT( ( INDEX(model!$B:$B,6+A50):INDEX(model!$B:$B,5+model!$E$2) - INDEX(model!$B:$B,6):INDEX(model!$B:$B,5+model!$E$2-A50) ), INDEX(model!$C:$C,6):INDEX(model!$C:$C,5+model!$E$2-A50) ), 0) )</f>
        <v>0</v>
      </c>
      <c r="E50" s="2">
        <f ca="1">B50-D50</f>
        <v>4.8723739495798696E-2</v>
      </c>
      <c r="F50" s="27">
        <f ca="1">E50^2</f>
        <v>2.3740027904544537E-3</v>
      </c>
    </row>
    <row r="51" spans="1:6" ht="15" thickBot="1" x14ac:dyDescent="0.35">
      <c r="A51" s="30">
        <f>C_lags!A51</f>
        <v>50</v>
      </c>
      <c r="B51" s="31">
        <f ca="1">(SUMPRODUCT(OFFSET(data_prep!$E$2,A51,0,$H$2-A51,1),OFFSET(data_prep!$D$2,0,0,$H$2-A51,1))-SUMPRODUCT(OFFSET(data_prep!$E$2,0,0,$H$2-A51,1),OFFSET(data_prep!$D$2,0,0,$H$2-A51,1)))/COUNT(OFFSET(data_prep!$D$2,0,0,$H$2-A51,1))</f>
        <v>4.8256572029443764E-2</v>
      </c>
      <c r="C51" s="31">
        <f>C_lags!C51</f>
        <v>951</v>
      </c>
      <c r="D51" s="31" cm="1">
        <f t="array" aca="1" ref="D51" ca="1">IF(A51&lt;=0,"", SUMPRODUCT( INDEX(model!$B:$B,5):INDEX(model!$B:$B,4+A51), INDEX( INDEX(model!$C:$C,6):INDEX(model!$C:$C,5+A51), A51-(ROW(INDEX(model!$B:$B,5):INDEX(model!$B:$B,4+A51))-ROW(INDEX(model!$B:$B,5))) ) ) + IF(A51&lt;model!$E$2, SUMPRODUCT( ( INDEX(model!$B:$B,6+A51):INDEX(model!$B:$B,5+model!$E$2) - INDEX(model!$B:$B,6):INDEX(model!$B:$B,5+model!$E$2-A51) ), INDEX(model!$C:$C,6):INDEX(model!$C:$C,5+model!$E$2-A51) ), 0) )</f>
        <v>0</v>
      </c>
      <c r="E51" s="31">
        <f ca="1">B51-D51</f>
        <v>4.8256572029443764E-2</v>
      </c>
      <c r="F51" s="32">
        <f ca="1">E51^2</f>
        <v>2.3286967440328942E-3</v>
      </c>
    </row>
    <row r="52" spans="1:6" ht="15" thickBot="1" x14ac:dyDescent="0.35">
      <c r="E52" s="33" t="s">
        <v>27</v>
      </c>
      <c r="F52" s="34">
        <f ca="1">SUM(F2:F51)</f>
        <v>0.14770384786658203</v>
      </c>
    </row>
  </sheetData>
  <mergeCells count="5">
    <mergeCell ref="I7:J7"/>
    <mergeCell ref="K7:L7"/>
    <mergeCell ref="I5:L6"/>
    <mergeCell ref="K8:L8"/>
    <mergeCell ref="K9:L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2"/>
  <sheetViews>
    <sheetView zoomScaleNormal="100" workbookViewId="0">
      <selection sqref="A1:XFD1"/>
    </sheetView>
  </sheetViews>
  <sheetFormatPr baseColWidth="10" defaultRowHeight="14.4" x14ac:dyDescent="0.3"/>
  <cols>
    <col min="1" max="5" width="13.5546875" style="1" customWidth="1"/>
    <col min="6" max="16384" width="11.5546875" style="1"/>
  </cols>
  <sheetData>
    <row r="1" spans="1:27" ht="57.6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6</v>
      </c>
      <c r="G1" s="24" t="s">
        <v>7</v>
      </c>
      <c r="H1" s="24" t="s">
        <v>9</v>
      </c>
      <c r="I1" s="24" t="s">
        <v>10</v>
      </c>
      <c r="J1" s="24" t="s">
        <v>11</v>
      </c>
      <c r="K1" s="25" t="s">
        <v>8</v>
      </c>
      <c r="AA1" s="1">
        <f>AVERAGEIF(C:C,"&gt;0")</f>
        <v>108.25547445255475</v>
      </c>
    </row>
    <row r="2" spans="1:27" x14ac:dyDescent="0.3">
      <c r="A2" s="26">
        <v>2.02E-4</v>
      </c>
      <c r="B2" s="2">
        <v>0.11</v>
      </c>
      <c r="C2" s="2">
        <v>8</v>
      </c>
      <c r="D2" s="2">
        <v>-1</v>
      </c>
      <c r="E2" s="2">
        <v>100</v>
      </c>
      <c r="F2" s="2">
        <v>1</v>
      </c>
      <c r="G2" s="2">
        <f>E3-E2</f>
        <v>-1.6000000000005343E-2</v>
      </c>
      <c r="H2" s="2">
        <f>IF(B2&lt;&gt;0,G2/B2,"")</f>
        <v>-0.14545454545459402</v>
      </c>
      <c r="I2" s="2">
        <f>D2*G2</f>
        <v>1.6000000000005343E-2</v>
      </c>
      <c r="J2" s="2">
        <f t="shared" ref="J2:J65" si="0">IF(C2="",$AA$1,C2)</f>
        <v>8</v>
      </c>
      <c r="K2" s="27">
        <f>LN(J2)</f>
        <v>2.0794415416798357</v>
      </c>
    </row>
    <row r="3" spans="1:27" x14ac:dyDescent="0.3">
      <c r="A3" s="28">
        <v>1.07E-3</v>
      </c>
      <c r="B3" s="3">
        <v>0.10299999999999999</v>
      </c>
      <c r="C3" s="3" t="s">
        <v>5</v>
      </c>
      <c r="D3" s="3">
        <v>1</v>
      </c>
      <c r="E3" s="3">
        <v>99.983999999999995</v>
      </c>
      <c r="F3" s="3">
        <v>2</v>
      </c>
      <c r="G3" s="3">
        <f t="shared" ref="G3:G66" si="1">E4-E3</f>
        <v>4.5000000000001705E-2</v>
      </c>
      <c r="H3" s="3">
        <f t="shared" ref="H3:H66" si="2">IF(B3&lt;&gt;0,G3/B3,"")</f>
        <v>0.43689320388351172</v>
      </c>
      <c r="I3" s="3">
        <f t="shared" ref="I3:I66" si="3">D3*G3</f>
        <v>4.5000000000001705E-2</v>
      </c>
      <c r="J3" s="3">
        <f t="shared" si="0"/>
        <v>108.25547445255475</v>
      </c>
      <c r="K3" s="29">
        <f t="shared" ref="K3:K66" si="4">LN(J3)</f>
        <v>4.6844939379138379</v>
      </c>
    </row>
    <row r="4" spans="1:27" x14ac:dyDescent="0.3">
      <c r="A4" s="26">
        <v>1.4959999999999999E-3</v>
      </c>
      <c r="B4" s="2">
        <v>0.10150000000000001</v>
      </c>
      <c r="C4" s="2" t="s">
        <v>5</v>
      </c>
      <c r="D4" s="2">
        <v>-1</v>
      </c>
      <c r="E4" s="2">
        <v>100.029</v>
      </c>
      <c r="F4" s="2">
        <v>3</v>
      </c>
      <c r="G4" s="2">
        <f t="shared" si="1"/>
        <v>-4.9999999999997158E-2</v>
      </c>
      <c r="H4" s="2">
        <f t="shared" si="2"/>
        <v>-0.49261083743839562</v>
      </c>
      <c r="I4" s="2">
        <f t="shared" si="3"/>
        <v>4.9999999999997158E-2</v>
      </c>
      <c r="J4" s="2">
        <f t="shared" si="0"/>
        <v>108.25547445255475</v>
      </c>
      <c r="K4" s="27">
        <f t="shared" si="4"/>
        <v>4.6844939379138379</v>
      </c>
    </row>
    <row r="5" spans="1:27" x14ac:dyDescent="0.3">
      <c r="A5" s="28">
        <v>3.336E-3</v>
      </c>
      <c r="B5" s="3">
        <v>9.1999999999999998E-2</v>
      </c>
      <c r="C5" s="3" t="s">
        <v>5</v>
      </c>
      <c r="D5" s="3">
        <v>1</v>
      </c>
      <c r="E5" s="3">
        <v>99.978999999999999</v>
      </c>
      <c r="F5" s="3">
        <v>4</v>
      </c>
      <c r="G5" s="3">
        <f t="shared" si="1"/>
        <v>8.100000000000307E-2</v>
      </c>
      <c r="H5" s="3">
        <f t="shared" si="2"/>
        <v>0.88043478260872898</v>
      </c>
      <c r="I5" s="3">
        <f t="shared" si="3"/>
        <v>8.100000000000307E-2</v>
      </c>
      <c r="J5" s="3">
        <f t="shared" si="0"/>
        <v>108.25547445255475</v>
      </c>
      <c r="K5" s="29">
        <f t="shared" si="4"/>
        <v>4.6844939379138379</v>
      </c>
    </row>
    <row r="6" spans="1:27" x14ac:dyDescent="0.3">
      <c r="A6" s="26">
        <v>3.9519999999999998E-3</v>
      </c>
      <c r="B6" s="2">
        <v>0.1106</v>
      </c>
      <c r="C6" s="2" t="s">
        <v>5</v>
      </c>
      <c r="D6" s="2">
        <v>1</v>
      </c>
      <c r="E6" s="2">
        <v>100.06</v>
      </c>
      <c r="F6" s="2">
        <v>5</v>
      </c>
      <c r="G6" s="2">
        <f t="shared" si="1"/>
        <v>9.9999999999994316E-2</v>
      </c>
      <c r="H6" s="2">
        <f t="shared" si="2"/>
        <v>0.9041591320071819</v>
      </c>
      <c r="I6" s="2">
        <f t="shared" si="3"/>
        <v>9.9999999999994316E-2</v>
      </c>
      <c r="J6" s="2">
        <f t="shared" si="0"/>
        <v>108.25547445255475</v>
      </c>
      <c r="K6" s="27">
        <f t="shared" si="4"/>
        <v>4.6844939379138379</v>
      </c>
    </row>
    <row r="7" spans="1:27" x14ac:dyDescent="0.3">
      <c r="A7" s="28">
        <v>4.0140000000000002E-3</v>
      </c>
      <c r="B7" s="3">
        <v>0.1028</v>
      </c>
      <c r="C7" s="3" t="s">
        <v>5</v>
      </c>
      <c r="D7" s="3">
        <v>1</v>
      </c>
      <c r="E7" s="3">
        <v>100.16</v>
      </c>
      <c r="F7" s="3">
        <v>6</v>
      </c>
      <c r="G7" s="3">
        <f t="shared" si="1"/>
        <v>4.0000000000048885E-3</v>
      </c>
      <c r="H7" s="3">
        <f t="shared" si="2"/>
        <v>3.8910505836623428E-2</v>
      </c>
      <c r="I7" s="3">
        <f t="shared" si="3"/>
        <v>4.0000000000048885E-3</v>
      </c>
      <c r="J7" s="3">
        <f t="shared" si="0"/>
        <v>108.25547445255475</v>
      </c>
      <c r="K7" s="29">
        <f t="shared" si="4"/>
        <v>4.6844939379138379</v>
      </c>
    </row>
    <row r="8" spans="1:27" x14ac:dyDescent="0.3">
      <c r="A8" s="26">
        <v>4.0740000000000004E-3</v>
      </c>
      <c r="B8" s="2">
        <v>0.12939999999999999</v>
      </c>
      <c r="C8" s="2">
        <v>32</v>
      </c>
      <c r="D8" s="2">
        <v>1</v>
      </c>
      <c r="E8" s="2">
        <v>100.164</v>
      </c>
      <c r="F8" s="2">
        <v>7</v>
      </c>
      <c r="G8" s="2">
        <f t="shared" si="1"/>
        <v>2.5999999999996248E-2</v>
      </c>
      <c r="H8" s="2">
        <f t="shared" si="2"/>
        <v>0.20092735703242853</v>
      </c>
      <c r="I8" s="2">
        <f t="shared" si="3"/>
        <v>2.5999999999996248E-2</v>
      </c>
      <c r="J8" s="2">
        <f t="shared" si="0"/>
        <v>32</v>
      </c>
      <c r="K8" s="27">
        <f t="shared" si="4"/>
        <v>3.4657359027997265</v>
      </c>
    </row>
    <row r="9" spans="1:27" x14ac:dyDescent="0.3">
      <c r="A9" s="28">
        <v>5.4939999999999998E-3</v>
      </c>
      <c r="B9" s="3">
        <v>9.8100000000000007E-2</v>
      </c>
      <c r="C9" s="3" t="s">
        <v>5</v>
      </c>
      <c r="D9" s="3">
        <v>-1</v>
      </c>
      <c r="E9" s="3">
        <v>100.19</v>
      </c>
      <c r="F9" s="3">
        <v>8</v>
      </c>
      <c r="G9" s="3">
        <f t="shared" si="1"/>
        <v>-0.10599999999999454</v>
      </c>
      <c r="H9" s="3">
        <f t="shared" si="2"/>
        <v>-1.0805300713557038</v>
      </c>
      <c r="I9" s="3">
        <f t="shared" si="3"/>
        <v>0.10599999999999454</v>
      </c>
      <c r="J9" s="3">
        <f t="shared" si="0"/>
        <v>108.25547445255475</v>
      </c>
      <c r="K9" s="29">
        <f t="shared" si="4"/>
        <v>4.6844939379138379</v>
      </c>
    </row>
    <row r="10" spans="1:27" x14ac:dyDescent="0.3">
      <c r="A10" s="26">
        <v>5.5589999999999997E-3</v>
      </c>
      <c r="B10" s="2">
        <v>0.1119</v>
      </c>
      <c r="C10" s="2" t="s">
        <v>5</v>
      </c>
      <c r="D10" s="2">
        <v>-1</v>
      </c>
      <c r="E10" s="2">
        <v>100.084</v>
      </c>
      <c r="F10" s="2">
        <v>9</v>
      </c>
      <c r="G10" s="2">
        <f t="shared" si="1"/>
        <v>-6.3000000000002387E-2</v>
      </c>
      <c r="H10" s="2">
        <f t="shared" si="2"/>
        <v>-0.56300268096516881</v>
      </c>
      <c r="I10" s="2">
        <f t="shared" si="3"/>
        <v>6.3000000000002387E-2</v>
      </c>
      <c r="J10" s="2">
        <f t="shared" si="0"/>
        <v>108.25547445255475</v>
      </c>
      <c r="K10" s="27">
        <f t="shared" si="4"/>
        <v>4.6844939379138379</v>
      </c>
    </row>
    <row r="11" spans="1:27" x14ac:dyDescent="0.3">
      <c r="A11" s="28">
        <v>5.7489999999999998E-3</v>
      </c>
      <c r="B11" s="3">
        <v>8.6099999999999996E-2</v>
      </c>
      <c r="C11" s="3" t="s">
        <v>5</v>
      </c>
      <c r="D11" s="3">
        <v>-1</v>
      </c>
      <c r="E11" s="3">
        <v>100.021</v>
      </c>
      <c r="F11" s="3">
        <v>10</v>
      </c>
      <c r="G11" s="3">
        <f t="shared" si="1"/>
        <v>-3.1999999999996476E-2</v>
      </c>
      <c r="H11" s="3">
        <f t="shared" si="2"/>
        <v>-0.3716608594656966</v>
      </c>
      <c r="I11" s="3">
        <f t="shared" si="3"/>
        <v>3.1999999999996476E-2</v>
      </c>
      <c r="J11" s="3">
        <f t="shared" si="0"/>
        <v>108.25547445255475</v>
      </c>
      <c r="K11" s="29">
        <f t="shared" si="4"/>
        <v>4.6844939379138379</v>
      </c>
    </row>
    <row r="12" spans="1:27" x14ac:dyDescent="0.3">
      <c r="A12" s="26">
        <v>8.3269999999999993E-3</v>
      </c>
      <c r="B12" s="2">
        <v>9.69E-2</v>
      </c>
      <c r="C12" s="2" t="s">
        <v>5</v>
      </c>
      <c r="D12" s="2">
        <v>1</v>
      </c>
      <c r="E12" s="2">
        <v>99.989000000000004</v>
      </c>
      <c r="F12" s="2">
        <v>11</v>
      </c>
      <c r="G12" s="2">
        <f t="shared" si="1"/>
        <v>6.9000000000002615E-2</v>
      </c>
      <c r="H12" s="2">
        <f t="shared" si="2"/>
        <v>0.71207430340559974</v>
      </c>
      <c r="I12" s="2">
        <f t="shared" si="3"/>
        <v>6.9000000000002615E-2</v>
      </c>
      <c r="J12" s="2">
        <f t="shared" si="0"/>
        <v>108.25547445255475</v>
      </c>
      <c r="K12" s="27">
        <f t="shared" si="4"/>
        <v>4.6844939379138379</v>
      </c>
    </row>
    <row r="13" spans="1:27" x14ac:dyDescent="0.3">
      <c r="A13" s="28">
        <v>1.1284000000000001E-2</v>
      </c>
      <c r="B13" s="3">
        <v>0.1147</v>
      </c>
      <c r="C13" s="3" t="s">
        <v>5</v>
      </c>
      <c r="D13" s="3">
        <v>1</v>
      </c>
      <c r="E13" s="3">
        <v>100.05800000000001</v>
      </c>
      <c r="F13" s="3">
        <v>12</v>
      </c>
      <c r="G13" s="3">
        <f t="shared" si="1"/>
        <v>5.7999999999992724E-2</v>
      </c>
      <c r="H13" s="3">
        <f t="shared" si="2"/>
        <v>0.50566695727979705</v>
      </c>
      <c r="I13" s="3">
        <f t="shared" si="3"/>
        <v>5.7999999999992724E-2</v>
      </c>
      <c r="J13" s="3">
        <f t="shared" si="0"/>
        <v>108.25547445255475</v>
      </c>
      <c r="K13" s="29">
        <f t="shared" si="4"/>
        <v>4.6844939379138379</v>
      </c>
    </row>
    <row r="14" spans="1:27" x14ac:dyDescent="0.3">
      <c r="A14" s="26">
        <v>1.1410999999999999E-2</v>
      </c>
      <c r="B14" s="2">
        <v>8.1199999999999994E-2</v>
      </c>
      <c r="C14" s="2" t="s">
        <v>5</v>
      </c>
      <c r="D14" s="2">
        <v>1</v>
      </c>
      <c r="E14" s="2">
        <v>100.116</v>
      </c>
      <c r="F14" s="2">
        <v>13</v>
      </c>
      <c r="G14" s="2">
        <f t="shared" si="1"/>
        <v>1.9999999999996021E-2</v>
      </c>
      <c r="H14" s="2">
        <f t="shared" si="2"/>
        <v>0.24630541871916284</v>
      </c>
      <c r="I14" s="2">
        <f t="shared" si="3"/>
        <v>1.9999999999996021E-2</v>
      </c>
      <c r="J14" s="2">
        <f t="shared" si="0"/>
        <v>108.25547445255475</v>
      </c>
      <c r="K14" s="27">
        <f t="shared" si="4"/>
        <v>4.6844939379138379</v>
      </c>
    </row>
    <row r="15" spans="1:27" x14ac:dyDescent="0.3">
      <c r="A15" s="28">
        <v>1.1814E-2</v>
      </c>
      <c r="B15" s="3">
        <v>8.7800000000000003E-2</v>
      </c>
      <c r="C15" s="3" t="s">
        <v>5</v>
      </c>
      <c r="D15" s="3">
        <v>-1</v>
      </c>
      <c r="E15" s="3">
        <v>100.136</v>
      </c>
      <c r="F15" s="3">
        <v>14</v>
      </c>
      <c r="G15" s="3">
        <f t="shared" si="1"/>
        <v>-8.99999999999892E-2</v>
      </c>
      <c r="H15" s="3">
        <f t="shared" si="2"/>
        <v>-1.0250569476080773</v>
      </c>
      <c r="I15" s="3">
        <f t="shared" si="3"/>
        <v>8.99999999999892E-2</v>
      </c>
      <c r="J15" s="3">
        <f t="shared" si="0"/>
        <v>108.25547445255475</v>
      </c>
      <c r="K15" s="29">
        <f t="shared" si="4"/>
        <v>4.6844939379138379</v>
      </c>
    </row>
    <row r="16" spans="1:27" x14ac:dyDescent="0.3">
      <c r="A16" s="26">
        <v>1.2001E-2</v>
      </c>
      <c r="B16" s="2">
        <v>0.1085</v>
      </c>
      <c r="C16" s="2" t="s">
        <v>5</v>
      </c>
      <c r="D16" s="2">
        <v>1</v>
      </c>
      <c r="E16" s="2">
        <v>100.04600000000001</v>
      </c>
      <c r="F16" s="2">
        <v>15</v>
      </c>
      <c r="G16" s="2">
        <f t="shared" si="1"/>
        <v>0.11099999999999</v>
      </c>
      <c r="H16" s="2">
        <f t="shared" si="2"/>
        <v>1.0230414746542857</v>
      </c>
      <c r="I16" s="2">
        <f t="shared" si="3"/>
        <v>0.11099999999999</v>
      </c>
      <c r="J16" s="2">
        <f t="shared" si="0"/>
        <v>108.25547445255475</v>
      </c>
      <c r="K16" s="27">
        <f t="shared" si="4"/>
        <v>4.6844939379138379</v>
      </c>
    </row>
    <row r="17" spans="1:11" x14ac:dyDescent="0.3">
      <c r="A17" s="28">
        <v>1.3354E-2</v>
      </c>
      <c r="B17" s="3">
        <v>0.105</v>
      </c>
      <c r="C17" s="3" t="s">
        <v>5</v>
      </c>
      <c r="D17" s="3">
        <v>-1</v>
      </c>
      <c r="E17" s="3">
        <v>100.157</v>
      </c>
      <c r="F17" s="3">
        <v>16</v>
      </c>
      <c r="G17" s="3">
        <f t="shared" si="1"/>
        <v>-0.10899999999999466</v>
      </c>
      <c r="H17" s="3">
        <f t="shared" si="2"/>
        <v>-1.0380952380951873</v>
      </c>
      <c r="I17" s="3">
        <f t="shared" si="3"/>
        <v>0.10899999999999466</v>
      </c>
      <c r="J17" s="3">
        <f t="shared" si="0"/>
        <v>108.25547445255475</v>
      </c>
      <c r="K17" s="29">
        <f t="shared" si="4"/>
        <v>4.6844939379138379</v>
      </c>
    </row>
    <row r="18" spans="1:11" x14ac:dyDescent="0.3">
      <c r="A18" s="26">
        <v>1.4393E-2</v>
      </c>
      <c r="B18" s="2">
        <v>0.11409999999999999</v>
      </c>
      <c r="C18" s="2">
        <v>8</v>
      </c>
      <c r="D18" s="2">
        <v>-1</v>
      </c>
      <c r="E18" s="2">
        <v>100.048</v>
      </c>
      <c r="F18" s="2">
        <v>17</v>
      </c>
      <c r="G18" s="2">
        <f t="shared" si="1"/>
        <v>-1.9000000000005457E-2</v>
      </c>
      <c r="H18" s="2">
        <f t="shared" si="2"/>
        <v>-0.16652059596849655</v>
      </c>
      <c r="I18" s="2">
        <f t="shared" si="3"/>
        <v>1.9000000000005457E-2</v>
      </c>
      <c r="J18" s="2">
        <f t="shared" si="0"/>
        <v>8</v>
      </c>
      <c r="K18" s="27">
        <f t="shared" si="4"/>
        <v>2.0794415416798357</v>
      </c>
    </row>
    <row r="19" spans="1:11" x14ac:dyDescent="0.3">
      <c r="A19" s="28">
        <v>1.4494999999999999E-2</v>
      </c>
      <c r="B19" s="3">
        <v>9.0499999999999997E-2</v>
      </c>
      <c r="C19" s="3" t="s">
        <v>5</v>
      </c>
      <c r="D19" s="3">
        <v>-1</v>
      </c>
      <c r="E19" s="3">
        <v>100.029</v>
      </c>
      <c r="F19" s="2">
        <v>18</v>
      </c>
      <c r="G19" s="2">
        <f t="shared" si="1"/>
        <v>-4.2000000000001592E-2</v>
      </c>
      <c r="H19" s="2">
        <f t="shared" si="2"/>
        <v>-0.46408839779007283</v>
      </c>
      <c r="I19" s="2">
        <f t="shared" si="3"/>
        <v>4.2000000000001592E-2</v>
      </c>
      <c r="J19" s="2">
        <f t="shared" si="0"/>
        <v>108.25547445255475</v>
      </c>
      <c r="K19" s="27">
        <f t="shared" si="4"/>
        <v>4.6844939379138379</v>
      </c>
    </row>
    <row r="20" spans="1:11" x14ac:dyDescent="0.3">
      <c r="A20" s="26">
        <v>1.49E-2</v>
      </c>
      <c r="B20" s="2">
        <v>0.1017</v>
      </c>
      <c r="C20" s="2" t="s">
        <v>5</v>
      </c>
      <c r="D20" s="2">
        <v>-1</v>
      </c>
      <c r="E20" s="2">
        <v>99.986999999999995</v>
      </c>
      <c r="F20" s="3">
        <v>19</v>
      </c>
      <c r="G20" s="3">
        <f t="shared" si="1"/>
        <v>-8.5999999999998522E-2</v>
      </c>
      <c r="H20" s="3">
        <f t="shared" si="2"/>
        <v>-0.84562438544737972</v>
      </c>
      <c r="I20" s="3">
        <f t="shared" si="3"/>
        <v>8.5999999999998522E-2</v>
      </c>
      <c r="J20" s="3">
        <f t="shared" si="0"/>
        <v>108.25547445255475</v>
      </c>
      <c r="K20" s="29">
        <f t="shared" si="4"/>
        <v>4.6844939379138379</v>
      </c>
    </row>
    <row r="21" spans="1:11" x14ac:dyDescent="0.3">
      <c r="A21" s="28">
        <v>1.4930000000000001E-2</v>
      </c>
      <c r="B21" s="3">
        <v>0.1099</v>
      </c>
      <c r="C21" s="3" t="s">
        <v>5</v>
      </c>
      <c r="D21" s="3">
        <v>1</v>
      </c>
      <c r="E21" s="3">
        <v>99.900999999999996</v>
      </c>
      <c r="F21" s="2">
        <v>20</v>
      </c>
      <c r="G21" s="2">
        <f t="shared" si="1"/>
        <v>6.4000000000007162E-2</v>
      </c>
      <c r="H21" s="2">
        <f t="shared" si="2"/>
        <v>0.5823475887170807</v>
      </c>
      <c r="I21" s="2">
        <f t="shared" si="3"/>
        <v>6.4000000000007162E-2</v>
      </c>
      <c r="J21" s="2">
        <f t="shared" si="0"/>
        <v>108.25547445255475</v>
      </c>
      <c r="K21" s="27">
        <f t="shared" si="4"/>
        <v>4.6844939379138379</v>
      </c>
    </row>
    <row r="22" spans="1:11" x14ac:dyDescent="0.3">
      <c r="A22" s="26">
        <v>1.6574999999999999E-2</v>
      </c>
      <c r="B22" s="2">
        <v>0.12509999999999999</v>
      </c>
      <c r="C22" s="2" t="s">
        <v>5</v>
      </c>
      <c r="D22" s="2">
        <v>1</v>
      </c>
      <c r="E22" s="2">
        <v>99.965000000000003</v>
      </c>
      <c r="F22" s="3">
        <v>21</v>
      </c>
      <c r="G22" s="3">
        <f t="shared" si="1"/>
        <v>1.2000000000000455E-2</v>
      </c>
      <c r="H22" s="3">
        <f t="shared" si="2"/>
        <v>9.592326139089094E-2</v>
      </c>
      <c r="I22" s="3">
        <f t="shared" si="3"/>
        <v>1.2000000000000455E-2</v>
      </c>
      <c r="J22" s="3">
        <f t="shared" si="0"/>
        <v>108.25547445255475</v>
      </c>
      <c r="K22" s="29">
        <f t="shared" si="4"/>
        <v>4.6844939379138379</v>
      </c>
    </row>
    <row r="23" spans="1:11" x14ac:dyDescent="0.3">
      <c r="A23" s="28">
        <v>1.7396999999999999E-2</v>
      </c>
      <c r="B23" s="3">
        <v>0.11840000000000001</v>
      </c>
      <c r="C23" s="3" t="s">
        <v>5</v>
      </c>
      <c r="D23" s="3">
        <v>1</v>
      </c>
      <c r="E23" s="3">
        <v>99.977000000000004</v>
      </c>
      <c r="F23" s="2">
        <v>22</v>
      </c>
      <c r="G23" s="2">
        <f t="shared" si="1"/>
        <v>4.5000000000001705E-2</v>
      </c>
      <c r="H23" s="2">
        <f t="shared" si="2"/>
        <v>0.38006756756758198</v>
      </c>
      <c r="I23" s="2">
        <f t="shared" si="3"/>
        <v>4.5000000000001705E-2</v>
      </c>
      <c r="J23" s="2">
        <f t="shared" si="0"/>
        <v>108.25547445255475</v>
      </c>
      <c r="K23" s="27">
        <f t="shared" si="4"/>
        <v>4.6844939379138379</v>
      </c>
    </row>
    <row r="24" spans="1:11" x14ac:dyDescent="0.3">
      <c r="A24" s="26">
        <v>1.8022E-2</v>
      </c>
      <c r="B24" s="2">
        <v>0.1062</v>
      </c>
      <c r="C24" s="2" t="s">
        <v>5</v>
      </c>
      <c r="D24" s="2">
        <v>1</v>
      </c>
      <c r="E24" s="2">
        <v>100.02200000000001</v>
      </c>
      <c r="F24" s="3">
        <v>23</v>
      </c>
      <c r="G24" s="3">
        <f t="shared" si="1"/>
        <v>6.2999999999988177E-2</v>
      </c>
      <c r="H24" s="3">
        <f t="shared" si="2"/>
        <v>0.59322033898293947</v>
      </c>
      <c r="I24" s="3">
        <f t="shared" si="3"/>
        <v>6.2999999999988177E-2</v>
      </c>
      <c r="J24" s="3">
        <f t="shared" si="0"/>
        <v>108.25547445255475</v>
      </c>
      <c r="K24" s="29">
        <f t="shared" si="4"/>
        <v>4.6844939379138379</v>
      </c>
    </row>
    <row r="25" spans="1:11" x14ac:dyDescent="0.3">
      <c r="A25" s="28">
        <v>2.0903000000000001E-2</v>
      </c>
      <c r="B25" s="3">
        <v>0.10009999999999999</v>
      </c>
      <c r="C25" s="3" t="s">
        <v>5</v>
      </c>
      <c r="D25" s="3">
        <v>-1</v>
      </c>
      <c r="E25" s="3">
        <v>100.08499999999999</v>
      </c>
      <c r="F25" s="2">
        <v>24</v>
      </c>
      <c r="G25" s="2">
        <f t="shared" si="1"/>
        <v>-6.8999999999988404E-2</v>
      </c>
      <c r="H25" s="2">
        <f t="shared" si="2"/>
        <v>-0.68931068931057349</v>
      </c>
      <c r="I25" s="2">
        <f t="shared" si="3"/>
        <v>6.8999999999988404E-2</v>
      </c>
      <c r="J25" s="2">
        <f t="shared" si="0"/>
        <v>108.25547445255475</v>
      </c>
      <c r="K25" s="27">
        <f t="shared" si="4"/>
        <v>4.6844939379138379</v>
      </c>
    </row>
    <row r="26" spans="1:11" x14ac:dyDescent="0.3">
      <c r="A26" s="26">
        <v>2.1006E-2</v>
      </c>
      <c r="B26" s="2">
        <v>0.1021</v>
      </c>
      <c r="C26" s="2" t="s">
        <v>5</v>
      </c>
      <c r="D26" s="2">
        <v>1</v>
      </c>
      <c r="E26" s="2">
        <v>100.01600000000001</v>
      </c>
      <c r="F26" s="3">
        <v>25</v>
      </c>
      <c r="G26" s="3">
        <f t="shared" si="1"/>
        <v>2.8999999999996362E-2</v>
      </c>
      <c r="H26" s="3">
        <f t="shared" si="2"/>
        <v>0.28403525954942571</v>
      </c>
      <c r="I26" s="3">
        <f t="shared" si="3"/>
        <v>2.8999999999996362E-2</v>
      </c>
      <c r="J26" s="3">
        <f t="shared" si="0"/>
        <v>108.25547445255475</v>
      </c>
      <c r="K26" s="29">
        <f t="shared" si="4"/>
        <v>4.6844939379138379</v>
      </c>
    </row>
    <row r="27" spans="1:11" x14ac:dyDescent="0.3">
      <c r="A27" s="28">
        <v>2.1236999999999999E-2</v>
      </c>
      <c r="B27" s="3">
        <v>0.107</v>
      </c>
      <c r="C27" s="3" t="s">
        <v>5</v>
      </c>
      <c r="D27" s="3">
        <v>-1</v>
      </c>
      <c r="E27" s="3">
        <v>100.045</v>
      </c>
      <c r="F27" s="2">
        <v>26</v>
      </c>
      <c r="G27" s="2">
        <f t="shared" si="1"/>
        <v>-6.1000000000007049E-2</v>
      </c>
      <c r="H27" s="2">
        <f t="shared" si="2"/>
        <v>-0.57009345794399113</v>
      </c>
      <c r="I27" s="2">
        <f t="shared" si="3"/>
        <v>6.1000000000007049E-2</v>
      </c>
      <c r="J27" s="2">
        <f t="shared" si="0"/>
        <v>108.25547445255475</v>
      </c>
      <c r="K27" s="27">
        <f t="shared" si="4"/>
        <v>4.6844939379138379</v>
      </c>
    </row>
    <row r="28" spans="1:11" x14ac:dyDescent="0.3">
      <c r="A28" s="26">
        <v>2.2145999999999999E-2</v>
      </c>
      <c r="B28" s="2">
        <v>8.7900000000000006E-2</v>
      </c>
      <c r="C28" s="2" t="s">
        <v>5</v>
      </c>
      <c r="D28" s="2">
        <v>-1</v>
      </c>
      <c r="E28" s="2">
        <v>99.983999999999995</v>
      </c>
      <c r="F28" s="3">
        <v>27</v>
      </c>
      <c r="G28" s="3">
        <f t="shared" si="1"/>
        <v>-1.9999999999996021E-2</v>
      </c>
      <c r="H28" s="3">
        <f t="shared" si="2"/>
        <v>-0.22753128555171809</v>
      </c>
      <c r="I28" s="3">
        <f t="shared" si="3"/>
        <v>1.9999999999996021E-2</v>
      </c>
      <c r="J28" s="3">
        <f t="shared" si="0"/>
        <v>108.25547445255475</v>
      </c>
      <c r="K28" s="29">
        <f t="shared" si="4"/>
        <v>4.6844939379138379</v>
      </c>
    </row>
    <row r="29" spans="1:11" x14ac:dyDescent="0.3">
      <c r="A29" s="28">
        <v>2.2350999999999999E-2</v>
      </c>
      <c r="B29" s="3">
        <v>9.7000000000000003E-2</v>
      </c>
      <c r="C29" s="3" t="s">
        <v>5</v>
      </c>
      <c r="D29" s="3">
        <v>-1</v>
      </c>
      <c r="E29" s="3">
        <v>99.963999999999999</v>
      </c>
      <c r="F29" s="2">
        <v>28</v>
      </c>
      <c r="G29" s="2">
        <f t="shared" si="1"/>
        <v>-8.7999999999993861E-2</v>
      </c>
      <c r="H29" s="2">
        <f t="shared" si="2"/>
        <v>-0.90721649484529754</v>
      </c>
      <c r="I29" s="2">
        <f t="shared" si="3"/>
        <v>8.7999999999993861E-2</v>
      </c>
      <c r="J29" s="2">
        <f t="shared" si="0"/>
        <v>108.25547445255475</v>
      </c>
      <c r="K29" s="27">
        <f t="shared" si="4"/>
        <v>4.6844939379138379</v>
      </c>
    </row>
    <row r="30" spans="1:11" x14ac:dyDescent="0.3">
      <c r="A30" s="26">
        <v>2.2860999999999999E-2</v>
      </c>
      <c r="B30" s="2">
        <v>9.7799999999999998E-2</v>
      </c>
      <c r="C30" s="2">
        <v>141</v>
      </c>
      <c r="D30" s="2">
        <v>-1</v>
      </c>
      <c r="E30" s="2">
        <v>99.876000000000005</v>
      </c>
      <c r="F30" s="3">
        <v>29</v>
      </c>
      <c r="G30" s="3">
        <f t="shared" si="1"/>
        <v>-7.5000000000002842E-2</v>
      </c>
      <c r="H30" s="3">
        <f t="shared" si="2"/>
        <v>-0.76687116564420088</v>
      </c>
      <c r="I30" s="3">
        <f t="shared" si="3"/>
        <v>7.5000000000002842E-2</v>
      </c>
      <c r="J30" s="3">
        <f t="shared" si="0"/>
        <v>141</v>
      </c>
      <c r="K30" s="29">
        <f t="shared" si="4"/>
        <v>4.9487598903781684</v>
      </c>
    </row>
    <row r="31" spans="1:11" x14ac:dyDescent="0.3">
      <c r="A31" s="28">
        <v>2.367E-2</v>
      </c>
      <c r="B31" s="3">
        <v>0.1079</v>
      </c>
      <c r="C31" s="3" t="s">
        <v>5</v>
      </c>
      <c r="D31" s="3">
        <v>-1</v>
      </c>
      <c r="E31" s="3">
        <v>99.801000000000002</v>
      </c>
      <c r="F31" s="2">
        <v>30</v>
      </c>
      <c r="G31" s="2">
        <f t="shared" si="1"/>
        <v>-0.14199999999999591</v>
      </c>
      <c r="H31" s="2">
        <f t="shared" si="2"/>
        <v>-1.3160333642260975</v>
      </c>
      <c r="I31" s="2">
        <f t="shared" si="3"/>
        <v>0.14199999999999591</v>
      </c>
      <c r="J31" s="2">
        <f t="shared" si="0"/>
        <v>108.25547445255475</v>
      </c>
      <c r="K31" s="27">
        <f t="shared" si="4"/>
        <v>4.6844939379138379</v>
      </c>
    </row>
    <row r="32" spans="1:11" x14ac:dyDescent="0.3">
      <c r="A32" s="26">
        <v>2.3800000000000002E-2</v>
      </c>
      <c r="B32" s="2">
        <v>0.1007</v>
      </c>
      <c r="C32" s="2" t="s">
        <v>5</v>
      </c>
      <c r="D32" s="2">
        <v>-1</v>
      </c>
      <c r="E32" s="2">
        <v>99.659000000000006</v>
      </c>
      <c r="F32" s="3">
        <v>31</v>
      </c>
      <c r="G32" s="3">
        <f t="shared" si="1"/>
        <v>-3.6000000000001364E-2</v>
      </c>
      <c r="H32" s="3">
        <f t="shared" si="2"/>
        <v>-0.3574975173783651</v>
      </c>
      <c r="I32" s="3">
        <f t="shared" si="3"/>
        <v>3.6000000000001364E-2</v>
      </c>
      <c r="J32" s="3">
        <f t="shared" si="0"/>
        <v>108.25547445255475</v>
      </c>
      <c r="K32" s="29">
        <f t="shared" si="4"/>
        <v>4.6844939379138379</v>
      </c>
    </row>
    <row r="33" spans="1:11" x14ac:dyDescent="0.3">
      <c r="A33" s="28">
        <v>2.4167999999999999E-2</v>
      </c>
      <c r="B33" s="3">
        <v>9.5600000000000004E-2</v>
      </c>
      <c r="C33" s="3" t="s">
        <v>5</v>
      </c>
      <c r="D33" s="3">
        <v>1</v>
      </c>
      <c r="E33" s="3">
        <v>99.623000000000005</v>
      </c>
      <c r="F33" s="2">
        <v>32</v>
      </c>
      <c r="G33" s="2">
        <f t="shared" si="1"/>
        <v>5.499999999999261E-2</v>
      </c>
      <c r="H33" s="2">
        <f t="shared" si="2"/>
        <v>0.57531380753130346</v>
      </c>
      <c r="I33" s="2">
        <f t="shared" si="3"/>
        <v>5.499999999999261E-2</v>
      </c>
      <c r="J33" s="2">
        <f t="shared" si="0"/>
        <v>108.25547445255475</v>
      </c>
      <c r="K33" s="27">
        <f t="shared" si="4"/>
        <v>4.6844939379138379</v>
      </c>
    </row>
    <row r="34" spans="1:11" x14ac:dyDescent="0.3">
      <c r="A34" s="26">
        <v>2.5665E-2</v>
      </c>
      <c r="B34" s="2">
        <v>9.2899999999999996E-2</v>
      </c>
      <c r="C34" s="2" t="s">
        <v>5</v>
      </c>
      <c r="D34" s="2">
        <v>1</v>
      </c>
      <c r="E34" s="2">
        <v>99.677999999999997</v>
      </c>
      <c r="F34" s="3">
        <v>33</v>
      </c>
      <c r="G34" s="3">
        <f t="shared" si="1"/>
        <v>6.1000000000007049E-2</v>
      </c>
      <c r="H34" s="3">
        <f t="shared" si="2"/>
        <v>0.65662002152860122</v>
      </c>
      <c r="I34" s="3">
        <f t="shared" si="3"/>
        <v>6.1000000000007049E-2</v>
      </c>
      <c r="J34" s="3">
        <f t="shared" si="0"/>
        <v>108.25547445255475</v>
      </c>
      <c r="K34" s="29">
        <f t="shared" si="4"/>
        <v>4.6844939379138379</v>
      </c>
    </row>
    <row r="35" spans="1:11" x14ac:dyDescent="0.3">
      <c r="A35" s="28">
        <v>2.6211000000000002E-2</v>
      </c>
      <c r="B35" s="3">
        <v>0.1129</v>
      </c>
      <c r="C35" s="3" t="s">
        <v>5</v>
      </c>
      <c r="D35" s="3">
        <v>1</v>
      </c>
      <c r="E35" s="3">
        <v>99.739000000000004</v>
      </c>
      <c r="F35" s="2">
        <v>34</v>
      </c>
      <c r="G35" s="2">
        <f t="shared" si="1"/>
        <v>0.14699999999999136</v>
      </c>
      <c r="H35" s="2">
        <f t="shared" si="2"/>
        <v>1.302037201062811</v>
      </c>
      <c r="I35" s="2">
        <f t="shared" si="3"/>
        <v>0.14699999999999136</v>
      </c>
      <c r="J35" s="2">
        <f t="shared" si="0"/>
        <v>108.25547445255475</v>
      </c>
      <c r="K35" s="27">
        <f t="shared" si="4"/>
        <v>4.6844939379138379</v>
      </c>
    </row>
    <row r="36" spans="1:11" x14ac:dyDescent="0.3">
      <c r="A36" s="26">
        <v>2.9197000000000001E-2</v>
      </c>
      <c r="B36" s="2">
        <v>9.5899999999999999E-2</v>
      </c>
      <c r="C36" s="2" t="s">
        <v>5</v>
      </c>
      <c r="D36" s="2">
        <v>1</v>
      </c>
      <c r="E36" s="2">
        <v>99.885999999999996</v>
      </c>
      <c r="F36" s="2">
        <v>35</v>
      </c>
      <c r="G36" s="2">
        <f t="shared" si="1"/>
        <v>4.0000000000048885E-3</v>
      </c>
      <c r="H36" s="2">
        <f t="shared" si="2"/>
        <v>4.171011470286641E-2</v>
      </c>
      <c r="I36" s="2">
        <f t="shared" si="3"/>
        <v>4.0000000000048885E-3</v>
      </c>
      <c r="J36" s="2">
        <f t="shared" si="0"/>
        <v>108.25547445255475</v>
      </c>
      <c r="K36" s="27">
        <f t="shared" si="4"/>
        <v>4.6844939379138379</v>
      </c>
    </row>
    <row r="37" spans="1:11" x14ac:dyDescent="0.3">
      <c r="A37" s="28">
        <v>2.9759000000000001E-2</v>
      </c>
      <c r="B37" s="3">
        <v>0.1133</v>
      </c>
      <c r="C37" s="3" t="s">
        <v>5</v>
      </c>
      <c r="D37" s="3">
        <v>-1</v>
      </c>
      <c r="E37" s="3">
        <v>99.89</v>
      </c>
      <c r="F37" s="3">
        <v>36</v>
      </c>
      <c r="G37" s="3">
        <f t="shared" si="1"/>
        <v>-7.5000000000002842E-2</v>
      </c>
      <c r="H37" s="3">
        <f t="shared" si="2"/>
        <v>-0.6619593998235026</v>
      </c>
      <c r="I37" s="3">
        <f t="shared" si="3"/>
        <v>7.5000000000002842E-2</v>
      </c>
      <c r="J37" s="3">
        <f t="shared" si="0"/>
        <v>108.25547445255475</v>
      </c>
      <c r="K37" s="29">
        <f t="shared" si="4"/>
        <v>4.6844939379138379</v>
      </c>
    </row>
    <row r="38" spans="1:11" x14ac:dyDescent="0.3">
      <c r="A38" s="26">
        <v>3.0338E-2</v>
      </c>
      <c r="B38" s="2">
        <v>0.1055</v>
      </c>
      <c r="C38" s="2" t="s">
        <v>5</v>
      </c>
      <c r="D38" s="2">
        <v>1</v>
      </c>
      <c r="E38" s="2">
        <v>99.814999999999998</v>
      </c>
      <c r="F38" s="2">
        <v>37</v>
      </c>
      <c r="G38" s="2">
        <f t="shared" si="1"/>
        <v>0.11800000000000921</v>
      </c>
      <c r="H38" s="2">
        <f t="shared" si="2"/>
        <v>1.1184834123223621</v>
      </c>
      <c r="I38" s="2">
        <f t="shared" si="3"/>
        <v>0.11800000000000921</v>
      </c>
      <c r="J38" s="2">
        <f t="shared" si="0"/>
        <v>108.25547445255475</v>
      </c>
      <c r="K38" s="27">
        <f t="shared" si="4"/>
        <v>4.6844939379138379</v>
      </c>
    </row>
    <row r="39" spans="1:11" x14ac:dyDescent="0.3">
      <c r="A39" s="28">
        <v>3.0341E-2</v>
      </c>
      <c r="B39" s="3">
        <v>0.1036</v>
      </c>
      <c r="C39" s="3" t="s">
        <v>5</v>
      </c>
      <c r="D39" s="3">
        <v>1</v>
      </c>
      <c r="E39" s="3">
        <v>99.933000000000007</v>
      </c>
      <c r="F39" s="3">
        <v>38</v>
      </c>
      <c r="G39" s="3">
        <f t="shared" si="1"/>
        <v>7.9999999999998295E-2</v>
      </c>
      <c r="H39" s="3">
        <f t="shared" si="2"/>
        <v>0.77220077220075578</v>
      </c>
      <c r="I39" s="3">
        <f t="shared" si="3"/>
        <v>7.9999999999998295E-2</v>
      </c>
      <c r="J39" s="3">
        <f t="shared" si="0"/>
        <v>108.25547445255475</v>
      </c>
      <c r="K39" s="29">
        <f t="shared" si="4"/>
        <v>4.6844939379138379</v>
      </c>
    </row>
    <row r="40" spans="1:11" x14ac:dyDescent="0.3">
      <c r="A40" s="26">
        <v>3.0724999999999999E-2</v>
      </c>
      <c r="B40" s="2">
        <v>9.7299999999999998E-2</v>
      </c>
      <c r="C40" s="2" t="s">
        <v>5</v>
      </c>
      <c r="D40" s="2">
        <v>1</v>
      </c>
      <c r="E40" s="2">
        <v>100.01300000000001</v>
      </c>
      <c r="F40" s="2">
        <v>39</v>
      </c>
      <c r="G40" s="2">
        <f t="shared" si="1"/>
        <v>0.10499999999998977</v>
      </c>
      <c r="H40" s="2">
        <f t="shared" si="2"/>
        <v>1.0791366906473769</v>
      </c>
      <c r="I40" s="2">
        <f t="shared" si="3"/>
        <v>0.10499999999998977</v>
      </c>
      <c r="J40" s="2">
        <f t="shared" si="0"/>
        <v>108.25547445255475</v>
      </c>
      <c r="K40" s="27">
        <f t="shared" si="4"/>
        <v>4.6844939379138379</v>
      </c>
    </row>
    <row r="41" spans="1:11" x14ac:dyDescent="0.3">
      <c r="A41" s="28">
        <v>3.0797999999999999E-2</v>
      </c>
      <c r="B41" s="3">
        <v>9.8199999999999996E-2</v>
      </c>
      <c r="C41" s="3" t="s">
        <v>5</v>
      </c>
      <c r="D41" s="3">
        <v>-1</v>
      </c>
      <c r="E41" s="3">
        <v>100.11799999999999</v>
      </c>
      <c r="F41" s="3">
        <v>40</v>
      </c>
      <c r="G41" s="3">
        <f t="shared" si="1"/>
        <v>-6.2999999999988177E-2</v>
      </c>
      <c r="H41" s="3">
        <f t="shared" si="2"/>
        <v>-0.64154786150700793</v>
      </c>
      <c r="I41" s="3">
        <f t="shared" si="3"/>
        <v>6.2999999999988177E-2</v>
      </c>
      <c r="J41" s="3">
        <f t="shared" si="0"/>
        <v>108.25547445255475</v>
      </c>
      <c r="K41" s="29">
        <f t="shared" si="4"/>
        <v>4.6844939379138379</v>
      </c>
    </row>
    <row r="42" spans="1:11" x14ac:dyDescent="0.3">
      <c r="A42" s="26">
        <v>3.1467000000000002E-2</v>
      </c>
      <c r="B42" s="2">
        <v>8.1199999999999994E-2</v>
      </c>
      <c r="C42" s="2" t="s">
        <v>5</v>
      </c>
      <c r="D42" s="2">
        <v>1</v>
      </c>
      <c r="E42" s="2">
        <v>100.05500000000001</v>
      </c>
      <c r="F42" s="2">
        <v>41</v>
      </c>
      <c r="G42" s="2">
        <f t="shared" si="1"/>
        <v>2.4999999999991473E-2</v>
      </c>
      <c r="H42" s="2">
        <f t="shared" si="2"/>
        <v>0.30788177339890982</v>
      </c>
      <c r="I42" s="2">
        <f t="shared" si="3"/>
        <v>2.4999999999991473E-2</v>
      </c>
      <c r="J42" s="2">
        <f t="shared" si="0"/>
        <v>108.25547445255475</v>
      </c>
      <c r="K42" s="27">
        <f t="shared" si="4"/>
        <v>4.6844939379138379</v>
      </c>
    </row>
    <row r="43" spans="1:11" x14ac:dyDescent="0.3">
      <c r="A43" s="28">
        <v>3.2173E-2</v>
      </c>
      <c r="B43" s="3">
        <v>9.7000000000000003E-2</v>
      </c>
      <c r="C43" s="3" t="s">
        <v>5</v>
      </c>
      <c r="D43" s="3">
        <v>1</v>
      </c>
      <c r="E43" s="3">
        <v>100.08</v>
      </c>
      <c r="F43" s="3">
        <v>42</v>
      </c>
      <c r="G43" s="3">
        <f t="shared" si="1"/>
        <v>1.9000000000005457E-2</v>
      </c>
      <c r="H43" s="3">
        <f t="shared" si="2"/>
        <v>0.19587628865985007</v>
      </c>
      <c r="I43" s="3">
        <f t="shared" si="3"/>
        <v>1.9000000000005457E-2</v>
      </c>
      <c r="J43" s="3">
        <f t="shared" si="0"/>
        <v>108.25547445255475</v>
      </c>
      <c r="K43" s="29">
        <f t="shared" si="4"/>
        <v>4.6844939379138379</v>
      </c>
    </row>
    <row r="44" spans="1:11" x14ac:dyDescent="0.3">
      <c r="A44" s="26">
        <v>3.3008000000000003E-2</v>
      </c>
      <c r="B44" s="2">
        <v>9.7500000000000003E-2</v>
      </c>
      <c r="C44" s="2" t="s">
        <v>5</v>
      </c>
      <c r="D44" s="2">
        <v>-1</v>
      </c>
      <c r="E44" s="2">
        <v>100.099</v>
      </c>
      <c r="F44" s="2">
        <v>43</v>
      </c>
      <c r="G44" s="2">
        <f t="shared" si="1"/>
        <v>-4.399999999999693E-2</v>
      </c>
      <c r="H44" s="2">
        <f t="shared" si="2"/>
        <v>-0.45128205128201976</v>
      </c>
      <c r="I44" s="2">
        <f t="shared" si="3"/>
        <v>4.399999999999693E-2</v>
      </c>
      <c r="J44" s="2">
        <f t="shared" si="0"/>
        <v>108.25547445255475</v>
      </c>
      <c r="K44" s="27">
        <f t="shared" si="4"/>
        <v>4.6844939379138379</v>
      </c>
    </row>
    <row r="45" spans="1:11" x14ac:dyDescent="0.3">
      <c r="A45" s="28">
        <v>3.3500000000000002E-2</v>
      </c>
      <c r="B45" s="3">
        <v>0.106</v>
      </c>
      <c r="C45" s="3" t="s">
        <v>5</v>
      </c>
      <c r="D45" s="3">
        <v>-1</v>
      </c>
      <c r="E45" s="3">
        <v>100.05500000000001</v>
      </c>
      <c r="F45" s="3">
        <v>44</v>
      </c>
      <c r="G45" s="3">
        <f t="shared" si="1"/>
        <v>-0.17100000000000648</v>
      </c>
      <c r="H45" s="3">
        <f t="shared" si="2"/>
        <v>-1.6132075471698726</v>
      </c>
      <c r="I45" s="3">
        <f t="shared" si="3"/>
        <v>0.17100000000000648</v>
      </c>
      <c r="J45" s="3">
        <f t="shared" si="0"/>
        <v>108.25547445255475</v>
      </c>
      <c r="K45" s="29">
        <f t="shared" si="4"/>
        <v>4.6844939379138379</v>
      </c>
    </row>
    <row r="46" spans="1:11" x14ac:dyDescent="0.3">
      <c r="A46" s="26">
        <v>3.4625000000000003E-2</v>
      </c>
      <c r="B46" s="2">
        <v>9.4200000000000006E-2</v>
      </c>
      <c r="C46" s="2" t="s">
        <v>5</v>
      </c>
      <c r="D46" s="2">
        <v>-1</v>
      </c>
      <c r="E46" s="2">
        <v>99.884</v>
      </c>
      <c r="F46" s="2">
        <v>45</v>
      </c>
      <c r="G46" s="2">
        <f t="shared" si="1"/>
        <v>-9.0000000000003411E-2</v>
      </c>
      <c r="H46" s="2">
        <f t="shared" si="2"/>
        <v>-0.9554140127388896</v>
      </c>
      <c r="I46" s="2">
        <f t="shared" si="3"/>
        <v>9.0000000000003411E-2</v>
      </c>
      <c r="J46" s="2">
        <f t="shared" si="0"/>
        <v>108.25547445255475</v>
      </c>
      <c r="K46" s="27">
        <f t="shared" si="4"/>
        <v>4.6844939379138379</v>
      </c>
    </row>
    <row r="47" spans="1:11" x14ac:dyDescent="0.3">
      <c r="A47" s="28">
        <v>3.5011E-2</v>
      </c>
      <c r="B47" s="3">
        <v>0.1116</v>
      </c>
      <c r="C47" s="3" t="s">
        <v>5</v>
      </c>
      <c r="D47" s="3">
        <v>-1</v>
      </c>
      <c r="E47" s="3">
        <v>99.793999999999997</v>
      </c>
      <c r="F47" s="3">
        <v>46</v>
      </c>
      <c r="G47" s="3">
        <f t="shared" si="1"/>
        <v>-7.5000000000002842E-2</v>
      </c>
      <c r="H47" s="3">
        <f t="shared" si="2"/>
        <v>-0.67204301075271367</v>
      </c>
      <c r="I47" s="3">
        <f t="shared" si="3"/>
        <v>7.5000000000002842E-2</v>
      </c>
      <c r="J47" s="3">
        <f t="shared" si="0"/>
        <v>108.25547445255475</v>
      </c>
      <c r="K47" s="29">
        <f t="shared" si="4"/>
        <v>4.6844939379138379</v>
      </c>
    </row>
    <row r="48" spans="1:11" x14ac:dyDescent="0.3">
      <c r="A48" s="26">
        <v>3.5274E-2</v>
      </c>
      <c r="B48" s="2">
        <v>0.10680000000000001</v>
      </c>
      <c r="C48" s="2" t="s">
        <v>5</v>
      </c>
      <c r="D48" s="2">
        <v>1</v>
      </c>
      <c r="E48" s="2">
        <v>99.718999999999994</v>
      </c>
      <c r="F48" s="2">
        <v>47</v>
      </c>
      <c r="G48" s="2">
        <f t="shared" si="1"/>
        <v>5.6000000000011596E-2</v>
      </c>
      <c r="H48" s="2">
        <f t="shared" si="2"/>
        <v>0.52434456928849804</v>
      </c>
      <c r="I48" s="2">
        <f t="shared" si="3"/>
        <v>5.6000000000011596E-2</v>
      </c>
      <c r="J48" s="2">
        <f t="shared" si="0"/>
        <v>108.25547445255475</v>
      </c>
      <c r="K48" s="27">
        <f t="shared" si="4"/>
        <v>4.6844939379138379</v>
      </c>
    </row>
    <row r="49" spans="1:11" x14ac:dyDescent="0.3">
      <c r="A49" s="28">
        <v>3.6436999999999997E-2</v>
      </c>
      <c r="B49" s="3">
        <v>9.7900000000000001E-2</v>
      </c>
      <c r="C49" s="3" t="s">
        <v>5</v>
      </c>
      <c r="D49" s="3">
        <v>-1</v>
      </c>
      <c r="E49" s="3">
        <v>99.775000000000006</v>
      </c>
      <c r="F49" s="3">
        <v>48</v>
      </c>
      <c r="G49" s="3">
        <f t="shared" si="1"/>
        <v>-0.10000000000000853</v>
      </c>
      <c r="H49" s="3">
        <f t="shared" si="2"/>
        <v>-1.021450459652794</v>
      </c>
      <c r="I49" s="3">
        <f t="shared" si="3"/>
        <v>0.10000000000000853</v>
      </c>
      <c r="J49" s="3">
        <f t="shared" si="0"/>
        <v>108.25547445255475</v>
      </c>
      <c r="K49" s="29">
        <f t="shared" si="4"/>
        <v>4.6844939379138379</v>
      </c>
    </row>
    <row r="50" spans="1:11" x14ac:dyDescent="0.3">
      <c r="A50" s="26">
        <v>3.6993999999999999E-2</v>
      </c>
      <c r="B50" s="2">
        <v>9.0999999999999998E-2</v>
      </c>
      <c r="C50" s="2" t="s">
        <v>5</v>
      </c>
      <c r="D50" s="2">
        <v>1</v>
      </c>
      <c r="E50" s="2">
        <v>99.674999999999997</v>
      </c>
      <c r="F50" s="2">
        <v>49</v>
      </c>
      <c r="G50" s="2">
        <f t="shared" si="1"/>
        <v>0.10099999999999909</v>
      </c>
      <c r="H50" s="2">
        <f t="shared" si="2"/>
        <v>1.1098901098901</v>
      </c>
      <c r="I50" s="2">
        <f t="shared" si="3"/>
        <v>0.10099999999999909</v>
      </c>
      <c r="J50" s="2">
        <f t="shared" si="0"/>
        <v>108.25547445255475</v>
      </c>
      <c r="K50" s="27">
        <f t="shared" si="4"/>
        <v>4.6844939379138379</v>
      </c>
    </row>
    <row r="51" spans="1:11" x14ac:dyDescent="0.3">
      <c r="A51" s="28">
        <v>3.7093000000000001E-2</v>
      </c>
      <c r="B51" s="3">
        <v>0.113</v>
      </c>
      <c r="C51" s="3" t="s">
        <v>5</v>
      </c>
      <c r="D51" s="3">
        <v>-1</v>
      </c>
      <c r="E51" s="3">
        <v>99.775999999999996</v>
      </c>
      <c r="F51" s="3">
        <v>50</v>
      </c>
      <c r="G51" s="3">
        <f t="shared" si="1"/>
        <v>-0.11199999999999477</v>
      </c>
      <c r="H51" s="3">
        <f t="shared" si="2"/>
        <v>-0.9911504424778298</v>
      </c>
      <c r="I51" s="3">
        <f t="shared" si="3"/>
        <v>0.11199999999999477</v>
      </c>
      <c r="J51" s="3">
        <f t="shared" si="0"/>
        <v>108.25547445255475</v>
      </c>
      <c r="K51" s="29">
        <f t="shared" si="4"/>
        <v>4.6844939379138379</v>
      </c>
    </row>
    <row r="52" spans="1:11" x14ac:dyDescent="0.3">
      <c r="A52" s="26">
        <v>3.7162000000000001E-2</v>
      </c>
      <c r="B52" s="2">
        <v>0.1066</v>
      </c>
      <c r="C52" s="2" t="s">
        <v>5</v>
      </c>
      <c r="D52" s="2">
        <v>-1</v>
      </c>
      <c r="E52" s="2">
        <v>99.664000000000001</v>
      </c>
      <c r="F52" s="2">
        <v>51</v>
      </c>
      <c r="G52" s="2">
        <f t="shared" si="1"/>
        <v>-5.5999999999997385E-2</v>
      </c>
      <c r="H52" s="2">
        <f t="shared" si="2"/>
        <v>-0.5253283302063545</v>
      </c>
      <c r="I52" s="2">
        <f t="shared" si="3"/>
        <v>5.5999999999997385E-2</v>
      </c>
      <c r="J52" s="2">
        <f t="shared" si="0"/>
        <v>108.25547445255475</v>
      </c>
      <c r="K52" s="27">
        <f t="shared" si="4"/>
        <v>4.6844939379138379</v>
      </c>
    </row>
    <row r="53" spans="1:11" x14ac:dyDescent="0.3">
      <c r="A53" s="28">
        <v>3.7864000000000002E-2</v>
      </c>
      <c r="B53" s="3">
        <v>0.12909999999999999</v>
      </c>
      <c r="C53" s="3">
        <v>121</v>
      </c>
      <c r="D53" s="3">
        <v>-1</v>
      </c>
      <c r="E53" s="3">
        <v>99.608000000000004</v>
      </c>
      <c r="F53" s="2">
        <v>52</v>
      </c>
      <c r="G53" s="2">
        <f t="shared" si="1"/>
        <v>-8.5999999999998522E-2</v>
      </c>
      <c r="H53" s="2">
        <f t="shared" si="2"/>
        <v>-0.66615027110765701</v>
      </c>
      <c r="I53" s="2">
        <f t="shared" si="3"/>
        <v>8.5999999999998522E-2</v>
      </c>
      <c r="J53" s="2">
        <f t="shared" si="0"/>
        <v>121</v>
      </c>
      <c r="K53" s="27">
        <f t="shared" si="4"/>
        <v>4.7957905455967413</v>
      </c>
    </row>
    <row r="54" spans="1:11" x14ac:dyDescent="0.3">
      <c r="A54" s="26">
        <v>3.9134000000000002E-2</v>
      </c>
      <c r="B54" s="2">
        <v>0.1016</v>
      </c>
      <c r="C54" s="2" t="s">
        <v>5</v>
      </c>
      <c r="D54" s="2">
        <v>1</v>
      </c>
      <c r="E54" s="2">
        <v>99.522000000000006</v>
      </c>
      <c r="F54" s="3">
        <v>53</v>
      </c>
      <c r="G54" s="3">
        <f t="shared" si="1"/>
        <v>2.2999999999996135E-2</v>
      </c>
      <c r="H54" s="3">
        <f t="shared" si="2"/>
        <v>0.22637795275586747</v>
      </c>
      <c r="I54" s="3">
        <f t="shared" si="3"/>
        <v>2.2999999999996135E-2</v>
      </c>
      <c r="J54" s="3">
        <f t="shared" si="0"/>
        <v>108.25547445255475</v>
      </c>
      <c r="K54" s="29">
        <f t="shared" si="4"/>
        <v>4.6844939379138379</v>
      </c>
    </row>
    <row r="55" spans="1:11" x14ac:dyDescent="0.3">
      <c r="A55" s="28">
        <v>4.0188000000000001E-2</v>
      </c>
      <c r="B55" s="3">
        <v>9.3399999999999997E-2</v>
      </c>
      <c r="C55" s="3" t="s">
        <v>5</v>
      </c>
      <c r="D55" s="3">
        <v>-1</v>
      </c>
      <c r="E55" s="3">
        <v>99.545000000000002</v>
      </c>
      <c r="F55" s="2">
        <v>54</v>
      </c>
      <c r="G55" s="2">
        <f t="shared" si="1"/>
        <v>-4.6999999999997044E-2</v>
      </c>
      <c r="H55" s="2">
        <f t="shared" si="2"/>
        <v>-0.50321199143465789</v>
      </c>
      <c r="I55" s="2">
        <f t="shared" si="3"/>
        <v>4.6999999999997044E-2</v>
      </c>
      <c r="J55" s="2">
        <f t="shared" si="0"/>
        <v>108.25547445255475</v>
      </c>
      <c r="K55" s="27">
        <f t="shared" si="4"/>
        <v>4.6844939379138379</v>
      </c>
    </row>
    <row r="56" spans="1:11" x14ac:dyDescent="0.3">
      <c r="A56" s="26">
        <v>4.0583000000000001E-2</v>
      </c>
      <c r="B56" s="2">
        <v>0.1011</v>
      </c>
      <c r="C56" s="2" t="s">
        <v>5</v>
      </c>
      <c r="D56" s="2">
        <v>1</v>
      </c>
      <c r="E56" s="2">
        <v>99.498000000000005</v>
      </c>
      <c r="F56" s="3">
        <v>55</v>
      </c>
      <c r="G56" s="3">
        <f t="shared" si="1"/>
        <v>8.2999999999998408E-2</v>
      </c>
      <c r="H56" s="3">
        <f t="shared" si="2"/>
        <v>0.82096933728979637</v>
      </c>
      <c r="I56" s="3">
        <f t="shared" si="3"/>
        <v>8.2999999999998408E-2</v>
      </c>
      <c r="J56" s="3">
        <f t="shared" si="0"/>
        <v>108.25547445255475</v>
      </c>
      <c r="K56" s="29">
        <f t="shared" si="4"/>
        <v>4.6844939379138379</v>
      </c>
    </row>
    <row r="57" spans="1:11" x14ac:dyDescent="0.3">
      <c r="A57" s="28">
        <v>4.1223999999999997E-2</v>
      </c>
      <c r="B57" s="3">
        <v>0.10970000000000001</v>
      </c>
      <c r="C57" s="3" t="s">
        <v>5</v>
      </c>
      <c r="D57" s="3">
        <v>-1</v>
      </c>
      <c r="E57" s="3">
        <v>99.581000000000003</v>
      </c>
      <c r="F57" s="2">
        <v>56</v>
      </c>
      <c r="G57" s="2">
        <f t="shared" si="1"/>
        <v>-9.9000000000003752E-2</v>
      </c>
      <c r="H57" s="2">
        <f t="shared" si="2"/>
        <v>-0.90246125797633314</v>
      </c>
      <c r="I57" s="2">
        <f t="shared" si="3"/>
        <v>9.9000000000003752E-2</v>
      </c>
      <c r="J57" s="2">
        <f t="shared" si="0"/>
        <v>108.25547445255475</v>
      </c>
      <c r="K57" s="27">
        <f t="shared" si="4"/>
        <v>4.6844939379138379</v>
      </c>
    </row>
    <row r="58" spans="1:11" x14ac:dyDescent="0.3">
      <c r="A58" s="26">
        <v>4.1439999999999998E-2</v>
      </c>
      <c r="B58" s="2">
        <v>0.1022</v>
      </c>
      <c r="C58" s="2" t="s">
        <v>5</v>
      </c>
      <c r="D58" s="2">
        <v>-1</v>
      </c>
      <c r="E58" s="2">
        <v>99.481999999999999</v>
      </c>
      <c r="F58" s="3">
        <v>57</v>
      </c>
      <c r="G58" s="3">
        <f t="shared" si="1"/>
        <v>-7.5999999999993406E-2</v>
      </c>
      <c r="H58" s="3">
        <f t="shared" si="2"/>
        <v>-0.74363992172204896</v>
      </c>
      <c r="I58" s="3">
        <f t="shared" si="3"/>
        <v>7.5999999999993406E-2</v>
      </c>
      <c r="J58" s="3">
        <f t="shared" si="0"/>
        <v>108.25547445255475</v>
      </c>
      <c r="K58" s="29">
        <f t="shared" si="4"/>
        <v>4.6844939379138379</v>
      </c>
    </row>
    <row r="59" spans="1:11" x14ac:dyDescent="0.3">
      <c r="A59" s="28">
        <v>4.2000999999999997E-2</v>
      </c>
      <c r="B59" s="3">
        <v>0.1048</v>
      </c>
      <c r="C59" s="3" t="s">
        <v>5</v>
      </c>
      <c r="D59" s="3">
        <v>1</v>
      </c>
      <c r="E59" s="3">
        <v>99.406000000000006</v>
      </c>
      <c r="F59" s="2">
        <v>58</v>
      </c>
      <c r="G59" s="2">
        <f t="shared" si="1"/>
        <v>4.7999999999987608E-2</v>
      </c>
      <c r="H59" s="2">
        <f t="shared" si="2"/>
        <v>0.45801526717545427</v>
      </c>
      <c r="I59" s="2">
        <f t="shared" si="3"/>
        <v>4.7999999999987608E-2</v>
      </c>
      <c r="J59" s="2">
        <f t="shared" si="0"/>
        <v>108.25547445255475</v>
      </c>
      <c r="K59" s="27">
        <f t="shared" si="4"/>
        <v>4.6844939379138379</v>
      </c>
    </row>
    <row r="60" spans="1:11" x14ac:dyDescent="0.3">
      <c r="A60" s="26">
        <v>4.2847999999999997E-2</v>
      </c>
      <c r="B60" s="2">
        <v>0.1062</v>
      </c>
      <c r="C60" s="2" t="s">
        <v>5</v>
      </c>
      <c r="D60" s="2">
        <v>1</v>
      </c>
      <c r="E60" s="2">
        <v>99.453999999999994</v>
      </c>
      <c r="F60" s="3">
        <v>59</v>
      </c>
      <c r="G60" s="3">
        <f t="shared" si="1"/>
        <v>0.10700000000001353</v>
      </c>
      <c r="H60" s="3">
        <f t="shared" si="2"/>
        <v>1.0075329566856264</v>
      </c>
      <c r="I60" s="3">
        <f t="shared" si="3"/>
        <v>0.10700000000001353</v>
      </c>
      <c r="J60" s="3">
        <f t="shared" si="0"/>
        <v>108.25547445255475</v>
      </c>
      <c r="K60" s="29">
        <f t="shared" si="4"/>
        <v>4.6844939379138379</v>
      </c>
    </row>
    <row r="61" spans="1:11" x14ac:dyDescent="0.3">
      <c r="A61" s="28">
        <v>4.3621E-2</v>
      </c>
      <c r="B61" s="3">
        <v>8.6599999999999996E-2</v>
      </c>
      <c r="C61" s="3" t="s">
        <v>5</v>
      </c>
      <c r="D61" s="3">
        <v>-1</v>
      </c>
      <c r="E61" s="3">
        <v>99.561000000000007</v>
      </c>
      <c r="F61" s="2">
        <v>60</v>
      </c>
      <c r="G61" s="2">
        <f t="shared" si="1"/>
        <v>-0.16700000000000159</v>
      </c>
      <c r="H61" s="2">
        <f t="shared" si="2"/>
        <v>-1.9284064665127205</v>
      </c>
      <c r="I61" s="2">
        <f t="shared" si="3"/>
        <v>0.16700000000000159</v>
      </c>
      <c r="J61" s="2">
        <f t="shared" si="0"/>
        <v>108.25547445255475</v>
      </c>
      <c r="K61" s="27">
        <f t="shared" si="4"/>
        <v>4.6844939379138379</v>
      </c>
    </row>
    <row r="62" spans="1:11" x14ac:dyDescent="0.3">
      <c r="A62" s="26">
        <v>4.3695999999999999E-2</v>
      </c>
      <c r="B62" s="2">
        <v>0.1062</v>
      </c>
      <c r="C62" s="2" t="s">
        <v>5</v>
      </c>
      <c r="D62" s="2">
        <v>-1</v>
      </c>
      <c r="E62" s="2">
        <v>99.394000000000005</v>
      </c>
      <c r="F62" s="3">
        <v>61</v>
      </c>
      <c r="G62" s="3">
        <f t="shared" si="1"/>
        <v>-3.4000000000006025E-2</v>
      </c>
      <c r="H62" s="3">
        <f t="shared" si="2"/>
        <v>-0.32015065913376672</v>
      </c>
      <c r="I62" s="3">
        <f t="shared" si="3"/>
        <v>3.4000000000006025E-2</v>
      </c>
      <c r="J62" s="3">
        <f t="shared" si="0"/>
        <v>108.25547445255475</v>
      </c>
      <c r="K62" s="29">
        <f t="shared" si="4"/>
        <v>4.6844939379138379</v>
      </c>
    </row>
    <row r="63" spans="1:11" x14ac:dyDescent="0.3">
      <c r="A63" s="28">
        <v>4.4552000000000001E-2</v>
      </c>
      <c r="B63" s="3">
        <v>0.1053</v>
      </c>
      <c r="C63" s="3" t="s">
        <v>5</v>
      </c>
      <c r="D63" s="3">
        <v>-1</v>
      </c>
      <c r="E63" s="3">
        <v>99.36</v>
      </c>
      <c r="F63" s="2">
        <v>62</v>
      </c>
      <c r="G63" s="2">
        <f t="shared" si="1"/>
        <v>-6.4999999999997726E-2</v>
      </c>
      <c r="H63" s="2">
        <f t="shared" si="2"/>
        <v>-0.61728395061726238</v>
      </c>
      <c r="I63" s="2">
        <f t="shared" si="3"/>
        <v>6.4999999999997726E-2</v>
      </c>
      <c r="J63" s="2">
        <f t="shared" si="0"/>
        <v>108.25547445255475</v>
      </c>
      <c r="K63" s="27">
        <f t="shared" si="4"/>
        <v>4.6844939379138379</v>
      </c>
    </row>
    <row r="64" spans="1:11" x14ac:dyDescent="0.3">
      <c r="A64" s="26">
        <v>4.5837999999999997E-2</v>
      </c>
      <c r="B64" s="2">
        <v>9.98E-2</v>
      </c>
      <c r="C64" s="2" t="s">
        <v>5</v>
      </c>
      <c r="D64" s="2">
        <v>1</v>
      </c>
      <c r="E64" s="2">
        <v>99.295000000000002</v>
      </c>
      <c r="F64" s="3">
        <v>63</v>
      </c>
      <c r="G64" s="3">
        <f t="shared" si="1"/>
        <v>1.8999999999991246E-2</v>
      </c>
      <c r="H64" s="3">
        <f t="shared" si="2"/>
        <v>0.19038076152295838</v>
      </c>
      <c r="I64" s="3">
        <f t="shared" si="3"/>
        <v>1.8999999999991246E-2</v>
      </c>
      <c r="J64" s="3">
        <f t="shared" si="0"/>
        <v>108.25547445255475</v>
      </c>
      <c r="K64" s="29">
        <f t="shared" si="4"/>
        <v>4.6844939379138379</v>
      </c>
    </row>
    <row r="65" spans="1:11" x14ac:dyDescent="0.3">
      <c r="A65" s="28">
        <v>4.6005999999999998E-2</v>
      </c>
      <c r="B65" s="3">
        <v>8.9700000000000002E-2</v>
      </c>
      <c r="C65" s="3">
        <v>76</v>
      </c>
      <c r="D65" s="3">
        <v>-1</v>
      </c>
      <c r="E65" s="3">
        <v>99.313999999999993</v>
      </c>
      <c r="F65" s="2">
        <v>64</v>
      </c>
      <c r="G65" s="2">
        <f t="shared" si="1"/>
        <v>-5.6999999999987949E-2</v>
      </c>
      <c r="H65" s="2">
        <f t="shared" si="2"/>
        <v>-0.63545150501658809</v>
      </c>
      <c r="I65" s="2">
        <f t="shared" si="3"/>
        <v>5.6999999999987949E-2</v>
      </c>
      <c r="J65" s="2">
        <f t="shared" si="0"/>
        <v>76</v>
      </c>
      <c r="K65" s="27">
        <f t="shared" si="4"/>
        <v>4.3307333402863311</v>
      </c>
    </row>
    <row r="66" spans="1:11" x14ac:dyDescent="0.3">
      <c r="A66" s="26">
        <v>4.6102999999999998E-2</v>
      </c>
      <c r="B66" s="2">
        <v>9.7600000000000006E-2</v>
      </c>
      <c r="C66" s="2">
        <v>220</v>
      </c>
      <c r="D66" s="2">
        <v>-1</v>
      </c>
      <c r="E66" s="2">
        <v>99.257000000000005</v>
      </c>
      <c r="F66" s="3">
        <v>65</v>
      </c>
      <c r="G66" s="3">
        <f t="shared" si="1"/>
        <v>-0.13000000000000966</v>
      </c>
      <c r="H66" s="3">
        <f t="shared" si="2"/>
        <v>-1.331967213114853</v>
      </c>
      <c r="I66" s="3">
        <f t="shared" si="3"/>
        <v>0.13000000000000966</v>
      </c>
      <c r="J66" s="3">
        <f t="shared" ref="J66:J129" si="5">IF(C66="",$AA$1,C66)</f>
        <v>220</v>
      </c>
      <c r="K66" s="29">
        <f t="shared" si="4"/>
        <v>5.393627546352362</v>
      </c>
    </row>
    <row r="67" spans="1:11" x14ac:dyDescent="0.3">
      <c r="A67" s="28">
        <v>4.6115999999999997E-2</v>
      </c>
      <c r="B67" s="3">
        <v>0.1139</v>
      </c>
      <c r="C67" s="3" t="s">
        <v>5</v>
      </c>
      <c r="D67" s="3">
        <v>1</v>
      </c>
      <c r="E67" s="3">
        <v>99.126999999999995</v>
      </c>
      <c r="F67" s="2">
        <v>66</v>
      </c>
      <c r="G67" s="2">
        <f t="shared" ref="G67:G130" si="6">E68-E67</f>
        <v>6.6000000000002501E-2</v>
      </c>
      <c r="H67" s="2">
        <f t="shared" ref="H67:H130" si="7">IF(B67&lt;&gt;0,G67/B67,"")</f>
        <v>0.57945566286218175</v>
      </c>
      <c r="I67" s="2">
        <f t="shared" ref="I67:I130" si="8">D67*G67</f>
        <v>6.6000000000002501E-2</v>
      </c>
      <c r="J67" s="2">
        <f t="shared" si="5"/>
        <v>108.25547445255475</v>
      </c>
      <c r="K67" s="27">
        <f t="shared" ref="K67:K130" si="9">LN(J67)</f>
        <v>4.6844939379138379</v>
      </c>
    </row>
    <row r="68" spans="1:11" x14ac:dyDescent="0.3">
      <c r="A68" s="26">
        <v>4.7391999999999997E-2</v>
      </c>
      <c r="B68" s="2">
        <v>0.1095</v>
      </c>
      <c r="C68" s="2" t="s">
        <v>5</v>
      </c>
      <c r="D68" s="2">
        <v>1</v>
      </c>
      <c r="E68" s="2">
        <v>99.192999999999998</v>
      </c>
      <c r="F68" s="3">
        <v>67</v>
      </c>
      <c r="G68" s="3">
        <f t="shared" si="6"/>
        <v>6.3000000000002387E-2</v>
      </c>
      <c r="H68" s="3">
        <f t="shared" si="7"/>
        <v>0.5753424657534465</v>
      </c>
      <c r="I68" s="3">
        <f t="shared" si="8"/>
        <v>6.3000000000002387E-2</v>
      </c>
      <c r="J68" s="3">
        <f t="shared" si="5"/>
        <v>108.25547445255475</v>
      </c>
      <c r="K68" s="29">
        <f t="shared" si="9"/>
        <v>4.6844939379138379</v>
      </c>
    </row>
    <row r="69" spans="1:11" x14ac:dyDescent="0.3">
      <c r="A69" s="28">
        <v>4.7653000000000001E-2</v>
      </c>
      <c r="B69" s="3">
        <v>0.1036</v>
      </c>
      <c r="C69" s="3" t="s">
        <v>5</v>
      </c>
      <c r="D69" s="3">
        <v>-1</v>
      </c>
      <c r="E69" s="3">
        <v>99.256</v>
      </c>
      <c r="F69" s="2">
        <v>68</v>
      </c>
      <c r="G69" s="2">
        <f t="shared" si="6"/>
        <v>-0.13299999999999557</v>
      </c>
      <c r="H69" s="2">
        <f t="shared" si="7"/>
        <v>-1.2837837837837409</v>
      </c>
      <c r="I69" s="2">
        <f t="shared" si="8"/>
        <v>0.13299999999999557</v>
      </c>
      <c r="J69" s="2">
        <f t="shared" si="5"/>
        <v>108.25547445255475</v>
      </c>
      <c r="K69" s="27">
        <f t="shared" si="9"/>
        <v>4.6844939379138379</v>
      </c>
    </row>
    <row r="70" spans="1:11" x14ac:dyDescent="0.3">
      <c r="A70" s="26">
        <v>4.7858999999999999E-2</v>
      </c>
      <c r="B70" s="2">
        <v>9.8100000000000007E-2</v>
      </c>
      <c r="C70" s="2">
        <v>52</v>
      </c>
      <c r="D70" s="2">
        <v>1</v>
      </c>
      <c r="E70" s="2">
        <v>99.123000000000005</v>
      </c>
      <c r="F70" s="2">
        <v>69</v>
      </c>
      <c r="G70" s="2">
        <f t="shared" si="6"/>
        <v>5.5999999999997385E-2</v>
      </c>
      <c r="H70" s="2">
        <f t="shared" si="7"/>
        <v>0.57084607543320476</v>
      </c>
      <c r="I70" s="2">
        <f t="shared" si="8"/>
        <v>5.5999999999997385E-2</v>
      </c>
      <c r="J70" s="2">
        <f t="shared" si="5"/>
        <v>52</v>
      </c>
      <c r="K70" s="27">
        <f t="shared" si="9"/>
        <v>3.9512437185814275</v>
      </c>
    </row>
    <row r="71" spans="1:11" x14ac:dyDescent="0.3">
      <c r="A71" s="28">
        <v>4.8371999999999998E-2</v>
      </c>
      <c r="B71" s="3">
        <v>0.1207</v>
      </c>
      <c r="C71" s="3" t="s">
        <v>5</v>
      </c>
      <c r="D71" s="3">
        <v>1</v>
      </c>
      <c r="E71" s="3">
        <v>99.179000000000002</v>
      </c>
      <c r="F71" s="3">
        <v>70</v>
      </c>
      <c r="G71" s="3">
        <f t="shared" si="6"/>
        <v>5.2999999999997272E-2</v>
      </c>
      <c r="H71" s="3">
        <f t="shared" si="7"/>
        <v>0.43910521955258719</v>
      </c>
      <c r="I71" s="3">
        <f t="shared" si="8"/>
        <v>5.2999999999997272E-2</v>
      </c>
      <c r="J71" s="3">
        <f t="shared" si="5"/>
        <v>108.25547445255475</v>
      </c>
      <c r="K71" s="29">
        <f t="shared" si="9"/>
        <v>4.6844939379138379</v>
      </c>
    </row>
    <row r="72" spans="1:11" x14ac:dyDescent="0.3">
      <c r="A72" s="26">
        <v>4.9911999999999998E-2</v>
      </c>
      <c r="B72" s="2">
        <v>0.11020000000000001</v>
      </c>
      <c r="C72" s="2" t="s">
        <v>5</v>
      </c>
      <c r="D72" s="2">
        <v>-1</v>
      </c>
      <c r="E72" s="2">
        <v>99.231999999999999</v>
      </c>
      <c r="F72" s="2">
        <v>71</v>
      </c>
      <c r="G72" s="2">
        <f t="shared" si="6"/>
        <v>-6.6000000000002501E-2</v>
      </c>
      <c r="H72" s="2">
        <f t="shared" si="7"/>
        <v>-0.59891107078042194</v>
      </c>
      <c r="I72" s="2">
        <f t="shared" si="8"/>
        <v>6.6000000000002501E-2</v>
      </c>
      <c r="J72" s="2">
        <f t="shared" si="5"/>
        <v>108.25547445255475</v>
      </c>
      <c r="K72" s="27">
        <f t="shared" si="9"/>
        <v>4.6844939379138379</v>
      </c>
    </row>
    <row r="73" spans="1:11" x14ac:dyDescent="0.3">
      <c r="A73" s="28">
        <v>5.0377999999999999E-2</v>
      </c>
      <c r="B73" s="3">
        <v>9.2499999999999999E-2</v>
      </c>
      <c r="C73" s="3" t="s">
        <v>5</v>
      </c>
      <c r="D73" s="3">
        <v>-1</v>
      </c>
      <c r="E73" s="3">
        <v>99.165999999999997</v>
      </c>
      <c r="F73" s="3">
        <v>72</v>
      </c>
      <c r="G73" s="3">
        <f t="shared" si="6"/>
        <v>-8.4000000000003183E-2</v>
      </c>
      <c r="H73" s="3">
        <f t="shared" si="7"/>
        <v>-0.90810810810814258</v>
      </c>
      <c r="I73" s="3">
        <f t="shared" si="8"/>
        <v>8.4000000000003183E-2</v>
      </c>
      <c r="J73" s="3">
        <f t="shared" si="5"/>
        <v>108.25547445255475</v>
      </c>
      <c r="K73" s="29">
        <f t="shared" si="9"/>
        <v>4.6844939379138379</v>
      </c>
    </row>
    <row r="74" spans="1:11" x14ac:dyDescent="0.3">
      <c r="A74" s="26">
        <v>5.0679000000000002E-2</v>
      </c>
      <c r="B74" s="2">
        <v>0.1031</v>
      </c>
      <c r="C74" s="2" t="s">
        <v>5</v>
      </c>
      <c r="D74" s="2">
        <v>-1</v>
      </c>
      <c r="E74" s="2">
        <v>99.081999999999994</v>
      </c>
      <c r="F74" s="2">
        <v>73</v>
      </c>
      <c r="G74" s="2">
        <f t="shared" si="6"/>
        <v>1.1000000000009891E-2</v>
      </c>
      <c r="H74" s="2">
        <f t="shared" si="7"/>
        <v>0.10669253152288934</v>
      </c>
      <c r="I74" s="2">
        <f t="shared" si="8"/>
        <v>-1.1000000000009891E-2</v>
      </c>
      <c r="J74" s="2">
        <f t="shared" si="5"/>
        <v>108.25547445255475</v>
      </c>
      <c r="K74" s="27">
        <f t="shared" si="9"/>
        <v>4.6844939379138379</v>
      </c>
    </row>
    <row r="75" spans="1:11" x14ac:dyDescent="0.3">
      <c r="A75" s="28">
        <v>5.2415000000000003E-2</v>
      </c>
      <c r="B75" s="3">
        <v>9.9599999999999994E-2</v>
      </c>
      <c r="C75" s="3" t="s">
        <v>5</v>
      </c>
      <c r="D75" s="3">
        <v>-1</v>
      </c>
      <c r="E75" s="3">
        <v>99.093000000000004</v>
      </c>
      <c r="F75" s="3">
        <v>74</v>
      </c>
      <c r="G75" s="3">
        <f t="shared" si="6"/>
        <v>-6.0000000000002274E-2</v>
      </c>
      <c r="H75" s="3">
        <f t="shared" si="7"/>
        <v>-0.60240963855423968</v>
      </c>
      <c r="I75" s="3">
        <f t="shared" si="8"/>
        <v>6.0000000000002274E-2</v>
      </c>
      <c r="J75" s="3">
        <f t="shared" si="5"/>
        <v>108.25547445255475</v>
      </c>
      <c r="K75" s="29">
        <f t="shared" si="9"/>
        <v>4.6844939379138379</v>
      </c>
    </row>
    <row r="76" spans="1:11" x14ac:dyDescent="0.3">
      <c r="A76" s="26">
        <v>5.2683000000000001E-2</v>
      </c>
      <c r="B76" s="2">
        <v>9.2100000000000001E-2</v>
      </c>
      <c r="C76" s="2" t="s">
        <v>5</v>
      </c>
      <c r="D76" s="2">
        <v>-1</v>
      </c>
      <c r="E76" s="2">
        <v>99.033000000000001</v>
      </c>
      <c r="F76" s="2">
        <v>75</v>
      </c>
      <c r="G76" s="2">
        <f t="shared" si="6"/>
        <v>-5.8999999999997499E-2</v>
      </c>
      <c r="H76" s="2">
        <f t="shared" si="7"/>
        <v>-0.64060803474481542</v>
      </c>
      <c r="I76" s="2">
        <f t="shared" si="8"/>
        <v>5.8999999999997499E-2</v>
      </c>
      <c r="J76" s="2">
        <f t="shared" si="5"/>
        <v>108.25547445255475</v>
      </c>
      <c r="K76" s="27">
        <f t="shared" si="9"/>
        <v>4.6844939379138379</v>
      </c>
    </row>
    <row r="77" spans="1:11" x14ac:dyDescent="0.3">
      <c r="A77" s="28">
        <v>5.2704000000000001E-2</v>
      </c>
      <c r="B77" s="3">
        <v>0.10059999999999999</v>
      </c>
      <c r="C77" s="3" t="s">
        <v>5</v>
      </c>
      <c r="D77" s="3">
        <v>1</v>
      </c>
      <c r="E77" s="3">
        <v>98.974000000000004</v>
      </c>
      <c r="F77" s="3">
        <v>76</v>
      </c>
      <c r="G77" s="3">
        <f t="shared" si="6"/>
        <v>2.2999999999996135E-2</v>
      </c>
      <c r="H77" s="3">
        <f t="shared" si="7"/>
        <v>0.22862823061626378</v>
      </c>
      <c r="I77" s="3">
        <f t="shared" si="8"/>
        <v>2.2999999999996135E-2</v>
      </c>
      <c r="J77" s="3">
        <f t="shared" si="5"/>
        <v>108.25547445255475</v>
      </c>
      <c r="K77" s="29">
        <f t="shared" si="9"/>
        <v>4.6844939379138379</v>
      </c>
    </row>
    <row r="78" spans="1:11" x14ac:dyDescent="0.3">
      <c r="A78" s="26">
        <v>5.3578000000000001E-2</v>
      </c>
      <c r="B78" s="2">
        <v>9.9900000000000003E-2</v>
      </c>
      <c r="C78" s="2" t="s">
        <v>5</v>
      </c>
      <c r="D78" s="2">
        <v>-1</v>
      </c>
      <c r="E78" s="2">
        <v>98.997</v>
      </c>
      <c r="F78" s="2">
        <v>77</v>
      </c>
      <c r="G78" s="2">
        <f t="shared" si="6"/>
        <v>-0.132000000000005</v>
      </c>
      <c r="H78" s="2">
        <f t="shared" si="7"/>
        <v>-1.3213213213213713</v>
      </c>
      <c r="I78" s="2">
        <f t="shared" si="8"/>
        <v>0.132000000000005</v>
      </c>
      <c r="J78" s="2">
        <f t="shared" si="5"/>
        <v>108.25547445255475</v>
      </c>
      <c r="K78" s="27">
        <f t="shared" si="9"/>
        <v>4.6844939379138379</v>
      </c>
    </row>
    <row r="79" spans="1:11" x14ac:dyDescent="0.3">
      <c r="A79" s="28">
        <v>5.4302000000000003E-2</v>
      </c>
      <c r="B79" s="3">
        <v>0.1038</v>
      </c>
      <c r="C79" s="3" t="s">
        <v>5</v>
      </c>
      <c r="D79" s="3">
        <v>-1</v>
      </c>
      <c r="E79" s="3">
        <v>98.864999999999995</v>
      </c>
      <c r="F79" s="3">
        <v>78</v>
      </c>
      <c r="G79" s="3">
        <f t="shared" si="6"/>
        <v>-1.5000000000000568E-2</v>
      </c>
      <c r="H79" s="3">
        <f t="shared" si="7"/>
        <v>-0.14450867052023669</v>
      </c>
      <c r="I79" s="3">
        <f t="shared" si="8"/>
        <v>1.5000000000000568E-2</v>
      </c>
      <c r="J79" s="3">
        <f t="shared" si="5"/>
        <v>108.25547445255475</v>
      </c>
      <c r="K79" s="29">
        <f t="shared" si="9"/>
        <v>4.6844939379138379</v>
      </c>
    </row>
    <row r="80" spans="1:11" x14ac:dyDescent="0.3">
      <c r="A80" s="26">
        <v>5.4924000000000001E-2</v>
      </c>
      <c r="B80" s="2">
        <v>9.7299999999999998E-2</v>
      </c>
      <c r="C80" s="2" t="s">
        <v>5</v>
      </c>
      <c r="D80" s="2">
        <v>1</v>
      </c>
      <c r="E80" s="2">
        <v>98.85</v>
      </c>
      <c r="F80" s="2">
        <v>79</v>
      </c>
      <c r="G80" s="2">
        <f t="shared" si="6"/>
        <v>4.7000000000011255E-2</v>
      </c>
      <c r="H80" s="2">
        <f t="shared" si="7"/>
        <v>0.4830421377185124</v>
      </c>
      <c r="I80" s="2">
        <f t="shared" si="8"/>
        <v>4.7000000000011255E-2</v>
      </c>
      <c r="J80" s="2">
        <f t="shared" si="5"/>
        <v>108.25547445255475</v>
      </c>
      <c r="K80" s="27">
        <f t="shared" si="9"/>
        <v>4.6844939379138379</v>
      </c>
    </row>
    <row r="81" spans="1:11" x14ac:dyDescent="0.3">
      <c r="A81" s="28">
        <v>5.5109999999999999E-2</v>
      </c>
      <c r="B81" s="3">
        <v>9.5100000000000004E-2</v>
      </c>
      <c r="C81" s="3" t="s">
        <v>5</v>
      </c>
      <c r="D81" s="3">
        <v>1</v>
      </c>
      <c r="E81" s="3">
        <v>98.897000000000006</v>
      </c>
      <c r="F81" s="3">
        <v>80</v>
      </c>
      <c r="G81" s="3">
        <f t="shared" si="6"/>
        <v>7.4999999999988631E-2</v>
      </c>
      <c r="H81" s="3">
        <f t="shared" si="7"/>
        <v>0.7886435331229088</v>
      </c>
      <c r="I81" s="3">
        <f t="shared" si="8"/>
        <v>7.4999999999988631E-2</v>
      </c>
      <c r="J81" s="3">
        <f t="shared" si="5"/>
        <v>108.25547445255475</v>
      </c>
      <c r="K81" s="29">
        <f t="shared" si="9"/>
        <v>4.6844939379138379</v>
      </c>
    </row>
    <row r="82" spans="1:11" x14ac:dyDescent="0.3">
      <c r="A82" s="26">
        <v>5.6765999999999997E-2</v>
      </c>
      <c r="B82" s="2">
        <v>8.6699999999999999E-2</v>
      </c>
      <c r="C82" s="2" t="s">
        <v>5</v>
      </c>
      <c r="D82" s="2">
        <v>1</v>
      </c>
      <c r="E82" s="2">
        <v>98.971999999999994</v>
      </c>
      <c r="F82" s="2">
        <v>81</v>
      </c>
      <c r="G82" s="2">
        <f t="shared" si="6"/>
        <v>9.4999999999998863E-2</v>
      </c>
      <c r="H82" s="2">
        <f t="shared" si="7"/>
        <v>1.0957324106112902</v>
      </c>
      <c r="I82" s="2">
        <f t="shared" si="8"/>
        <v>9.4999999999998863E-2</v>
      </c>
      <c r="J82" s="2">
        <f t="shared" si="5"/>
        <v>108.25547445255475</v>
      </c>
      <c r="K82" s="27">
        <f t="shared" si="9"/>
        <v>4.6844939379138379</v>
      </c>
    </row>
    <row r="83" spans="1:11" x14ac:dyDescent="0.3">
      <c r="A83" s="28">
        <v>5.6883999999999997E-2</v>
      </c>
      <c r="B83" s="3">
        <v>0.1033</v>
      </c>
      <c r="C83" s="3" t="s">
        <v>5</v>
      </c>
      <c r="D83" s="3">
        <v>-1</v>
      </c>
      <c r="E83" s="3">
        <v>99.066999999999993</v>
      </c>
      <c r="F83" s="3">
        <v>82</v>
      </c>
      <c r="G83" s="3">
        <f t="shared" si="6"/>
        <v>-2.4999999999991473E-2</v>
      </c>
      <c r="H83" s="3">
        <f t="shared" si="7"/>
        <v>-0.24201355275887196</v>
      </c>
      <c r="I83" s="3">
        <f t="shared" si="8"/>
        <v>2.4999999999991473E-2</v>
      </c>
      <c r="J83" s="3">
        <f t="shared" si="5"/>
        <v>108.25547445255475</v>
      </c>
      <c r="K83" s="29">
        <f t="shared" si="9"/>
        <v>4.6844939379138379</v>
      </c>
    </row>
    <row r="84" spans="1:11" x14ac:dyDescent="0.3">
      <c r="A84" s="26">
        <v>5.6993000000000002E-2</v>
      </c>
      <c r="B84" s="2">
        <v>9.2499999999999999E-2</v>
      </c>
      <c r="C84" s="2" t="s">
        <v>5</v>
      </c>
      <c r="D84" s="2">
        <v>-1</v>
      </c>
      <c r="E84" s="2">
        <v>99.042000000000002</v>
      </c>
      <c r="F84" s="2">
        <v>83</v>
      </c>
      <c r="G84" s="2">
        <f t="shared" si="6"/>
        <v>-1.2000000000000455E-2</v>
      </c>
      <c r="H84" s="2">
        <f t="shared" si="7"/>
        <v>-0.12972972972973465</v>
      </c>
      <c r="I84" s="2">
        <f t="shared" si="8"/>
        <v>1.2000000000000455E-2</v>
      </c>
      <c r="J84" s="2">
        <f t="shared" si="5"/>
        <v>108.25547445255475</v>
      </c>
      <c r="K84" s="27">
        <f t="shared" si="9"/>
        <v>4.6844939379138379</v>
      </c>
    </row>
    <row r="85" spans="1:11" x14ac:dyDescent="0.3">
      <c r="A85" s="28">
        <v>5.7201000000000002E-2</v>
      </c>
      <c r="B85" s="3">
        <v>9.4200000000000006E-2</v>
      </c>
      <c r="C85" s="3" t="s">
        <v>5</v>
      </c>
      <c r="D85" s="3">
        <v>-1</v>
      </c>
      <c r="E85" s="3">
        <v>99.03</v>
      </c>
      <c r="F85" s="3">
        <v>84</v>
      </c>
      <c r="G85" s="3">
        <f t="shared" si="6"/>
        <v>-1.099999999999568E-2</v>
      </c>
      <c r="H85" s="3">
        <f t="shared" si="7"/>
        <v>-0.11677282377914734</v>
      </c>
      <c r="I85" s="3">
        <f t="shared" si="8"/>
        <v>1.099999999999568E-2</v>
      </c>
      <c r="J85" s="3">
        <f t="shared" si="5"/>
        <v>108.25547445255475</v>
      </c>
      <c r="K85" s="29">
        <f t="shared" si="9"/>
        <v>4.6844939379138379</v>
      </c>
    </row>
    <row r="86" spans="1:11" x14ac:dyDescent="0.3">
      <c r="A86" s="26">
        <v>5.8495999999999999E-2</v>
      </c>
      <c r="B86" s="2">
        <v>0.12330000000000001</v>
      </c>
      <c r="C86" s="2" t="s">
        <v>5</v>
      </c>
      <c r="D86" s="2">
        <v>1</v>
      </c>
      <c r="E86" s="2">
        <v>99.019000000000005</v>
      </c>
      <c r="F86" s="2">
        <v>85</v>
      </c>
      <c r="G86" s="2">
        <f t="shared" si="6"/>
        <v>0.14099999999999113</v>
      </c>
      <c r="H86" s="2">
        <f t="shared" si="7"/>
        <v>1.1435523114354511</v>
      </c>
      <c r="I86" s="2">
        <f t="shared" si="8"/>
        <v>0.14099999999999113</v>
      </c>
      <c r="J86" s="2">
        <f t="shared" si="5"/>
        <v>108.25547445255475</v>
      </c>
      <c r="K86" s="27">
        <f t="shared" si="9"/>
        <v>4.6844939379138379</v>
      </c>
    </row>
    <row r="87" spans="1:11" x14ac:dyDescent="0.3">
      <c r="A87" s="28">
        <v>5.9013999999999997E-2</v>
      </c>
      <c r="B87" s="3">
        <v>9.0800000000000006E-2</v>
      </c>
      <c r="C87" s="3">
        <v>225</v>
      </c>
      <c r="D87" s="3">
        <v>1</v>
      </c>
      <c r="E87" s="3">
        <v>99.16</v>
      </c>
      <c r="F87" s="2">
        <v>86</v>
      </c>
      <c r="G87" s="2">
        <f t="shared" si="6"/>
        <v>0.10500000000000398</v>
      </c>
      <c r="H87" s="2">
        <f t="shared" si="7"/>
        <v>1.1563876651982816</v>
      </c>
      <c r="I87" s="2">
        <f t="shared" si="8"/>
        <v>0.10500000000000398</v>
      </c>
      <c r="J87" s="2">
        <f t="shared" si="5"/>
        <v>225</v>
      </c>
      <c r="K87" s="27">
        <f t="shared" si="9"/>
        <v>5.4161004022044201</v>
      </c>
    </row>
    <row r="88" spans="1:11" x14ac:dyDescent="0.3">
      <c r="A88" s="26">
        <v>5.9219000000000001E-2</v>
      </c>
      <c r="B88" s="2">
        <v>0.1033</v>
      </c>
      <c r="C88" s="2">
        <v>68</v>
      </c>
      <c r="D88" s="2">
        <v>1</v>
      </c>
      <c r="E88" s="2">
        <v>99.265000000000001</v>
      </c>
      <c r="F88" s="3">
        <v>87</v>
      </c>
      <c r="G88" s="3">
        <f t="shared" si="6"/>
        <v>5.4000000000002046E-2</v>
      </c>
      <c r="H88" s="3">
        <f t="shared" si="7"/>
        <v>0.52274927395936155</v>
      </c>
      <c r="I88" s="3">
        <f t="shared" si="8"/>
        <v>5.4000000000002046E-2</v>
      </c>
      <c r="J88" s="3">
        <f t="shared" si="5"/>
        <v>68</v>
      </c>
      <c r="K88" s="29">
        <f t="shared" si="9"/>
        <v>4.219507705176107</v>
      </c>
    </row>
    <row r="89" spans="1:11" x14ac:dyDescent="0.3">
      <c r="A89" s="28">
        <v>5.9461E-2</v>
      </c>
      <c r="B89" s="3">
        <v>0.1002</v>
      </c>
      <c r="C89" s="3" t="s">
        <v>5</v>
      </c>
      <c r="D89" s="3">
        <v>-1</v>
      </c>
      <c r="E89" s="3">
        <v>99.319000000000003</v>
      </c>
      <c r="F89" s="2">
        <v>88</v>
      </c>
      <c r="G89" s="2">
        <f t="shared" si="6"/>
        <v>-2.7000000000001023E-2</v>
      </c>
      <c r="H89" s="2">
        <f t="shared" si="7"/>
        <v>-0.26946107784432161</v>
      </c>
      <c r="I89" s="2">
        <f t="shared" si="8"/>
        <v>2.7000000000001023E-2</v>
      </c>
      <c r="J89" s="2">
        <f t="shared" si="5"/>
        <v>108.25547445255475</v>
      </c>
      <c r="K89" s="27">
        <f t="shared" si="9"/>
        <v>4.6844939379138379</v>
      </c>
    </row>
    <row r="90" spans="1:11" x14ac:dyDescent="0.3">
      <c r="A90" s="26">
        <v>5.9624999999999997E-2</v>
      </c>
      <c r="B90" s="2">
        <v>8.7999999999999995E-2</v>
      </c>
      <c r="C90" s="2" t="s">
        <v>5</v>
      </c>
      <c r="D90" s="2">
        <v>1</v>
      </c>
      <c r="E90" s="2">
        <v>99.292000000000002</v>
      </c>
      <c r="F90" s="3">
        <v>89</v>
      </c>
      <c r="G90" s="3">
        <f t="shared" si="6"/>
        <v>1.3999999999995794E-2</v>
      </c>
      <c r="H90" s="3">
        <f t="shared" si="7"/>
        <v>0.15909090909086129</v>
      </c>
      <c r="I90" s="3">
        <f t="shared" si="8"/>
        <v>1.3999999999995794E-2</v>
      </c>
      <c r="J90" s="3">
        <f t="shared" si="5"/>
        <v>108.25547445255475</v>
      </c>
      <c r="K90" s="29">
        <f t="shared" si="9"/>
        <v>4.6844939379138379</v>
      </c>
    </row>
    <row r="91" spans="1:11" x14ac:dyDescent="0.3">
      <c r="A91" s="28">
        <v>6.0336000000000001E-2</v>
      </c>
      <c r="B91" s="3">
        <v>9.4E-2</v>
      </c>
      <c r="C91" s="3" t="s">
        <v>5</v>
      </c>
      <c r="D91" s="3">
        <v>-1</v>
      </c>
      <c r="E91" s="3">
        <v>99.305999999999997</v>
      </c>
      <c r="F91" s="2">
        <v>90</v>
      </c>
      <c r="G91" s="2">
        <f t="shared" si="6"/>
        <v>-6.3000000000002387E-2</v>
      </c>
      <c r="H91" s="2">
        <f t="shared" si="7"/>
        <v>-0.67021276595747226</v>
      </c>
      <c r="I91" s="2">
        <f t="shared" si="8"/>
        <v>6.3000000000002387E-2</v>
      </c>
      <c r="J91" s="2">
        <f t="shared" si="5"/>
        <v>108.25547445255475</v>
      </c>
      <c r="K91" s="27">
        <f t="shared" si="9"/>
        <v>4.6844939379138379</v>
      </c>
    </row>
    <row r="92" spans="1:11" x14ac:dyDescent="0.3">
      <c r="A92" s="26">
        <v>6.0511000000000002E-2</v>
      </c>
      <c r="B92" s="2">
        <v>9.6299999999999997E-2</v>
      </c>
      <c r="C92" s="2">
        <v>55</v>
      </c>
      <c r="D92" s="2">
        <v>-1</v>
      </c>
      <c r="E92" s="2">
        <v>99.242999999999995</v>
      </c>
      <c r="F92" s="3">
        <v>91</v>
      </c>
      <c r="G92" s="3">
        <f t="shared" si="6"/>
        <v>-5.6999999999987949E-2</v>
      </c>
      <c r="H92" s="3">
        <f t="shared" si="7"/>
        <v>-0.59190031152635458</v>
      </c>
      <c r="I92" s="3">
        <f t="shared" si="8"/>
        <v>5.6999999999987949E-2</v>
      </c>
      <c r="J92" s="3">
        <f t="shared" si="5"/>
        <v>55</v>
      </c>
      <c r="K92" s="29">
        <f t="shared" si="9"/>
        <v>4.0073331852324712</v>
      </c>
    </row>
    <row r="93" spans="1:11" x14ac:dyDescent="0.3">
      <c r="A93" s="28">
        <v>6.0520999999999998E-2</v>
      </c>
      <c r="B93" s="3">
        <v>0.10009999999999999</v>
      </c>
      <c r="C93" s="3">
        <v>261</v>
      </c>
      <c r="D93" s="3">
        <v>1</v>
      </c>
      <c r="E93" s="3">
        <v>99.186000000000007</v>
      </c>
      <c r="F93" s="2">
        <v>92</v>
      </c>
      <c r="G93" s="2">
        <f t="shared" si="6"/>
        <v>0.13599999999999568</v>
      </c>
      <c r="H93" s="2">
        <f t="shared" si="7"/>
        <v>1.3586413586413155</v>
      </c>
      <c r="I93" s="2">
        <f t="shared" si="8"/>
        <v>0.13599999999999568</v>
      </c>
      <c r="J93" s="2">
        <f t="shared" si="5"/>
        <v>261</v>
      </c>
      <c r="K93" s="27">
        <f t="shared" si="9"/>
        <v>5.5645204073226937</v>
      </c>
    </row>
    <row r="94" spans="1:11" x14ac:dyDescent="0.3">
      <c r="A94" s="26">
        <v>6.0972999999999999E-2</v>
      </c>
      <c r="B94" s="2">
        <v>0.11119999999999999</v>
      </c>
      <c r="C94" s="2" t="s">
        <v>5</v>
      </c>
      <c r="D94" s="2">
        <v>-1</v>
      </c>
      <c r="E94" s="2">
        <v>99.322000000000003</v>
      </c>
      <c r="F94" s="3">
        <v>93</v>
      </c>
      <c r="G94" s="3">
        <f t="shared" si="6"/>
        <v>-0.1629999999999967</v>
      </c>
      <c r="H94" s="3">
        <f t="shared" si="7"/>
        <v>-1.4658273381294669</v>
      </c>
      <c r="I94" s="3">
        <f t="shared" si="8"/>
        <v>0.1629999999999967</v>
      </c>
      <c r="J94" s="3">
        <f t="shared" si="5"/>
        <v>108.25547445255475</v>
      </c>
      <c r="K94" s="29">
        <f t="shared" si="9"/>
        <v>4.6844939379138379</v>
      </c>
    </row>
    <row r="95" spans="1:11" x14ac:dyDescent="0.3">
      <c r="A95" s="28">
        <v>6.1110999999999999E-2</v>
      </c>
      <c r="B95" s="3">
        <v>8.1100000000000005E-2</v>
      </c>
      <c r="C95" s="3" t="s">
        <v>5</v>
      </c>
      <c r="D95" s="3">
        <v>1</v>
      </c>
      <c r="E95" s="3">
        <v>99.159000000000006</v>
      </c>
      <c r="F95" s="2">
        <v>94</v>
      </c>
      <c r="G95" s="2">
        <f t="shared" si="6"/>
        <v>7.3999999999998067E-2</v>
      </c>
      <c r="H95" s="2">
        <f t="shared" si="7"/>
        <v>0.91245376078912532</v>
      </c>
      <c r="I95" s="2">
        <f t="shared" si="8"/>
        <v>7.3999999999998067E-2</v>
      </c>
      <c r="J95" s="2">
        <f t="shared" si="5"/>
        <v>108.25547445255475</v>
      </c>
      <c r="K95" s="27">
        <f t="shared" si="9"/>
        <v>4.6844939379138379</v>
      </c>
    </row>
    <row r="96" spans="1:11" x14ac:dyDescent="0.3">
      <c r="A96" s="26">
        <v>6.2080000000000003E-2</v>
      </c>
      <c r="B96" s="2">
        <v>0.10589999999999999</v>
      </c>
      <c r="C96" s="2" t="s">
        <v>5</v>
      </c>
      <c r="D96" s="2">
        <v>1</v>
      </c>
      <c r="E96" s="2">
        <v>99.233000000000004</v>
      </c>
      <c r="F96" s="3">
        <v>95</v>
      </c>
      <c r="G96" s="3">
        <f t="shared" si="6"/>
        <v>3.0999999999991701E-2</v>
      </c>
      <c r="H96" s="3">
        <f t="shared" si="7"/>
        <v>0.29272898961276395</v>
      </c>
      <c r="I96" s="3">
        <f t="shared" si="8"/>
        <v>3.0999999999991701E-2</v>
      </c>
      <c r="J96" s="3">
        <f t="shared" si="5"/>
        <v>108.25547445255475</v>
      </c>
      <c r="K96" s="29">
        <f t="shared" si="9"/>
        <v>4.6844939379138379</v>
      </c>
    </row>
    <row r="97" spans="1:11" x14ac:dyDescent="0.3">
      <c r="A97" s="28">
        <v>6.3732999999999998E-2</v>
      </c>
      <c r="B97" s="3">
        <v>9.4500000000000001E-2</v>
      </c>
      <c r="C97" s="3" t="s">
        <v>5</v>
      </c>
      <c r="D97" s="3">
        <v>1</v>
      </c>
      <c r="E97" s="3">
        <v>99.263999999999996</v>
      </c>
      <c r="F97" s="2">
        <v>96</v>
      </c>
      <c r="G97" s="2">
        <f t="shared" si="6"/>
        <v>6.3000000000002387E-2</v>
      </c>
      <c r="H97" s="2">
        <f t="shared" si="7"/>
        <v>0.66666666666669194</v>
      </c>
      <c r="I97" s="2">
        <f t="shared" si="8"/>
        <v>6.3000000000002387E-2</v>
      </c>
      <c r="J97" s="2">
        <f t="shared" si="5"/>
        <v>108.25547445255475</v>
      </c>
      <c r="K97" s="27">
        <f t="shared" si="9"/>
        <v>4.6844939379138379</v>
      </c>
    </row>
    <row r="98" spans="1:11" x14ac:dyDescent="0.3">
      <c r="A98" s="26">
        <v>6.3756999999999994E-2</v>
      </c>
      <c r="B98" s="2">
        <v>0.1108</v>
      </c>
      <c r="C98" s="2" t="s">
        <v>5</v>
      </c>
      <c r="D98" s="2">
        <v>-1</v>
      </c>
      <c r="E98" s="2">
        <v>99.326999999999998</v>
      </c>
      <c r="F98" s="3">
        <v>97</v>
      </c>
      <c r="G98" s="3">
        <f t="shared" si="6"/>
        <v>-6.3000000000002387E-2</v>
      </c>
      <c r="H98" s="3">
        <f t="shared" si="7"/>
        <v>-0.56859205776175437</v>
      </c>
      <c r="I98" s="3">
        <f t="shared" si="8"/>
        <v>6.3000000000002387E-2</v>
      </c>
      <c r="J98" s="3">
        <f t="shared" si="5"/>
        <v>108.25547445255475</v>
      </c>
      <c r="K98" s="29">
        <f t="shared" si="9"/>
        <v>4.6844939379138379</v>
      </c>
    </row>
    <row r="99" spans="1:11" x14ac:dyDescent="0.3">
      <c r="A99" s="28">
        <v>6.3981999999999997E-2</v>
      </c>
      <c r="B99" s="3">
        <v>8.8400000000000006E-2</v>
      </c>
      <c r="C99" s="3" t="s">
        <v>5</v>
      </c>
      <c r="D99" s="3">
        <v>1</v>
      </c>
      <c r="E99" s="3">
        <v>99.263999999999996</v>
      </c>
      <c r="F99" s="2">
        <v>98</v>
      </c>
      <c r="G99" s="2">
        <f t="shared" si="6"/>
        <v>1.300000000000523E-2</v>
      </c>
      <c r="H99" s="2">
        <f t="shared" si="7"/>
        <v>0.14705882352947092</v>
      </c>
      <c r="I99" s="2">
        <f t="shared" si="8"/>
        <v>1.300000000000523E-2</v>
      </c>
      <c r="J99" s="2">
        <f t="shared" si="5"/>
        <v>108.25547445255475</v>
      </c>
      <c r="K99" s="27">
        <f t="shared" si="9"/>
        <v>4.6844939379138379</v>
      </c>
    </row>
    <row r="100" spans="1:11" x14ac:dyDescent="0.3">
      <c r="A100" s="26">
        <v>6.3987000000000002E-2</v>
      </c>
      <c r="B100" s="2">
        <v>9.4700000000000006E-2</v>
      </c>
      <c r="C100" s="2" t="s">
        <v>5</v>
      </c>
      <c r="D100" s="2">
        <v>1</v>
      </c>
      <c r="E100" s="2">
        <v>99.277000000000001</v>
      </c>
      <c r="F100" s="3">
        <v>99</v>
      </c>
      <c r="G100" s="3">
        <f t="shared" si="6"/>
        <v>0.117999999999995</v>
      </c>
      <c r="H100" s="3">
        <f t="shared" si="7"/>
        <v>1.2460401267158923</v>
      </c>
      <c r="I100" s="3">
        <f t="shared" si="8"/>
        <v>0.117999999999995</v>
      </c>
      <c r="J100" s="3">
        <f t="shared" si="5"/>
        <v>108.25547445255475</v>
      </c>
      <c r="K100" s="29">
        <f t="shared" si="9"/>
        <v>4.6844939379138379</v>
      </c>
    </row>
    <row r="101" spans="1:11" x14ac:dyDescent="0.3">
      <c r="A101" s="28">
        <v>6.4786999999999997E-2</v>
      </c>
      <c r="B101" s="3">
        <v>8.7400000000000005E-2</v>
      </c>
      <c r="C101" s="3" t="s">
        <v>5</v>
      </c>
      <c r="D101" s="3">
        <v>-1</v>
      </c>
      <c r="E101" s="3">
        <v>99.394999999999996</v>
      </c>
      <c r="F101" s="2">
        <v>100</v>
      </c>
      <c r="G101" s="2">
        <f t="shared" si="6"/>
        <v>-2.7000000000001023E-2</v>
      </c>
      <c r="H101" s="2">
        <f t="shared" si="7"/>
        <v>-0.30892448512586979</v>
      </c>
      <c r="I101" s="2">
        <f t="shared" si="8"/>
        <v>2.7000000000001023E-2</v>
      </c>
      <c r="J101" s="2">
        <f t="shared" si="5"/>
        <v>108.25547445255475</v>
      </c>
      <c r="K101" s="27">
        <f t="shared" si="9"/>
        <v>4.6844939379138379</v>
      </c>
    </row>
    <row r="102" spans="1:11" x14ac:dyDescent="0.3">
      <c r="A102" s="26">
        <v>6.5159999999999996E-2</v>
      </c>
      <c r="B102" s="2">
        <v>0.10589999999999999</v>
      </c>
      <c r="C102" s="2" t="s">
        <v>5</v>
      </c>
      <c r="D102" s="2">
        <v>1</v>
      </c>
      <c r="E102" s="2">
        <v>99.367999999999995</v>
      </c>
      <c r="F102" s="3">
        <v>101</v>
      </c>
      <c r="G102" s="3">
        <f t="shared" si="6"/>
        <v>9.7999999999998977E-2</v>
      </c>
      <c r="H102" s="3">
        <f t="shared" si="7"/>
        <v>0.92540132200187897</v>
      </c>
      <c r="I102" s="3">
        <f t="shared" si="8"/>
        <v>9.7999999999998977E-2</v>
      </c>
      <c r="J102" s="3">
        <f t="shared" si="5"/>
        <v>108.25547445255475</v>
      </c>
      <c r="K102" s="29">
        <f t="shared" si="9"/>
        <v>4.6844939379138379</v>
      </c>
    </row>
    <row r="103" spans="1:11" x14ac:dyDescent="0.3">
      <c r="A103" s="28">
        <v>6.5263000000000002E-2</v>
      </c>
      <c r="B103" s="3">
        <v>9.7199999999999995E-2</v>
      </c>
      <c r="C103" s="3" t="s">
        <v>5</v>
      </c>
      <c r="D103" s="3">
        <v>-1</v>
      </c>
      <c r="E103" s="3">
        <v>99.465999999999994</v>
      </c>
      <c r="F103" s="2">
        <v>102</v>
      </c>
      <c r="G103" s="2">
        <f t="shared" si="6"/>
        <v>-2.1000000000000796E-2</v>
      </c>
      <c r="H103" s="2">
        <f t="shared" si="7"/>
        <v>-0.21604938271605759</v>
      </c>
      <c r="I103" s="2">
        <f t="shared" si="8"/>
        <v>2.1000000000000796E-2</v>
      </c>
      <c r="J103" s="2">
        <f t="shared" si="5"/>
        <v>108.25547445255475</v>
      </c>
      <c r="K103" s="27">
        <f t="shared" si="9"/>
        <v>4.6844939379138379</v>
      </c>
    </row>
    <row r="104" spans="1:11" x14ac:dyDescent="0.3">
      <c r="A104" s="26">
        <v>6.5306000000000003E-2</v>
      </c>
      <c r="B104" s="2">
        <v>7.3899999999999993E-2</v>
      </c>
      <c r="C104" s="2" t="s">
        <v>5</v>
      </c>
      <c r="D104" s="2">
        <v>1</v>
      </c>
      <c r="E104" s="2">
        <v>99.444999999999993</v>
      </c>
      <c r="F104" s="2">
        <v>103</v>
      </c>
      <c r="G104" s="2">
        <f t="shared" si="6"/>
        <v>5.2000000000006708E-2</v>
      </c>
      <c r="H104" s="2">
        <f t="shared" si="7"/>
        <v>0.7036535859270191</v>
      </c>
      <c r="I104" s="2">
        <f t="shared" si="8"/>
        <v>5.2000000000006708E-2</v>
      </c>
      <c r="J104" s="2">
        <f t="shared" si="5"/>
        <v>108.25547445255475</v>
      </c>
      <c r="K104" s="27">
        <f t="shared" si="9"/>
        <v>4.6844939379138379</v>
      </c>
    </row>
    <row r="105" spans="1:11" x14ac:dyDescent="0.3">
      <c r="A105" s="28">
        <v>6.6075999999999996E-2</v>
      </c>
      <c r="B105" s="3">
        <v>8.3900000000000002E-2</v>
      </c>
      <c r="C105" s="3" t="s">
        <v>5</v>
      </c>
      <c r="D105" s="3">
        <v>1</v>
      </c>
      <c r="E105" s="3">
        <v>99.497</v>
      </c>
      <c r="F105" s="3">
        <v>104</v>
      </c>
      <c r="G105" s="3">
        <f t="shared" si="6"/>
        <v>4.600000000000648E-2</v>
      </c>
      <c r="H105" s="3">
        <f t="shared" si="7"/>
        <v>0.54827175208589363</v>
      </c>
      <c r="I105" s="3">
        <f t="shared" si="8"/>
        <v>4.600000000000648E-2</v>
      </c>
      <c r="J105" s="3">
        <f t="shared" si="5"/>
        <v>108.25547445255475</v>
      </c>
      <c r="K105" s="29">
        <f t="shared" si="9"/>
        <v>4.6844939379138379</v>
      </c>
    </row>
    <row r="106" spans="1:11" x14ac:dyDescent="0.3">
      <c r="A106" s="26">
        <v>6.6809999999999994E-2</v>
      </c>
      <c r="B106" s="2">
        <v>0.1142</v>
      </c>
      <c r="C106" s="2" t="s">
        <v>5</v>
      </c>
      <c r="D106" s="2">
        <v>-1</v>
      </c>
      <c r="E106" s="2">
        <v>99.543000000000006</v>
      </c>
      <c r="F106" s="2">
        <v>105</v>
      </c>
      <c r="G106" s="2">
        <f t="shared" si="6"/>
        <v>-6.2000000000011823E-2</v>
      </c>
      <c r="H106" s="2">
        <f t="shared" si="7"/>
        <v>-0.54290718038539254</v>
      </c>
      <c r="I106" s="2">
        <f t="shared" si="8"/>
        <v>6.2000000000011823E-2</v>
      </c>
      <c r="J106" s="2">
        <f t="shared" si="5"/>
        <v>108.25547445255475</v>
      </c>
      <c r="K106" s="27">
        <f t="shared" si="9"/>
        <v>4.6844939379138379</v>
      </c>
    </row>
    <row r="107" spans="1:11" x14ac:dyDescent="0.3">
      <c r="A107" s="28">
        <v>6.7424999999999999E-2</v>
      </c>
      <c r="B107" s="3">
        <v>0.1061</v>
      </c>
      <c r="C107" s="3" t="s">
        <v>5</v>
      </c>
      <c r="D107" s="3">
        <v>-1</v>
      </c>
      <c r="E107" s="3">
        <v>99.480999999999995</v>
      </c>
      <c r="F107" s="3">
        <v>106</v>
      </c>
      <c r="G107" s="3">
        <f t="shared" si="6"/>
        <v>-7.2999999999993292E-2</v>
      </c>
      <c r="H107" s="3">
        <f t="shared" si="7"/>
        <v>-0.6880301602261385</v>
      </c>
      <c r="I107" s="3">
        <f t="shared" si="8"/>
        <v>7.2999999999993292E-2</v>
      </c>
      <c r="J107" s="3">
        <f t="shared" si="5"/>
        <v>108.25547445255475</v>
      </c>
      <c r="K107" s="29">
        <f t="shared" si="9"/>
        <v>4.6844939379138379</v>
      </c>
    </row>
    <row r="108" spans="1:11" x14ac:dyDescent="0.3">
      <c r="A108" s="26">
        <v>6.8168999999999993E-2</v>
      </c>
      <c r="B108" s="2">
        <v>9.2899999999999996E-2</v>
      </c>
      <c r="C108" s="2" t="s">
        <v>5</v>
      </c>
      <c r="D108" s="2">
        <v>1</v>
      </c>
      <c r="E108" s="2">
        <v>99.408000000000001</v>
      </c>
      <c r="F108" s="2">
        <v>107</v>
      </c>
      <c r="G108" s="2">
        <f t="shared" si="6"/>
        <v>5.7999999999992724E-2</v>
      </c>
      <c r="H108" s="2">
        <f t="shared" si="7"/>
        <v>0.62432723358442122</v>
      </c>
      <c r="I108" s="2">
        <f t="shared" si="8"/>
        <v>5.7999999999992724E-2</v>
      </c>
      <c r="J108" s="2">
        <f t="shared" si="5"/>
        <v>108.25547445255475</v>
      </c>
      <c r="K108" s="27">
        <f t="shared" si="9"/>
        <v>4.6844939379138379</v>
      </c>
    </row>
    <row r="109" spans="1:11" x14ac:dyDescent="0.3">
      <c r="A109" s="28">
        <v>6.8749000000000005E-2</v>
      </c>
      <c r="B109" s="3">
        <v>0.10009999999999999</v>
      </c>
      <c r="C109" s="3" t="s">
        <v>5</v>
      </c>
      <c r="D109" s="3">
        <v>1</v>
      </c>
      <c r="E109" s="3">
        <v>99.465999999999994</v>
      </c>
      <c r="F109" s="3">
        <v>108</v>
      </c>
      <c r="G109" s="3">
        <f t="shared" si="6"/>
        <v>4.9000000000006594E-2</v>
      </c>
      <c r="H109" s="3">
        <f t="shared" si="7"/>
        <v>0.48951048951055542</v>
      </c>
      <c r="I109" s="3">
        <f t="shared" si="8"/>
        <v>4.9000000000006594E-2</v>
      </c>
      <c r="J109" s="3">
        <f t="shared" si="5"/>
        <v>108.25547445255475</v>
      </c>
      <c r="K109" s="29">
        <f t="shared" si="9"/>
        <v>4.6844939379138379</v>
      </c>
    </row>
    <row r="110" spans="1:11" x14ac:dyDescent="0.3">
      <c r="A110" s="26">
        <v>7.0003999999999997E-2</v>
      </c>
      <c r="B110" s="2">
        <v>8.43E-2</v>
      </c>
      <c r="C110" s="2" t="s">
        <v>5</v>
      </c>
      <c r="D110" s="2">
        <v>1</v>
      </c>
      <c r="E110" s="2">
        <v>99.515000000000001</v>
      </c>
      <c r="F110" s="2">
        <v>109</v>
      </c>
      <c r="G110" s="2">
        <f t="shared" si="6"/>
        <v>7.2999999999993292E-2</v>
      </c>
      <c r="H110" s="2">
        <f t="shared" si="7"/>
        <v>0.86595492289434506</v>
      </c>
      <c r="I110" s="2">
        <f t="shared" si="8"/>
        <v>7.2999999999993292E-2</v>
      </c>
      <c r="J110" s="2">
        <f t="shared" si="5"/>
        <v>108.25547445255475</v>
      </c>
      <c r="K110" s="27">
        <f t="shared" si="9"/>
        <v>4.6844939379138379</v>
      </c>
    </row>
    <row r="111" spans="1:11" x14ac:dyDescent="0.3">
      <c r="A111" s="28">
        <v>7.0469000000000004E-2</v>
      </c>
      <c r="B111" s="3">
        <v>0.1123</v>
      </c>
      <c r="C111" s="3">
        <v>296</v>
      </c>
      <c r="D111" s="3">
        <v>1</v>
      </c>
      <c r="E111" s="3">
        <v>99.587999999999994</v>
      </c>
      <c r="F111" s="3">
        <v>110</v>
      </c>
      <c r="G111" s="3">
        <f t="shared" si="6"/>
        <v>0.14200000000001012</v>
      </c>
      <c r="H111" s="3">
        <f t="shared" si="7"/>
        <v>1.2644701691897606</v>
      </c>
      <c r="I111" s="3">
        <f t="shared" si="8"/>
        <v>0.14200000000001012</v>
      </c>
      <c r="J111" s="3">
        <f t="shared" si="5"/>
        <v>296</v>
      </c>
      <c r="K111" s="29">
        <f t="shared" si="9"/>
        <v>5.6903594543240601</v>
      </c>
    </row>
    <row r="112" spans="1:11" x14ac:dyDescent="0.3">
      <c r="A112" s="26">
        <v>7.1194999999999994E-2</v>
      </c>
      <c r="B112" s="2">
        <v>9.6699999999999994E-2</v>
      </c>
      <c r="C112" s="2" t="s">
        <v>5</v>
      </c>
      <c r="D112" s="2">
        <v>-1</v>
      </c>
      <c r="E112" s="2">
        <v>99.73</v>
      </c>
      <c r="F112" s="2">
        <v>111</v>
      </c>
      <c r="G112" s="2">
        <f t="shared" si="6"/>
        <v>-3.50000000000108E-2</v>
      </c>
      <c r="H112" s="2">
        <f t="shared" si="7"/>
        <v>-0.36194415718728856</v>
      </c>
      <c r="I112" s="2">
        <f t="shared" si="8"/>
        <v>3.50000000000108E-2</v>
      </c>
      <c r="J112" s="2">
        <f t="shared" si="5"/>
        <v>108.25547445255475</v>
      </c>
      <c r="K112" s="27">
        <f t="shared" si="9"/>
        <v>4.6844939379138379</v>
      </c>
    </row>
    <row r="113" spans="1:11" x14ac:dyDescent="0.3">
      <c r="A113" s="28">
        <v>7.2020000000000001E-2</v>
      </c>
      <c r="B113" s="3">
        <v>8.5800000000000001E-2</v>
      </c>
      <c r="C113" s="3" t="s">
        <v>5</v>
      </c>
      <c r="D113" s="3">
        <v>-1</v>
      </c>
      <c r="E113" s="3">
        <v>99.694999999999993</v>
      </c>
      <c r="F113" s="3">
        <v>112</v>
      </c>
      <c r="G113" s="3">
        <f t="shared" si="6"/>
        <v>-1.4999999999986358E-2</v>
      </c>
      <c r="H113" s="3">
        <f t="shared" si="7"/>
        <v>-0.17482517482501583</v>
      </c>
      <c r="I113" s="3">
        <f t="shared" si="8"/>
        <v>1.4999999999986358E-2</v>
      </c>
      <c r="J113" s="3">
        <f t="shared" si="5"/>
        <v>108.25547445255475</v>
      </c>
      <c r="K113" s="29">
        <f t="shared" si="9"/>
        <v>4.6844939379138379</v>
      </c>
    </row>
    <row r="114" spans="1:11" x14ac:dyDescent="0.3">
      <c r="A114" s="26">
        <v>7.2206000000000006E-2</v>
      </c>
      <c r="B114" s="2">
        <v>9.9199999999999997E-2</v>
      </c>
      <c r="C114" s="2" t="s">
        <v>5</v>
      </c>
      <c r="D114" s="2">
        <v>1</v>
      </c>
      <c r="E114" s="2">
        <v>99.68</v>
      </c>
      <c r="F114" s="2">
        <v>113</v>
      </c>
      <c r="G114" s="2">
        <f t="shared" si="6"/>
        <v>3.299999999998704E-2</v>
      </c>
      <c r="H114" s="2">
        <f t="shared" si="7"/>
        <v>0.33266129032245001</v>
      </c>
      <c r="I114" s="2">
        <f t="shared" si="8"/>
        <v>3.299999999998704E-2</v>
      </c>
      <c r="J114" s="2">
        <f t="shared" si="5"/>
        <v>108.25547445255475</v>
      </c>
      <c r="K114" s="27">
        <f t="shared" si="9"/>
        <v>4.6844939379138379</v>
      </c>
    </row>
    <row r="115" spans="1:11" x14ac:dyDescent="0.3">
      <c r="A115" s="28">
        <v>7.2599999999999998E-2</v>
      </c>
      <c r="B115" s="3">
        <v>0.1003</v>
      </c>
      <c r="C115" s="3" t="s">
        <v>5</v>
      </c>
      <c r="D115" s="3">
        <v>1</v>
      </c>
      <c r="E115" s="3">
        <v>99.712999999999994</v>
      </c>
      <c r="F115" s="3">
        <v>114</v>
      </c>
      <c r="G115" s="3">
        <f t="shared" si="6"/>
        <v>3.6000000000001364E-2</v>
      </c>
      <c r="H115" s="3">
        <f t="shared" si="7"/>
        <v>0.35892323030908641</v>
      </c>
      <c r="I115" s="3">
        <f t="shared" si="8"/>
        <v>3.6000000000001364E-2</v>
      </c>
      <c r="J115" s="3">
        <f t="shared" si="5"/>
        <v>108.25547445255475</v>
      </c>
      <c r="K115" s="29">
        <f t="shared" si="9"/>
        <v>4.6844939379138379</v>
      </c>
    </row>
    <row r="116" spans="1:11" x14ac:dyDescent="0.3">
      <c r="A116" s="26">
        <v>7.3197999999999999E-2</v>
      </c>
      <c r="B116" s="2">
        <v>9.1300000000000006E-2</v>
      </c>
      <c r="C116" s="2" t="s">
        <v>5</v>
      </c>
      <c r="D116" s="2">
        <v>1</v>
      </c>
      <c r="E116" s="2">
        <v>99.748999999999995</v>
      </c>
      <c r="F116" s="2">
        <v>115</v>
      </c>
      <c r="G116" s="2">
        <f t="shared" si="6"/>
        <v>5.3000000000011482E-2</v>
      </c>
      <c r="H116" s="2">
        <f t="shared" si="7"/>
        <v>0.58050383351600743</v>
      </c>
      <c r="I116" s="2">
        <f t="shared" si="8"/>
        <v>5.3000000000011482E-2</v>
      </c>
      <c r="J116" s="2">
        <f t="shared" si="5"/>
        <v>108.25547445255475</v>
      </c>
      <c r="K116" s="27">
        <f t="shared" si="9"/>
        <v>4.6844939379138379</v>
      </c>
    </row>
    <row r="117" spans="1:11" x14ac:dyDescent="0.3">
      <c r="A117" s="28">
        <v>7.3346999999999996E-2</v>
      </c>
      <c r="B117" s="3">
        <v>0.1137</v>
      </c>
      <c r="C117" s="3" t="s">
        <v>5</v>
      </c>
      <c r="D117" s="3">
        <v>-1</v>
      </c>
      <c r="E117" s="3">
        <v>99.802000000000007</v>
      </c>
      <c r="F117" s="3">
        <v>116</v>
      </c>
      <c r="G117" s="3">
        <f t="shared" si="6"/>
        <v>-3.8000000000010914E-2</v>
      </c>
      <c r="H117" s="3">
        <f t="shared" si="7"/>
        <v>-0.33421284080924291</v>
      </c>
      <c r="I117" s="3">
        <f t="shared" si="8"/>
        <v>3.8000000000010914E-2</v>
      </c>
      <c r="J117" s="3">
        <f t="shared" si="5"/>
        <v>108.25547445255475</v>
      </c>
      <c r="K117" s="29">
        <f t="shared" si="9"/>
        <v>4.6844939379138379</v>
      </c>
    </row>
    <row r="118" spans="1:11" x14ac:dyDescent="0.3">
      <c r="A118" s="26">
        <v>7.3805999999999997E-2</v>
      </c>
      <c r="B118" s="2">
        <v>8.9700000000000002E-2</v>
      </c>
      <c r="C118" s="2" t="s">
        <v>5</v>
      </c>
      <c r="D118" s="2">
        <v>1</v>
      </c>
      <c r="E118" s="2">
        <v>99.763999999999996</v>
      </c>
      <c r="F118" s="2">
        <v>117</v>
      </c>
      <c r="G118" s="2">
        <f t="shared" si="6"/>
        <v>8.0000000000097771E-3</v>
      </c>
      <c r="H118" s="2">
        <f t="shared" si="7"/>
        <v>8.9186176142806883E-2</v>
      </c>
      <c r="I118" s="2">
        <f t="shared" si="8"/>
        <v>8.0000000000097771E-3</v>
      </c>
      <c r="J118" s="2">
        <f t="shared" si="5"/>
        <v>108.25547445255475</v>
      </c>
      <c r="K118" s="27">
        <f t="shared" si="9"/>
        <v>4.6844939379138379</v>
      </c>
    </row>
    <row r="119" spans="1:11" x14ac:dyDescent="0.3">
      <c r="A119" s="28">
        <v>7.4649999999999994E-2</v>
      </c>
      <c r="B119" s="3">
        <v>9.8299999999999998E-2</v>
      </c>
      <c r="C119" s="3" t="s">
        <v>5</v>
      </c>
      <c r="D119" s="3">
        <v>-1</v>
      </c>
      <c r="E119" s="3">
        <v>99.772000000000006</v>
      </c>
      <c r="F119" s="3">
        <v>118</v>
      </c>
      <c r="G119" s="3">
        <f t="shared" si="6"/>
        <v>-7.6000000000007617E-2</v>
      </c>
      <c r="H119" s="3">
        <f t="shared" si="7"/>
        <v>-0.77314343845379063</v>
      </c>
      <c r="I119" s="3">
        <f t="shared" si="8"/>
        <v>7.6000000000007617E-2</v>
      </c>
      <c r="J119" s="3">
        <f t="shared" si="5"/>
        <v>108.25547445255475</v>
      </c>
      <c r="K119" s="29">
        <f t="shared" si="9"/>
        <v>4.6844939379138379</v>
      </c>
    </row>
    <row r="120" spans="1:11" x14ac:dyDescent="0.3">
      <c r="A120" s="26">
        <v>7.4931999999999999E-2</v>
      </c>
      <c r="B120" s="2">
        <v>0.1091</v>
      </c>
      <c r="C120" s="2" t="s">
        <v>5</v>
      </c>
      <c r="D120" s="2">
        <v>1</v>
      </c>
      <c r="E120" s="2">
        <v>99.695999999999998</v>
      </c>
      <c r="F120" s="2">
        <v>119</v>
      </c>
      <c r="G120" s="2">
        <f t="shared" si="6"/>
        <v>7.9999999999998295E-2</v>
      </c>
      <c r="H120" s="2">
        <f t="shared" si="7"/>
        <v>0.7332722273143748</v>
      </c>
      <c r="I120" s="2">
        <f t="shared" si="8"/>
        <v>7.9999999999998295E-2</v>
      </c>
      <c r="J120" s="2">
        <f t="shared" si="5"/>
        <v>108.25547445255475</v>
      </c>
      <c r="K120" s="27">
        <f t="shared" si="9"/>
        <v>4.6844939379138379</v>
      </c>
    </row>
    <row r="121" spans="1:11" x14ac:dyDescent="0.3">
      <c r="A121" s="28">
        <v>7.4994000000000005E-2</v>
      </c>
      <c r="B121" s="3">
        <v>0.1037</v>
      </c>
      <c r="C121" s="3" t="s">
        <v>5</v>
      </c>
      <c r="D121" s="3">
        <v>-1</v>
      </c>
      <c r="E121" s="3">
        <v>99.775999999999996</v>
      </c>
      <c r="F121" s="2">
        <v>120</v>
      </c>
      <c r="G121" s="2">
        <f t="shared" si="6"/>
        <v>-3.0999999999991701E-2</v>
      </c>
      <c r="H121" s="2">
        <f t="shared" si="7"/>
        <v>-0.29893924783019959</v>
      </c>
      <c r="I121" s="2">
        <f t="shared" si="8"/>
        <v>3.0999999999991701E-2</v>
      </c>
      <c r="J121" s="2">
        <f t="shared" si="5"/>
        <v>108.25547445255475</v>
      </c>
      <c r="K121" s="27">
        <f t="shared" si="9"/>
        <v>4.6844939379138379</v>
      </c>
    </row>
    <row r="122" spans="1:11" x14ac:dyDescent="0.3">
      <c r="A122" s="26">
        <v>7.6177999999999996E-2</v>
      </c>
      <c r="B122" s="2">
        <v>7.7399999999999997E-2</v>
      </c>
      <c r="C122" s="2" t="s">
        <v>5</v>
      </c>
      <c r="D122" s="2">
        <v>-1</v>
      </c>
      <c r="E122" s="2">
        <v>99.745000000000005</v>
      </c>
      <c r="F122" s="3">
        <v>121</v>
      </c>
      <c r="G122" s="3">
        <f t="shared" si="6"/>
        <v>-2.2000000000005571E-2</v>
      </c>
      <c r="H122" s="3">
        <f t="shared" si="7"/>
        <v>-0.2842377260982632</v>
      </c>
      <c r="I122" s="3">
        <f t="shared" si="8"/>
        <v>2.2000000000005571E-2</v>
      </c>
      <c r="J122" s="3">
        <f t="shared" si="5"/>
        <v>108.25547445255475</v>
      </c>
      <c r="K122" s="29">
        <f t="shared" si="9"/>
        <v>4.6844939379138379</v>
      </c>
    </row>
    <row r="123" spans="1:11" x14ac:dyDescent="0.3">
      <c r="A123" s="28">
        <v>7.7580999999999997E-2</v>
      </c>
      <c r="B123" s="3">
        <v>0.10249999999999999</v>
      </c>
      <c r="C123" s="3" t="s">
        <v>5</v>
      </c>
      <c r="D123" s="3">
        <v>-1</v>
      </c>
      <c r="E123" s="3">
        <v>99.722999999999999</v>
      </c>
      <c r="F123" s="2">
        <v>122</v>
      </c>
      <c r="G123" s="2">
        <f t="shared" si="6"/>
        <v>-2.2000000000005571E-2</v>
      </c>
      <c r="H123" s="2">
        <f t="shared" si="7"/>
        <v>-0.21463414634151778</v>
      </c>
      <c r="I123" s="2">
        <f t="shared" si="8"/>
        <v>2.2000000000005571E-2</v>
      </c>
      <c r="J123" s="2">
        <f t="shared" si="5"/>
        <v>108.25547445255475</v>
      </c>
      <c r="K123" s="27">
        <f t="shared" si="9"/>
        <v>4.6844939379138379</v>
      </c>
    </row>
    <row r="124" spans="1:11" x14ac:dyDescent="0.3">
      <c r="A124" s="26">
        <v>7.8002000000000002E-2</v>
      </c>
      <c r="B124" s="2">
        <v>0.1139</v>
      </c>
      <c r="C124" s="2" t="s">
        <v>5</v>
      </c>
      <c r="D124" s="2">
        <v>-1</v>
      </c>
      <c r="E124" s="2">
        <v>99.700999999999993</v>
      </c>
      <c r="F124" s="3">
        <v>123</v>
      </c>
      <c r="G124" s="3">
        <f t="shared" si="6"/>
        <v>-0.11499999999999488</v>
      </c>
      <c r="H124" s="3">
        <f t="shared" si="7"/>
        <v>-1.0096575943809911</v>
      </c>
      <c r="I124" s="3">
        <f t="shared" si="8"/>
        <v>0.11499999999999488</v>
      </c>
      <c r="J124" s="3">
        <f t="shared" si="5"/>
        <v>108.25547445255475</v>
      </c>
      <c r="K124" s="29">
        <f t="shared" si="9"/>
        <v>4.6844939379138379</v>
      </c>
    </row>
    <row r="125" spans="1:11" x14ac:dyDescent="0.3">
      <c r="A125" s="28">
        <v>7.8372999999999998E-2</v>
      </c>
      <c r="B125" s="3">
        <v>0.1231</v>
      </c>
      <c r="C125" s="3" t="s">
        <v>5</v>
      </c>
      <c r="D125" s="3">
        <v>-1</v>
      </c>
      <c r="E125" s="3">
        <v>99.585999999999999</v>
      </c>
      <c r="F125" s="2">
        <v>124</v>
      </c>
      <c r="G125" s="2">
        <f t="shared" si="6"/>
        <v>-9.4999999999998863E-2</v>
      </c>
      <c r="H125" s="2">
        <f t="shared" si="7"/>
        <v>-0.77173030056863412</v>
      </c>
      <c r="I125" s="2">
        <f t="shared" si="8"/>
        <v>9.4999999999998863E-2</v>
      </c>
      <c r="J125" s="2">
        <f t="shared" si="5"/>
        <v>108.25547445255475</v>
      </c>
      <c r="K125" s="27">
        <f t="shared" si="9"/>
        <v>4.6844939379138379</v>
      </c>
    </row>
    <row r="126" spans="1:11" x14ac:dyDescent="0.3">
      <c r="A126" s="26">
        <v>7.8914999999999999E-2</v>
      </c>
      <c r="B126" s="2">
        <v>0.1094</v>
      </c>
      <c r="C126" s="2" t="s">
        <v>5</v>
      </c>
      <c r="D126" s="2">
        <v>-1</v>
      </c>
      <c r="E126" s="2">
        <v>99.491</v>
      </c>
      <c r="F126" s="3">
        <v>125</v>
      </c>
      <c r="G126" s="3">
        <f t="shared" si="6"/>
        <v>-6.3999999999992951E-2</v>
      </c>
      <c r="H126" s="3">
        <f t="shared" si="7"/>
        <v>-0.58500914076776012</v>
      </c>
      <c r="I126" s="3">
        <f t="shared" si="8"/>
        <v>6.3999999999992951E-2</v>
      </c>
      <c r="J126" s="3">
        <f t="shared" si="5"/>
        <v>108.25547445255475</v>
      </c>
      <c r="K126" s="29">
        <f t="shared" si="9"/>
        <v>4.6844939379138379</v>
      </c>
    </row>
    <row r="127" spans="1:11" x14ac:dyDescent="0.3">
      <c r="A127" s="28">
        <v>7.8982999999999998E-2</v>
      </c>
      <c r="B127" s="3">
        <v>0.112</v>
      </c>
      <c r="C127" s="3" t="s">
        <v>5</v>
      </c>
      <c r="D127" s="3">
        <v>-1</v>
      </c>
      <c r="E127" s="3">
        <v>99.427000000000007</v>
      </c>
      <c r="F127" s="2">
        <v>126</v>
      </c>
      <c r="G127" s="2">
        <f t="shared" si="6"/>
        <v>-2.8000000000005798E-2</v>
      </c>
      <c r="H127" s="2">
        <f t="shared" si="7"/>
        <v>-0.25000000000005174</v>
      </c>
      <c r="I127" s="2">
        <f t="shared" si="8"/>
        <v>2.8000000000005798E-2</v>
      </c>
      <c r="J127" s="2">
        <f t="shared" si="5"/>
        <v>108.25547445255475</v>
      </c>
      <c r="K127" s="27">
        <f t="shared" si="9"/>
        <v>4.6844939379138379</v>
      </c>
    </row>
    <row r="128" spans="1:11" x14ac:dyDescent="0.3">
      <c r="A128" s="26">
        <v>7.9392000000000004E-2</v>
      </c>
      <c r="B128" s="2">
        <v>7.5999999999999998E-2</v>
      </c>
      <c r="C128" s="2" t="s">
        <v>5</v>
      </c>
      <c r="D128" s="2">
        <v>1</v>
      </c>
      <c r="E128" s="2">
        <v>99.399000000000001</v>
      </c>
      <c r="F128" s="3">
        <v>127</v>
      </c>
      <c r="G128" s="3">
        <f t="shared" si="6"/>
        <v>5.499999999999261E-2</v>
      </c>
      <c r="H128" s="3">
        <f t="shared" si="7"/>
        <v>0.72368421052621856</v>
      </c>
      <c r="I128" s="3">
        <f t="shared" si="8"/>
        <v>5.499999999999261E-2</v>
      </c>
      <c r="J128" s="3">
        <f t="shared" si="5"/>
        <v>108.25547445255475</v>
      </c>
      <c r="K128" s="29">
        <f t="shared" si="9"/>
        <v>4.6844939379138379</v>
      </c>
    </row>
    <row r="129" spans="1:11" x14ac:dyDescent="0.3">
      <c r="A129" s="28">
        <v>7.9396999999999995E-2</v>
      </c>
      <c r="B129" s="3">
        <v>0.1045</v>
      </c>
      <c r="C129" s="3" t="s">
        <v>5</v>
      </c>
      <c r="D129" s="3">
        <v>-1</v>
      </c>
      <c r="E129" s="3">
        <v>99.453999999999994</v>
      </c>
      <c r="F129" s="2">
        <v>128</v>
      </c>
      <c r="G129" s="2">
        <f t="shared" si="6"/>
        <v>-4.5999999999992269E-2</v>
      </c>
      <c r="H129" s="2">
        <f t="shared" si="7"/>
        <v>-0.44019138755973464</v>
      </c>
      <c r="I129" s="2">
        <f t="shared" si="8"/>
        <v>4.5999999999992269E-2</v>
      </c>
      <c r="J129" s="2">
        <f t="shared" si="5"/>
        <v>108.25547445255475</v>
      </c>
      <c r="K129" s="27">
        <f t="shared" si="9"/>
        <v>4.6844939379138379</v>
      </c>
    </row>
    <row r="130" spans="1:11" x14ac:dyDescent="0.3">
      <c r="A130" s="26">
        <v>8.0267000000000005E-2</v>
      </c>
      <c r="B130" s="2">
        <v>8.9599999999999999E-2</v>
      </c>
      <c r="C130" s="2" t="s">
        <v>5</v>
      </c>
      <c r="D130" s="2">
        <v>1</v>
      </c>
      <c r="E130" s="2">
        <v>99.408000000000001</v>
      </c>
      <c r="F130" s="3">
        <v>129</v>
      </c>
      <c r="G130" s="3">
        <f t="shared" si="6"/>
        <v>3.7999999999996703E-2</v>
      </c>
      <c r="H130" s="3">
        <f t="shared" si="7"/>
        <v>0.42410714285710605</v>
      </c>
      <c r="I130" s="3">
        <f t="shared" si="8"/>
        <v>3.7999999999996703E-2</v>
      </c>
      <c r="J130" s="3">
        <f t="shared" ref="J130:J193" si="10">IF(C130="",$AA$1,C130)</f>
        <v>108.25547445255475</v>
      </c>
      <c r="K130" s="29">
        <f t="shared" si="9"/>
        <v>4.6844939379138379</v>
      </c>
    </row>
    <row r="131" spans="1:11" x14ac:dyDescent="0.3">
      <c r="A131" s="28">
        <v>8.1032000000000007E-2</v>
      </c>
      <c r="B131" s="3">
        <v>0.1052</v>
      </c>
      <c r="C131" s="3" t="s">
        <v>5</v>
      </c>
      <c r="D131" s="3">
        <v>1</v>
      </c>
      <c r="E131" s="3">
        <v>99.445999999999998</v>
      </c>
      <c r="F131" s="2">
        <v>130</v>
      </c>
      <c r="G131" s="2">
        <f t="shared" ref="G131:G194" si="11">E132-E131</f>
        <v>5.5999999999997385E-2</v>
      </c>
      <c r="H131" s="2">
        <f t="shared" ref="H131:H194" si="12">IF(B131&lt;&gt;0,G131/B131,"")</f>
        <v>0.53231939163495612</v>
      </c>
      <c r="I131" s="2">
        <f t="shared" ref="I131:I194" si="13">D131*G131</f>
        <v>5.5999999999997385E-2</v>
      </c>
      <c r="J131" s="2">
        <f t="shared" si="10"/>
        <v>108.25547445255475</v>
      </c>
      <c r="K131" s="27">
        <f t="shared" ref="K131:K194" si="14">LN(J131)</f>
        <v>4.6844939379138379</v>
      </c>
    </row>
    <row r="132" spans="1:11" x14ac:dyDescent="0.3">
      <c r="A132" s="26">
        <v>8.2047999999999996E-2</v>
      </c>
      <c r="B132" s="2">
        <v>9.4899999999999998E-2</v>
      </c>
      <c r="C132" s="2" t="s">
        <v>5</v>
      </c>
      <c r="D132" s="2">
        <v>-1</v>
      </c>
      <c r="E132" s="2">
        <v>99.501999999999995</v>
      </c>
      <c r="F132" s="3">
        <v>131</v>
      </c>
      <c r="G132" s="3">
        <f t="shared" si="11"/>
        <v>-3.1999999999996476E-2</v>
      </c>
      <c r="H132" s="3">
        <f t="shared" si="12"/>
        <v>-0.3371970495257795</v>
      </c>
      <c r="I132" s="3">
        <f t="shared" si="13"/>
        <v>3.1999999999996476E-2</v>
      </c>
      <c r="J132" s="3">
        <f t="shared" si="10"/>
        <v>108.25547445255475</v>
      </c>
      <c r="K132" s="29">
        <f t="shared" si="14"/>
        <v>4.6844939379138379</v>
      </c>
    </row>
    <row r="133" spans="1:11" x14ac:dyDescent="0.3">
      <c r="A133" s="28">
        <v>8.3516000000000007E-2</v>
      </c>
      <c r="B133" s="3">
        <v>9.8199999999999996E-2</v>
      </c>
      <c r="C133" s="3" t="s">
        <v>5</v>
      </c>
      <c r="D133" s="3">
        <v>1</v>
      </c>
      <c r="E133" s="3">
        <v>99.47</v>
      </c>
      <c r="F133" s="2">
        <v>132</v>
      </c>
      <c r="G133" s="2">
        <f t="shared" si="11"/>
        <v>6.1999999999997613E-2</v>
      </c>
      <c r="H133" s="2">
        <f t="shared" si="12"/>
        <v>0.63136456211810199</v>
      </c>
      <c r="I133" s="2">
        <f t="shared" si="13"/>
        <v>6.1999999999997613E-2</v>
      </c>
      <c r="J133" s="2">
        <f t="shared" si="10"/>
        <v>108.25547445255475</v>
      </c>
      <c r="K133" s="27">
        <f t="shared" si="14"/>
        <v>4.6844939379138379</v>
      </c>
    </row>
    <row r="134" spans="1:11" x14ac:dyDescent="0.3">
      <c r="A134" s="26">
        <v>8.4106E-2</v>
      </c>
      <c r="B134" s="2">
        <v>9.8199999999999996E-2</v>
      </c>
      <c r="C134" s="2" t="s">
        <v>5</v>
      </c>
      <c r="D134" s="2">
        <v>1</v>
      </c>
      <c r="E134" s="2">
        <v>99.531999999999996</v>
      </c>
      <c r="F134" s="3">
        <v>133</v>
      </c>
      <c r="G134" s="3">
        <f t="shared" si="11"/>
        <v>3.0000000000001137E-2</v>
      </c>
      <c r="H134" s="3">
        <f t="shared" si="12"/>
        <v>0.30549898167007267</v>
      </c>
      <c r="I134" s="3">
        <f t="shared" si="13"/>
        <v>3.0000000000001137E-2</v>
      </c>
      <c r="J134" s="3">
        <f t="shared" si="10"/>
        <v>108.25547445255475</v>
      </c>
      <c r="K134" s="29">
        <f t="shared" si="14"/>
        <v>4.6844939379138379</v>
      </c>
    </row>
    <row r="135" spans="1:11" x14ac:dyDescent="0.3">
      <c r="A135" s="28">
        <v>8.4184999999999996E-2</v>
      </c>
      <c r="B135" s="3">
        <v>9.3600000000000003E-2</v>
      </c>
      <c r="C135" s="3" t="s">
        <v>5</v>
      </c>
      <c r="D135" s="3">
        <v>1</v>
      </c>
      <c r="E135" s="3">
        <v>99.561999999999998</v>
      </c>
      <c r="F135" s="2">
        <v>134</v>
      </c>
      <c r="G135" s="2">
        <f t="shared" si="11"/>
        <v>1.3999999999995794E-2</v>
      </c>
      <c r="H135" s="2">
        <f t="shared" si="12"/>
        <v>0.14957264957260463</v>
      </c>
      <c r="I135" s="2">
        <f t="shared" si="13"/>
        <v>1.3999999999995794E-2</v>
      </c>
      <c r="J135" s="2">
        <f t="shared" si="10"/>
        <v>108.25547445255475</v>
      </c>
      <c r="K135" s="27">
        <f t="shared" si="14"/>
        <v>4.6844939379138379</v>
      </c>
    </row>
    <row r="136" spans="1:11" x14ac:dyDescent="0.3">
      <c r="A136" s="26">
        <v>8.4893999999999997E-2</v>
      </c>
      <c r="B136" s="2">
        <v>0.1048</v>
      </c>
      <c r="C136" s="2">
        <v>16</v>
      </c>
      <c r="D136" s="2">
        <v>1</v>
      </c>
      <c r="E136" s="2">
        <v>99.575999999999993</v>
      </c>
      <c r="F136" s="3">
        <v>135</v>
      </c>
      <c r="G136" s="3">
        <f t="shared" si="11"/>
        <v>2.5000000000005684E-2</v>
      </c>
      <c r="H136" s="3">
        <f t="shared" si="12"/>
        <v>0.23854961832066493</v>
      </c>
      <c r="I136" s="3">
        <f t="shared" si="13"/>
        <v>2.5000000000005684E-2</v>
      </c>
      <c r="J136" s="3">
        <f t="shared" si="10"/>
        <v>16</v>
      </c>
      <c r="K136" s="29">
        <f t="shared" si="14"/>
        <v>2.7725887222397811</v>
      </c>
    </row>
    <row r="137" spans="1:11" x14ac:dyDescent="0.3">
      <c r="A137" s="28">
        <v>8.5003999999999996E-2</v>
      </c>
      <c r="B137" s="3">
        <v>0.1033</v>
      </c>
      <c r="C137" s="3" t="s">
        <v>5</v>
      </c>
      <c r="D137" s="3">
        <v>1</v>
      </c>
      <c r="E137" s="3">
        <v>99.600999999999999</v>
      </c>
      <c r="F137" s="2">
        <v>136</v>
      </c>
      <c r="G137" s="2">
        <f t="shared" si="11"/>
        <v>7.000000000000739E-2</v>
      </c>
      <c r="H137" s="2">
        <f t="shared" si="12"/>
        <v>0.67763794772514407</v>
      </c>
      <c r="I137" s="2">
        <f t="shared" si="13"/>
        <v>7.000000000000739E-2</v>
      </c>
      <c r="J137" s="2">
        <f t="shared" si="10"/>
        <v>108.25547445255475</v>
      </c>
      <c r="K137" s="27">
        <f t="shared" si="14"/>
        <v>4.6844939379138379</v>
      </c>
    </row>
    <row r="138" spans="1:11" x14ac:dyDescent="0.3">
      <c r="A138" s="26">
        <v>8.7182999999999997E-2</v>
      </c>
      <c r="B138" s="2">
        <v>8.6199999999999999E-2</v>
      </c>
      <c r="C138" s="2" t="s">
        <v>5</v>
      </c>
      <c r="D138" s="2">
        <v>-1</v>
      </c>
      <c r="E138" s="2">
        <v>99.671000000000006</v>
      </c>
      <c r="F138" s="2">
        <v>137</v>
      </c>
      <c r="G138" s="2">
        <f t="shared" si="11"/>
        <v>-5.4000000000002046E-2</v>
      </c>
      <c r="H138" s="2">
        <f t="shared" si="12"/>
        <v>-0.62645011600930445</v>
      </c>
      <c r="I138" s="2">
        <f t="shared" si="13"/>
        <v>5.4000000000002046E-2</v>
      </c>
      <c r="J138" s="2">
        <f t="shared" si="10"/>
        <v>108.25547445255475</v>
      </c>
      <c r="K138" s="27">
        <f t="shared" si="14"/>
        <v>4.6844939379138379</v>
      </c>
    </row>
    <row r="139" spans="1:11" x14ac:dyDescent="0.3">
      <c r="A139" s="28">
        <v>8.7641999999999998E-2</v>
      </c>
      <c r="B139" s="3">
        <v>0.1109</v>
      </c>
      <c r="C139" s="3" t="s">
        <v>5</v>
      </c>
      <c r="D139" s="3">
        <v>-1</v>
      </c>
      <c r="E139" s="3">
        <v>99.617000000000004</v>
      </c>
      <c r="F139" s="3">
        <v>138</v>
      </c>
      <c r="G139" s="3">
        <f t="shared" si="11"/>
        <v>-0.10999999999999943</v>
      </c>
      <c r="H139" s="3">
        <f t="shared" si="12"/>
        <v>-0.99188458070333119</v>
      </c>
      <c r="I139" s="3">
        <f t="shared" si="13"/>
        <v>0.10999999999999943</v>
      </c>
      <c r="J139" s="3">
        <f t="shared" si="10"/>
        <v>108.25547445255475</v>
      </c>
      <c r="K139" s="29">
        <f t="shared" si="14"/>
        <v>4.6844939379138379</v>
      </c>
    </row>
    <row r="140" spans="1:11" x14ac:dyDescent="0.3">
      <c r="A140" s="26">
        <v>8.7932999999999997E-2</v>
      </c>
      <c r="B140" s="2">
        <v>8.77E-2</v>
      </c>
      <c r="C140" s="2" t="s">
        <v>5</v>
      </c>
      <c r="D140" s="2">
        <v>1</v>
      </c>
      <c r="E140" s="2">
        <v>99.507000000000005</v>
      </c>
      <c r="F140" s="2">
        <v>139</v>
      </c>
      <c r="G140" s="2">
        <f t="shared" si="11"/>
        <v>9.2999999999989313E-2</v>
      </c>
      <c r="H140" s="2">
        <f t="shared" si="12"/>
        <v>1.0604332953248496</v>
      </c>
      <c r="I140" s="2">
        <f t="shared" si="13"/>
        <v>9.2999999999989313E-2</v>
      </c>
      <c r="J140" s="2">
        <f t="shared" si="10"/>
        <v>108.25547445255475</v>
      </c>
      <c r="K140" s="27">
        <f t="shared" si="14"/>
        <v>4.6844939379138379</v>
      </c>
    </row>
    <row r="141" spans="1:11" x14ac:dyDescent="0.3">
      <c r="A141" s="28">
        <v>8.8936000000000001E-2</v>
      </c>
      <c r="B141" s="3">
        <v>8.8599999999999998E-2</v>
      </c>
      <c r="C141" s="3" t="s">
        <v>5</v>
      </c>
      <c r="D141" s="3">
        <v>1</v>
      </c>
      <c r="E141" s="3">
        <v>99.6</v>
      </c>
      <c r="F141" s="3">
        <v>140</v>
      </c>
      <c r="G141" s="3">
        <f t="shared" si="11"/>
        <v>9.0000000000003411E-2</v>
      </c>
      <c r="H141" s="3">
        <f t="shared" si="12"/>
        <v>1.0158013544018445</v>
      </c>
      <c r="I141" s="3">
        <f t="shared" si="13"/>
        <v>9.0000000000003411E-2</v>
      </c>
      <c r="J141" s="3">
        <f t="shared" si="10"/>
        <v>108.25547445255475</v>
      </c>
      <c r="K141" s="29">
        <f t="shared" si="14"/>
        <v>4.6844939379138379</v>
      </c>
    </row>
    <row r="142" spans="1:11" x14ac:dyDescent="0.3">
      <c r="A142" s="26">
        <v>9.0717000000000006E-2</v>
      </c>
      <c r="B142" s="2">
        <v>0.1026</v>
      </c>
      <c r="C142" s="2">
        <v>203</v>
      </c>
      <c r="D142" s="2">
        <v>1</v>
      </c>
      <c r="E142" s="2">
        <v>99.69</v>
      </c>
      <c r="F142" s="2">
        <v>141</v>
      </c>
      <c r="G142" s="2">
        <f t="shared" si="11"/>
        <v>0.11100000000000421</v>
      </c>
      <c r="H142" s="2">
        <f t="shared" si="12"/>
        <v>1.0818713450292807</v>
      </c>
      <c r="I142" s="2">
        <f t="shared" si="13"/>
        <v>0.11100000000000421</v>
      </c>
      <c r="J142" s="2">
        <f t="shared" si="10"/>
        <v>203</v>
      </c>
      <c r="K142" s="27">
        <f t="shared" si="14"/>
        <v>5.3132059790417872</v>
      </c>
    </row>
    <row r="143" spans="1:11" x14ac:dyDescent="0.3">
      <c r="A143" s="28">
        <v>9.1005000000000003E-2</v>
      </c>
      <c r="B143" s="3">
        <v>0.11459999999999999</v>
      </c>
      <c r="C143" s="3" t="s">
        <v>5</v>
      </c>
      <c r="D143" s="3">
        <v>-1</v>
      </c>
      <c r="E143" s="3">
        <v>99.801000000000002</v>
      </c>
      <c r="F143" s="3">
        <v>142</v>
      </c>
      <c r="G143" s="3">
        <f t="shared" si="11"/>
        <v>-9.1000000000008185E-2</v>
      </c>
      <c r="H143" s="3">
        <f t="shared" si="12"/>
        <v>-0.79406631762659852</v>
      </c>
      <c r="I143" s="3">
        <f t="shared" si="13"/>
        <v>9.1000000000008185E-2</v>
      </c>
      <c r="J143" s="3">
        <f t="shared" si="10"/>
        <v>108.25547445255475</v>
      </c>
      <c r="K143" s="29">
        <f t="shared" si="14"/>
        <v>4.6844939379138379</v>
      </c>
    </row>
    <row r="144" spans="1:11" x14ac:dyDescent="0.3">
      <c r="A144" s="26">
        <v>9.1064000000000006E-2</v>
      </c>
      <c r="B144" s="2">
        <v>0.1043</v>
      </c>
      <c r="C144" s="2" t="s">
        <v>5</v>
      </c>
      <c r="D144" s="2">
        <v>-1</v>
      </c>
      <c r="E144" s="2">
        <v>99.71</v>
      </c>
      <c r="F144" s="2">
        <v>143</v>
      </c>
      <c r="G144" s="2">
        <f t="shared" si="11"/>
        <v>-0.21999999999999886</v>
      </c>
      <c r="H144" s="2">
        <f t="shared" si="12"/>
        <v>-2.1093000958772663</v>
      </c>
      <c r="I144" s="2">
        <f t="shared" si="13"/>
        <v>0.21999999999999886</v>
      </c>
      <c r="J144" s="2">
        <f t="shared" si="10"/>
        <v>108.25547445255475</v>
      </c>
      <c r="K144" s="27">
        <f t="shared" si="14"/>
        <v>4.6844939379138379</v>
      </c>
    </row>
    <row r="145" spans="1:11" x14ac:dyDescent="0.3">
      <c r="A145" s="28">
        <v>9.1369000000000006E-2</v>
      </c>
      <c r="B145" s="3">
        <v>0.1134</v>
      </c>
      <c r="C145" s="3">
        <v>99</v>
      </c>
      <c r="D145" s="3">
        <v>1</v>
      </c>
      <c r="E145" s="3">
        <v>99.49</v>
      </c>
      <c r="F145" s="3">
        <v>144</v>
      </c>
      <c r="G145" s="3">
        <f t="shared" si="11"/>
        <v>9.0000000000003411E-2</v>
      </c>
      <c r="H145" s="3">
        <f t="shared" si="12"/>
        <v>0.79365079365082369</v>
      </c>
      <c r="I145" s="3">
        <f t="shared" si="13"/>
        <v>9.0000000000003411E-2</v>
      </c>
      <c r="J145" s="3">
        <f t="shared" si="10"/>
        <v>99</v>
      </c>
      <c r="K145" s="29">
        <f t="shared" si="14"/>
        <v>4.5951198501345898</v>
      </c>
    </row>
    <row r="146" spans="1:11" x14ac:dyDescent="0.3">
      <c r="A146" s="26">
        <v>9.1419E-2</v>
      </c>
      <c r="B146" s="2">
        <v>0.1041</v>
      </c>
      <c r="C146" s="2" t="s">
        <v>5</v>
      </c>
      <c r="D146" s="2">
        <v>1</v>
      </c>
      <c r="E146" s="2">
        <v>99.58</v>
      </c>
      <c r="F146" s="2">
        <v>145</v>
      </c>
      <c r="G146" s="2">
        <f t="shared" si="11"/>
        <v>0.12999999999999545</v>
      </c>
      <c r="H146" s="2">
        <f t="shared" si="12"/>
        <v>1.2487992315081216</v>
      </c>
      <c r="I146" s="2">
        <f t="shared" si="13"/>
        <v>0.12999999999999545</v>
      </c>
      <c r="J146" s="2">
        <f t="shared" si="10"/>
        <v>108.25547445255475</v>
      </c>
      <c r="K146" s="27">
        <f t="shared" si="14"/>
        <v>4.6844939379138379</v>
      </c>
    </row>
    <row r="147" spans="1:11" x14ac:dyDescent="0.3">
      <c r="A147" s="28">
        <v>9.1424000000000005E-2</v>
      </c>
      <c r="B147" s="3">
        <v>9.6100000000000005E-2</v>
      </c>
      <c r="C147" s="3" t="s">
        <v>5</v>
      </c>
      <c r="D147" s="3">
        <v>1</v>
      </c>
      <c r="E147" s="3">
        <v>99.71</v>
      </c>
      <c r="F147" s="3">
        <v>146</v>
      </c>
      <c r="G147" s="3">
        <f t="shared" si="11"/>
        <v>1.7000000000010118E-2</v>
      </c>
      <c r="H147" s="3">
        <f t="shared" si="12"/>
        <v>0.1768990634756516</v>
      </c>
      <c r="I147" s="3">
        <f t="shared" si="13"/>
        <v>1.7000000000010118E-2</v>
      </c>
      <c r="J147" s="3">
        <f t="shared" si="10"/>
        <v>108.25547445255475</v>
      </c>
      <c r="K147" s="29">
        <f t="shared" si="14"/>
        <v>4.6844939379138379</v>
      </c>
    </row>
    <row r="148" spans="1:11" x14ac:dyDescent="0.3">
      <c r="A148" s="26">
        <v>9.2442999999999997E-2</v>
      </c>
      <c r="B148" s="2">
        <v>9.11E-2</v>
      </c>
      <c r="C148" s="2" t="s">
        <v>5</v>
      </c>
      <c r="D148" s="2">
        <v>1</v>
      </c>
      <c r="E148" s="2">
        <v>99.727000000000004</v>
      </c>
      <c r="F148" s="2">
        <v>147</v>
      </c>
      <c r="G148" s="2">
        <f t="shared" si="11"/>
        <v>2.7000000000001023E-2</v>
      </c>
      <c r="H148" s="2">
        <f t="shared" si="12"/>
        <v>0.29637760702525823</v>
      </c>
      <c r="I148" s="2">
        <f t="shared" si="13"/>
        <v>2.7000000000001023E-2</v>
      </c>
      <c r="J148" s="2">
        <f t="shared" si="10"/>
        <v>108.25547445255475</v>
      </c>
      <c r="K148" s="27">
        <f t="shared" si="14"/>
        <v>4.6844939379138379</v>
      </c>
    </row>
    <row r="149" spans="1:11" x14ac:dyDescent="0.3">
      <c r="A149" s="28">
        <v>9.2976000000000003E-2</v>
      </c>
      <c r="B149" s="3">
        <v>0.1071</v>
      </c>
      <c r="C149" s="3" t="s">
        <v>5</v>
      </c>
      <c r="D149" s="3">
        <v>-1</v>
      </c>
      <c r="E149" s="3">
        <v>99.754000000000005</v>
      </c>
      <c r="F149" s="3">
        <v>148</v>
      </c>
      <c r="G149" s="3">
        <f t="shared" si="11"/>
        <v>-6.1000000000007049E-2</v>
      </c>
      <c r="H149" s="3">
        <f t="shared" si="12"/>
        <v>-0.56956115779651773</v>
      </c>
      <c r="I149" s="3">
        <f t="shared" si="13"/>
        <v>6.1000000000007049E-2</v>
      </c>
      <c r="J149" s="3">
        <f t="shared" si="10"/>
        <v>108.25547445255475</v>
      </c>
      <c r="K149" s="29">
        <f t="shared" si="14"/>
        <v>4.6844939379138379</v>
      </c>
    </row>
    <row r="150" spans="1:11" x14ac:dyDescent="0.3">
      <c r="A150" s="26">
        <v>9.3852000000000005E-2</v>
      </c>
      <c r="B150" s="2">
        <v>9.2700000000000005E-2</v>
      </c>
      <c r="C150" s="2" t="s">
        <v>5</v>
      </c>
      <c r="D150" s="2">
        <v>1</v>
      </c>
      <c r="E150" s="2">
        <v>99.692999999999998</v>
      </c>
      <c r="F150" s="2">
        <v>149</v>
      </c>
      <c r="G150" s="2">
        <f t="shared" si="11"/>
        <v>4.399999999999693E-2</v>
      </c>
      <c r="H150" s="2">
        <f t="shared" si="12"/>
        <v>0.47464940668820849</v>
      </c>
      <c r="I150" s="2">
        <f t="shared" si="13"/>
        <v>4.399999999999693E-2</v>
      </c>
      <c r="J150" s="2">
        <f t="shared" si="10"/>
        <v>108.25547445255475</v>
      </c>
      <c r="K150" s="27">
        <f t="shared" si="14"/>
        <v>4.6844939379138379</v>
      </c>
    </row>
    <row r="151" spans="1:11" x14ac:dyDescent="0.3">
      <c r="A151" s="28">
        <v>9.4293000000000002E-2</v>
      </c>
      <c r="B151" s="3">
        <v>0.1061</v>
      </c>
      <c r="C151" s="3" t="s">
        <v>5</v>
      </c>
      <c r="D151" s="3">
        <v>-1</v>
      </c>
      <c r="E151" s="3">
        <v>99.736999999999995</v>
      </c>
      <c r="F151" s="3">
        <v>150</v>
      </c>
      <c r="G151" s="3">
        <f t="shared" si="11"/>
        <v>-6.2999999999988177E-2</v>
      </c>
      <c r="H151" s="3">
        <f t="shared" si="12"/>
        <v>-0.59377945334578863</v>
      </c>
      <c r="I151" s="3">
        <f t="shared" si="13"/>
        <v>6.2999999999988177E-2</v>
      </c>
      <c r="J151" s="3">
        <f t="shared" si="10"/>
        <v>108.25547445255475</v>
      </c>
      <c r="K151" s="29">
        <f t="shared" si="14"/>
        <v>4.6844939379138379</v>
      </c>
    </row>
    <row r="152" spans="1:11" x14ac:dyDescent="0.3">
      <c r="A152" s="26">
        <v>9.6065999999999999E-2</v>
      </c>
      <c r="B152" s="2">
        <v>0.1133</v>
      </c>
      <c r="C152" s="2" t="s">
        <v>5</v>
      </c>
      <c r="D152" s="2">
        <v>-1</v>
      </c>
      <c r="E152" s="2">
        <v>99.674000000000007</v>
      </c>
      <c r="F152" s="2">
        <v>151</v>
      </c>
      <c r="G152" s="2">
        <f t="shared" si="11"/>
        <v>-1.4000000000010004E-2</v>
      </c>
      <c r="H152" s="2">
        <f t="shared" si="12"/>
        <v>-0.12356575463380411</v>
      </c>
      <c r="I152" s="2">
        <f t="shared" si="13"/>
        <v>1.4000000000010004E-2</v>
      </c>
      <c r="J152" s="2">
        <f t="shared" si="10"/>
        <v>108.25547445255475</v>
      </c>
      <c r="K152" s="27">
        <f t="shared" si="14"/>
        <v>4.6844939379138379</v>
      </c>
    </row>
    <row r="153" spans="1:11" x14ac:dyDescent="0.3">
      <c r="A153" s="28">
        <v>9.6193000000000001E-2</v>
      </c>
      <c r="B153" s="3">
        <v>0.1033</v>
      </c>
      <c r="C153" s="3" t="s">
        <v>5</v>
      </c>
      <c r="D153" s="3">
        <v>1</v>
      </c>
      <c r="E153" s="3">
        <v>99.66</v>
      </c>
      <c r="F153" s="3">
        <v>152</v>
      </c>
      <c r="G153" s="3">
        <f t="shared" si="11"/>
        <v>7.6000000000007617E-2</v>
      </c>
      <c r="H153" s="3">
        <f t="shared" si="12"/>
        <v>0.73572120038729538</v>
      </c>
      <c r="I153" s="3">
        <f t="shared" si="13"/>
        <v>7.6000000000007617E-2</v>
      </c>
      <c r="J153" s="3">
        <f t="shared" si="10"/>
        <v>108.25547445255475</v>
      </c>
      <c r="K153" s="29">
        <f t="shared" si="14"/>
        <v>4.6844939379138379</v>
      </c>
    </row>
    <row r="154" spans="1:11" x14ac:dyDescent="0.3">
      <c r="A154" s="26">
        <v>9.7741999999999996E-2</v>
      </c>
      <c r="B154" s="2">
        <v>8.9300000000000004E-2</v>
      </c>
      <c r="C154" s="2" t="s">
        <v>5</v>
      </c>
      <c r="D154" s="2">
        <v>1</v>
      </c>
      <c r="E154" s="2">
        <v>99.736000000000004</v>
      </c>
      <c r="F154" s="2">
        <v>153</v>
      </c>
      <c r="G154" s="2">
        <f t="shared" si="11"/>
        <v>0.11399999999999011</v>
      </c>
      <c r="H154" s="2">
        <f t="shared" si="12"/>
        <v>1.2765957446807403</v>
      </c>
      <c r="I154" s="2">
        <f t="shared" si="13"/>
        <v>0.11399999999999011</v>
      </c>
      <c r="J154" s="2">
        <f t="shared" si="10"/>
        <v>108.25547445255475</v>
      </c>
      <c r="K154" s="27">
        <f t="shared" si="14"/>
        <v>4.6844939379138379</v>
      </c>
    </row>
    <row r="155" spans="1:11" x14ac:dyDescent="0.3">
      <c r="A155" s="28">
        <v>9.7777000000000003E-2</v>
      </c>
      <c r="B155" s="3">
        <v>0.1028</v>
      </c>
      <c r="C155" s="3" t="s">
        <v>5</v>
      </c>
      <c r="D155" s="3">
        <v>1</v>
      </c>
      <c r="E155" s="3">
        <v>99.85</v>
      </c>
      <c r="F155" s="2">
        <v>154</v>
      </c>
      <c r="G155" s="2">
        <f t="shared" si="11"/>
        <v>5.3000000000011482E-2</v>
      </c>
      <c r="H155" s="2">
        <f t="shared" si="12"/>
        <v>0.51556420233474198</v>
      </c>
      <c r="I155" s="2">
        <f t="shared" si="13"/>
        <v>5.3000000000011482E-2</v>
      </c>
      <c r="J155" s="2">
        <f t="shared" si="10"/>
        <v>108.25547445255475</v>
      </c>
      <c r="K155" s="27">
        <f t="shared" si="14"/>
        <v>4.6844939379138379</v>
      </c>
    </row>
    <row r="156" spans="1:11" x14ac:dyDescent="0.3">
      <c r="A156" s="26">
        <v>9.8197000000000007E-2</v>
      </c>
      <c r="B156" s="2">
        <v>0.10580000000000001</v>
      </c>
      <c r="C156" s="2" t="s">
        <v>5</v>
      </c>
      <c r="D156" s="2">
        <v>1</v>
      </c>
      <c r="E156" s="2">
        <v>99.903000000000006</v>
      </c>
      <c r="F156" s="3">
        <v>155</v>
      </c>
      <c r="G156" s="3">
        <f t="shared" si="11"/>
        <v>7.1999999999988518E-2</v>
      </c>
      <c r="H156" s="3">
        <f t="shared" si="12"/>
        <v>0.68052930056699923</v>
      </c>
      <c r="I156" s="3">
        <f t="shared" si="13"/>
        <v>7.1999999999988518E-2</v>
      </c>
      <c r="J156" s="3">
        <f t="shared" si="10"/>
        <v>108.25547445255475</v>
      </c>
      <c r="K156" s="29">
        <f t="shared" si="14"/>
        <v>4.6844939379138379</v>
      </c>
    </row>
    <row r="157" spans="1:11" x14ac:dyDescent="0.3">
      <c r="A157" s="28">
        <v>9.8198999999999995E-2</v>
      </c>
      <c r="B157" s="3">
        <v>7.9799999999999996E-2</v>
      </c>
      <c r="C157" s="3">
        <v>122</v>
      </c>
      <c r="D157" s="3">
        <v>1</v>
      </c>
      <c r="E157" s="3">
        <v>99.974999999999994</v>
      </c>
      <c r="F157" s="2">
        <v>156</v>
      </c>
      <c r="G157" s="2">
        <f t="shared" si="11"/>
        <v>7.000000000000739E-2</v>
      </c>
      <c r="H157" s="2">
        <f t="shared" si="12"/>
        <v>0.87719298245623301</v>
      </c>
      <c r="I157" s="2">
        <f t="shared" si="13"/>
        <v>7.000000000000739E-2</v>
      </c>
      <c r="J157" s="2">
        <f t="shared" si="10"/>
        <v>122</v>
      </c>
      <c r="K157" s="27">
        <f t="shared" si="14"/>
        <v>4.8040210447332568</v>
      </c>
    </row>
    <row r="158" spans="1:11" x14ac:dyDescent="0.3">
      <c r="A158" s="26">
        <v>9.8210000000000006E-2</v>
      </c>
      <c r="B158" s="2">
        <v>9.5399999999999999E-2</v>
      </c>
      <c r="C158" s="2" t="s">
        <v>5</v>
      </c>
      <c r="D158" s="2">
        <v>1</v>
      </c>
      <c r="E158" s="2">
        <v>100.045</v>
      </c>
      <c r="F158" s="3">
        <v>157</v>
      </c>
      <c r="G158" s="3">
        <f t="shared" si="11"/>
        <v>-6.0000000000002274E-3</v>
      </c>
      <c r="H158" s="3">
        <f t="shared" si="12"/>
        <v>-6.2893081761008676E-2</v>
      </c>
      <c r="I158" s="3">
        <f t="shared" si="13"/>
        <v>-6.0000000000002274E-3</v>
      </c>
      <c r="J158" s="3">
        <f t="shared" si="10"/>
        <v>108.25547445255475</v>
      </c>
      <c r="K158" s="29">
        <f t="shared" si="14"/>
        <v>4.6844939379138379</v>
      </c>
    </row>
    <row r="159" spans="1:11" x14ac:dyDescent="0.3">
      <c r="A159" s="28">
        <v>9.8597000000000004E-2</v>
      </c>
      <c r="B159" s="3">
        <v>0.1026</v>
      </c>
      <c r="C159" s="3" t="s">
        <v>5</v>
      </c>
      <c r="D159" s="3">
        <v>1</v>
      </c>
      <c r="E159" s="3">
        <v>100.039</v>
      </c>
      <c r="F159" s="2">
        <v>158</v>
      </c>
      <c r="G159" s="2">
        <f t="shared" si="11"/>
        <v>0.12999999999999545</v>
      </c>
      <c r="H159" s="2">
        <f t="shared" si="12"/>
        <v>1.2670565302143806</v>
      </c>
      <c r="I159" s="2">
        <f t="shared" si="13"/>
        <v>0.12999999999999545</v>
      </c>
      <c r="J159" s="2">
        <f t="shared" si="10"/>
        <v>108.25547445255475</v>
      </c>
      <c r="K159" s="27">
        <f t="shared" si="14"/>
        <v>4.6844939379138379</v>
      </c>
    </row>
    <row r="160" spans="1:11" x14ac:dyDescent="0.3">
      <c r="A160" s="26">
        <v>9.9123000000000003E-2</v>
      </c>
      <c r="B160" s="2">
        <v>0.10920000000000001</v>
      </c>
      <c r="C160" s="2" t="s">
        <v>5</v>
      </c>
      <c r="D160" s="2">
        <v>1</v>
      </c>
      <c r="E160" s="2">
        <v>100.169</v>
      </c>
      <c r="F160" s="3">
        <v>159</v>
      </c>
      <c r="G160" s="3">
        <f t="shared" si="11"/>
        <v>5.8000000000006935E-2</v>
      </c>
      <c r="H160" s="3">
        <f t="shared" si="12"/>
        <v>0.53113553113559464</v>
      </c>
      <c r="I160" s="3">
        <f t="shared" si="13"/>
        <v>5.8000000000006935E-2</v>
      </c>
      <c r="J160" s="3">
        <f t="shared" si="10"/>
        <v>108.25547445255475</v>
      </c>
      <c r="K160" s="29">
        <f t="shared" si="14"/>
        <v>4.6844939379138379</v>
      </c>
    </row>
    <row r="161" spans="1:11" x14ac:dyDescent="0.3">
      <c r="A161" s="28">
        <v>9.9238000000000007E-2</v>
      </c>
      <c r="B161" s="3">
        <v>0.10780000000000001</v>
      </c>
      <c r="C161" s="3">
        <v>82</v>
      </c>
      <c r="D161" s="3">
        <v>1</v>
      </c>
      <c r="E161" s="3">
        <v>100.227</v>
      </c>
      <c r="F161" s="2">
        <v>160</v>
      </c>
      <c r="G161" s="2">
        <f t="shared" si="11"/>
        <v>4.8000000000001819E-2</v>
      </c>
      <c r="H161" s="2">
        <f t="shared" si="12"/>
        <v>0.44526901669760499</v>
      </c>
      <c r="I161" s="2">
        <f t="shared" si="13"/>
        <v>4.8000000000001819E-2</v>
      </c>
      <c r="J161" s="2">
        <f t="shared" si="10"/>
        <v>82</v>
      </c>
      <c r="K161" s="27">
        <f t="shared" si="14"/>
        <v>4.4067192472642533</v>
      </c>
    </row>
    <row r="162" spans="1:11" x14ac:dyDescent="0.3">
      <c r="A162" s="26">
        <v>9.9949999999999997E-2</v>
      </c>
      <c r="B162" s="2">
        <v>8.3000000000000004E-2</v>
      </c>
      <c r="C162" s="2" t="s">
        <v>5</v>
      </c>
      <c r="D162" s="2">
        <v>1</v>
      </c>
      <c r="E162" s="2">
        <v>100.27500000000001</v>
      </c>
      <c r="F162" s="3">
        <v>161</v>
      </c>
      <c r="G162" s="3">
        <f t="shared" si="11"/>
        <v>0.10299999999999443</v>
      </c>
      <c r="H162" s="3">
        <f t="shared" si="12"/>
        <v>1.2409638554216196</v>
      </c>
      <c r="I162" s="3">
        <f t="shared" si="13"/>
        <v>0.10299999999999443</v>
      </c>
      <c r="J162" s="3">
        <f t="shared" si="10"/>
        <v>108.25547445255475</v>
      </c>
      <c r="K162" s="29">
        <f t="shared" si="14"/>
        <v>4.6844939379138379</v>
      </c>
    </row>
    <row r="163" spans="1:11" x14ac:dyDescent="0.3">
      <c r="A163" s="28">
        <v>9.9959000000000006E-2</v>
      </c>
      <c r="B163" s="3">
        <v>8.77E-2</v>
      </c>
      <c r="C163" s="3" t="s">
        <v>5</v>
      </c>
      <c r="D163" s="3">
        <v>-1</v>
      </c>
      <c r="E163" s="3">
        <v>100.378</v>
      </c>
      <c r="F163" s="2">
        <v>162</v>
      </c>
      <c r="G163" s="2">
        <f t="shared" si="11"/>
        <v>-0.11400000000000432</v>
      </c>
      <c r="H163" s="2">
        <f t="shared" si="12"/>
        <v>-1.2998859749145304</v>
      </c>
      <c r="I163" s="2">
        <f t="shared" si="13"/>
        <v>0.11400000000000432</v>
      </c>
      <c r="J163" s="2">
        <f t="shared" si="10"/>
        <v>108.25547445255475</v>
      </c>
      <c r="K163" s="27">
        <f t="shared" si="14"/>
        <v>4.6844939379138379</v>
      </c>
    </row>
    <row r="164" spans="1:11" x14ac:dyDescent="0.3">
      <c r="A164" s="26">
        <v>0.10005</v>
      </c>
      <c r="B164" s="2">
        <v>9.7500000000000003E-2</v>
      </c>
      <c r="C164" s="2" t="s">
        <v>5</v>
      </c>
      <c r="D164" s="2">
        <v>1</v>
      </c>
      <c r="E164" s="2">
        <v>100.264</v>
      </c>
      <c r="F164" s="3">
        <v>163</v>
      </c>
      <c r="G164" s="3">
        <f t="shared" si="11"/>
        <v>-1.9999999999953388E-3</v>
      </c>
      <c r="H164" s="3">
        <f t="shared" si="12"/>
        <v>-2.0512820512772704E-2</v>
      </c>
      <c r="I164" s="3">
        <f t="shared" si="13"/>
        <v>-1.9999999999953388E-3</v>
      </c>
      <c r="J164" s="3">
        <f t="shared" si="10"/>
        <v>108.25547445255475</v>
      </c>
      <c r="K164" s="29">
        <f t="shared" si="14"/>
        <v>4.6844939379138379</v>
      </c>
    </row>
    <row r="165" spans="1:11" x14ac:dyDescent="0.3">
      <c r="A165" s="28">
        <v>0.10158300000000001</v>
      </c>
      <c r="B165" s="3">
        <v>9.4200000000000006E-2</v>
      </c>
      <c r="C165" s="3" t="s">
        <v>5</v>
      </c>
      <c r="D165" s="3">
        <v>-1</v>
      </c>
      <c r="E165" s="3">
        <v>100.262</v>
      </c>
      <c r="F165" s="2">
        <v>164</v>
      </c>
      <c r="G165" s="2">
        <f t="shared" si="11"/>
        <v>-2.1000000000000796E-2</v>
      </c>
      <c r="H165" s="2">
        <f t="shared" si="12"/>
        <v>-0.22292993630574093</v>
      </c>
      <c r="I165" s="2">
        <f t="shared" si="13"/>
        <v>2.1000000000000796E-2</v>
      </c>
      <c r="J165" s="2">
        <f t="shared" si="10"/>
        <v>108.25547445255475</v>
      </c>
      <c r="K165" s="27">
        <f t="shared" si="14"/>
        <v>4.6844939379138379</v>
      </c>
    </row>
    <row r="166" spans="1:11" x14ac:dyDescent="0.3">
      <c r="A166" s="26">
        <v>0.102203</v>
      </c>
      <c r="B166" s="2">
        <v>8.5800000000000001E-2</v>
      </c>
      <c r="C166" s="2">
        <v>174</v>
      </c>
      <c r="D166" s="2">
        <v>1</v>
      </c>
      <c r="E166" s="2">
        <v>100.241</v>
      </c>
      <c r="F166" s="3">
        <v>165</v>
      </c>
      <c r="G166" s="3">
        <f t="shared" si="11"/>
        <v>6.6000000000002501E-2</v>
      </c>
      <c r="H166" s="3">
        <f t="shared" si="12"/>
        <v>0.76923076923079836</v>
      </c>
      <c r="I166" s="3">
        <f t="shared" si="13"/>
        <v>6.6000000000002501E-2</v>
      </c>
      <c r="J166" s="3">
        <f t="shared" si="10"/>
        <v>174</v>
      </c>
      <c r="K166" s="29">
        <f t="shared" si="14"/>
        <v>5.1590552992145291</v>
      </c>
    </row>
    <row r="167" spans="1:11" x14ac:dyDescent="0.3">
      <c r="A167" s="28">
        <v>0.10430200000000001</v>
      </c>
      <c r="B167" s="3">
        <v>0.1067</v>
      </c>
      <c r="C167" s="3" t="s">
        <v>5</v>
      </c>
      <c r="D167" s="3">
        <v>-1</v>
      </c>
      <c r="E167" s="3">
        <v>100.307</v>
      </c>
      <c r="F167" s="2">
        <v>166</v>
      </c>
      <c r="G167" s="2">
        <f t="shared" si="11"/>
        <v>-3.4000000000006025E-2</v>
      </c>
      <c r="H167" s="2">
        <f t="shared" si="12"/>
        <v>-0.31865042174326169</v>
      </c>
      <c r="I167" s="2">
        <f t="shared" si="13"/>
        <v>3.4000000000006025E-2</v>
      </c>
      <c r="J167" s="2">
        <f t="shared" si="10"/>
        <v>108.25547445255475</v>
      </c>
      <c r="K167" s="27">
        <f t="shared" si="14"/>
        <v>4.6844939379138379</v>
      </c>
    </row>
    <row r="168" spans="1:11" x14ac:dyDescent="0.3">
      <c r="A168" s="26">
        <v>0.10509300000000001</v>
      </c>
      <c r="B168" s="2">
        <v>0.1095</v>
      </c>
      <c r="C168" s="2" t="s">
        <v>5</v>
      </c>
      <c r="D168" s="2">
        <v>1</v>
      </c>
      <c r="E168" s="2">
        <v>100.273</v>
      </c>
      <c r="F168" s="3">
        <v>167</v>
      </c>
      <c r="G168" s="3">
        <f t="shared" si="11"/>
        <v>6.7000000000007276E-2</v>
      </c>
      <c r="H168" s="3">
        <f t="shared" si="12"/>
        <v>0.61187214611878793</v>
      </c>
      <c r="I168" s="3">
        <f t="shared" si="13"/>
        <v>6.7000000000007276E-2</v>
      </c>
      <c r="J168" s="3">
        <f t="shared" si="10"/>
        <v>108.25547445255475</v>
      </c>
      <c r="K168" s="29">
        <f t="shared" si="14"/>
        <v>4.6844939379138379</v>
      </c>
    </row>
    <row r="169" spans="1:11" x14ac:dyDescent="0.3">
      <c r="A169" s="28">
        <v>0.105487</v>
      </c>
      <c r="B169" s="3">
        <v>7.9899999999999999E-2</v>
      </c>
      <c r="C169" s="3">
        <v>11</v>
      </c>
      <c r="D169" s="3">
        <v>1</v>
      </c>
      <c r="E169" s="3">
        <v>100.34</v>
      </c>
      <c r="F169" s="2">
        <v>168</v>
      </c>
      <c r="G169" s="2">
        <f t="shared" si="11"/>
        <v>6.9999999999907914E-3</v>
      </c>
      <c r="H169" s="2">
        <f t="shared" si="12"/>
        <v>8.7609511889747083E-2</v>
      </c>
      <c r="I169" s="2">
        <f t="shared" si="13"/>
        <v>6.9999999999907914E-3</v>
      </c>
      <c r="J169" s="2">
        <f t="shared" si="10"/>
        <v>11</v>
      </c>
      <c r="K169" s="27">
        <f t="shared" si="14"/>
        <v>2.3978952727983707</v>
      </c>
    </row>
    <row r="170" spans="1:11" x14ac:dyDescent="0.3">
      <c r="A170" s="26">
        <v>0.106308</v>
      </c>
      <c r="B170" s="2">
        <v>9.4700000000000006E-2</v>
      </c>
      <c r="C170" s="2" t="s">
        <v>5</v>
      </c>
      <c r="D170" s="2">
        <v>-1</v>
      </c>
      <c r="E170" s="2">
        <v>100.34699999999999</v>
      </c>
      <c r="F170" s="3">
        <v>169</v>
      </c>
      <c r="G170" s="3">
        <f t="shared" si="11"/>
        <v>-6.599999999998829E-2</v>
      </c>
      <c r="H170" s="3">
        <f t="shared" si="12"/>
        <v>-0.69693769799354055</v>
      </c>
      <c r="I170" s="3">
        <f t="shared" si="13"/>
        <v>6.599999999998829E-2</v>
      </c>
      <c r="J170" s="3">
        <f t="shared" si="10"/>
        <v>108.25547445255475</v>
      </c>
      <c r="K170" s="29">
        <f t="shared" si="14"/>
        <v>4.6844939379138379</v>
      </c>
    </row>
    <row r="171" spans="1:11" x14ac:dyDescent="0.3">
      <c r="A171" s="28">
        <v>0.106476</v>
      </c>
      <c r="B171" s="3">
        <v>0.11260000000000001</v>
      </c>
      <c r="C171" s="3" t="s">
        <v>5</v>
      </c>
      <c r="D171" s="3">
        <v>1</v>
      </c>
      <c r="E171" s="3">
        <v>100.28100000000001</v>
      </c>
      <c r="F171" s="2">
        <v>170</v>
      </c>
      <c r="G171" s="2">
        <f t="shared" si="11"/>
        <v>2.4999999999991473E-2</v>
      </c>
      <c r="H171" s="2">
        <f t="shared" si="12"/>
        <v>0.22202486678500419</v>
      </c>
      <c r="I171" s="2">
        <f t="shared" si="13"/>
        <v>2.4999999999991473E-2</v>
      </c>
      <c r="J171" s="2">
        <f t="shared" si="10"/>
        <v>108.25547445255475</v>
      </c>
      <c r="K171" s="27">
        <f t="shared" si="14"/>
        <v>4.6844939379138379</v>
      </c>
    </row>
    <row r="172" spans="1:11" x14ac:dyDescent="0.3">
      <c r="A172" s="26">
        <v>0.10926900000000001</v>
      </c>
      <c r="B172" s="2">
        <v>9.5500000000000002E-2</v>
      </c>
      <c r="C172" s="2">
        <v>51</v>
      </c>
      <c r="D172" s="2">
        <v>-1</v>
      </c>
      <c r="E172" s="2">
        <v>100.306</v>
      </c>
      <c r="F172" s="2">
        <v>171</v>
      </c>
      <c r="G172" s="2">
        <f t="shared" si="11"/>
        <v>-4.6999999999997044E-2</v>
      </c>
      <c r="H172" s="2">
        <f t="shared" si="12"/>
        <v>-0.49214659685860779</v>
      </c>
      <c r="I172" s="2">
        <f t="shared" si="13"/>
        <v>4.6999999999997044E-2</v>
      </c>
      <c r="J172" s="2">
        <f t="shared" si="10"/>
        <v>51</v>
      </c>
      <c r="K172" s="27">
        <f t="shared" si="14"/>
        <v>3.9318256327243257</v>
      </c>
    </row>
    <row r="173" spans="1:11" x14ac:dyDescent="0.3">
      <c r="A173" s="28">
        <v>0.109489</v>
      </c>
      <c r="B173" s="3">
        <v>9.1200000000000003E-2</v>
      </c>
      <c r="C173" s="3">
        <v>38</v>
      </c>
      <c r="D173" s="3">
        <v>-1</v>
      </c>
      <c r="E173" s="3">
        <v>100.259</v>
      </c>
      <c r="F173" s="3">
        <v>172</v>
      </c>
      <c r="G173" s="3">
        <f t="shared" si="11"/>
        <v>-3.4999999999996589E-2</v>
      </c>
      <c r="H173" s="3">
        <f t="shared" si="12"/>
        <v>-0.38377192982452402</v>
      </c>
      <c r="I173" s="3">
        <f t="shared" si="13"/>
        <v>3.4999999999996589E-2</v>
      </c>
      <c r="J173" s="3">
        <f t="shared" si="10"/>
        <v>38</v>
      </c>
      <c r="K173" s="29">
        <f t="shared" si="14"/>
        <v>3.6375861597263857</v>
      </c>
    </row>
    <row r="174" spans="1:11" x14ac:dyDescent="0.3">
      <c r="A174" s="26">
        <v>0.10982599999999999</v>
      </c>
      <c r="B174" s="2">
        <v>9.9199999999999997E-2</v>
      </c>
      <c r="C174" s="2" t="s">
        <v>5</v>
      </c>
      <c r="D174" s="2">
        <v>1</v>
      </c>
      <c r="E174" s="2">
        <v>100.224</v>
      </c>
      <c r="F174" s="2">
        <v>173</v>
      </c>
      <c r="G174" s="2">
        <f t="shared" si="11"/>
        <v>3.6000000000001364E-2</v>
      </c>
      <c r="H174" s="2">
        <f t="shared" si="12"/>
        <v>0.36290322580646539</v>
      </c>
      <c r="I174" s="2">
        <f t="shared" si="13"/>
        <v>3.6000000000001364E-2</v>
      </c>
      <c r="J174" s="2">
        <f t="shared" si="10"/>
        <v>108.25547445255475</v>
      </c>
      <c r="K174" s="27">
        <f t="shared" si="14"/>
        <v>4.6844939379138379</v>
      </c>
    </row>
    <row r="175" spans="1:11" x14ac:dyDescent="0.3">
      <c r="A175" s="28">
        <v>0.11038199999999999</v>
      </c>
      <c r="B175" s="3">
        <v>0.1077</v>
      </c>
      <c r="C175" s="3" t="s">
        <v>5</v>
      </c>
      <c r="D175" s="3">
        <v>-1</v>
      </c>
      <c r="E175" s="3">
        <v>100.26</v>
      </c>
      <c r="F175" s="3">
        <v>174</v>
      </c>
      <c r="G175" s="3">
        <f t="shared" si="11"/>
        <v>-7.000000000000739E-2</v>
      </c>
      <c r="H175" s="3">
        <f t="shared" si="12"/>
        <v>-0.6499535747447297</v>
      </c>
      <c r="I175" s="3">
        <f t="shared" si="13"/>
        <v>7.000000000000739E-2</v>
      </c>
      <c r="J175" s="3">
        <f t="shared" si="10"/>
        <v>108.25547445255475</v>
      </c>
      <c r="K175" s="29">
        <f t="shared" si="14"/>
        <v>4.6844939379138379</v>
      </c>
    </row>
    <row r="176" spans="1:11" x14ac:dyDescent="0.3">
      <c r="A176" s="26">
        <v>0.111485</v>
      </c>
      <c r="B176" s="2">
        <v>0.1016</v>
      </c>
      <c r="C176" s="2" t="s">
        <v>5</v>
      </c>
      <c r="D176" s="2">
        <v>1</v>
      </c>
      <c r="E176" s="2">
        <v>100.19</v>
      </c>
      <c r="F176" s="2">
        <v>175</v>
      </c>
      <c r="G176" s="2">
        <f t="shared" si="11"/>
        <v>1.9999999999996021E-2</v>
      </c>
      <c r="H176" s="2">
        <f t="shared" si="12"/>
        <v>0.19685039370074825</v>
      </c>
      <c r="I176" s="2">
        <f t="shared" si="13"/>
        <v>1.9999999999996021E-2</v>
      </c>
      <c r="J176" s="2">
        <f t="shared" si="10"/>
        <v>108.25547445255475</v>
      </c>
      <c r="K176" s="27">
        <f t="shared" si="14"/>
        <v>4.6844939379138379</v>
      </c>
    </row>
    <row r="177" spans="1:11" x14ac:dyDescent="0.3">
      <c r="A177" s="28">
        <v>0.111904</v>
      </c>
      <c r="B177" s="3">
        <v>0.1009</v>
      </c>
      <c r="C177" s="3">
        <v>28</v>
      </c>
      <c r="D177" s="3">
        <v>1</v>
      </c>
      <c r="E177" s="3">
        <v>100.21</v>
      </c>
      <c r="F177" s="3">
        <v>176</v>
      </c>
      <c r="G177" s="3">
        <f t="shared" si="11"/>
        <v>3.0000000000001137E-2</v>
      </c>
      <c r="H177" s="3">
        <f t="shared" si="12"/>
        <v>0.29732408325075455</v>
      </c>
      <c r="I177" s="3">
        <f t="shared" si="13"/>
        <v>3.0000000000001137E-2</v>
      </c>
      <c r="J177" s="3">
        <f t="shared" si="10"/>
        <v>28</v>
      </c>
      <c r="K177" s="29">
        <f t="shared" si="14"/>
        <v>3.3322045101752038</v>
      </c>
    </row>
    <row r="178" spans="1:11" x14ac:dyDescent="0.3">
      <c r="A178" s="26">
        <v>0.112889</v>
      </c>
      <c r="B178" s="2">
        <v>9.9000000000000005E-2</v>
      </c>
      <c r="C178" s="2" t="s">
        <v>5</v>
      </c>
      <c r="D178" s="2">
        <v>-1</v>
      </c>
      <c r="E178" s="2">
        <v>100.24</v>
      </c>
      <c r="F178" s="2">
        <v>177</v>
      </c>
      <c r="G178" s="2">
        <f t="shared" si="11"/>
        <v>-9.9999999999056399E-4</v>
      </c>
      <c r="H178" s="2">
        <f t="shared" si="12"/>
        <v>-1.0101010100914787E-2</v>
      </c>
      <c r="I178" s="2">
        <f t="shared" si="13"/>
        <v>9.9999999999056399E-4</v>
      </c>
      <c r="J178" s="2">
        <f t="shared" si="10"/>
        <v>108.25547445255475</v>
      </c>
      <c r="K178" s="27">
        <f t="shared" si="14"/>
        <v>4.6844939379138379</v>
      </c>
    </row>
    <row r="179" spans="1:11" x14ac:dyDescent="0.3">
      <c r="A179" s="28">
        <v>0.113057</v>
      </c>
      <c r="B179" s="3">
        <v>7.9399999999999998E-2</v>
      </c>
      <c r="C179" s="3" t="s">
        <v>5</v>
      </c>
      <c r="D179" s="3">
        <v>1</v>
      </c>
      <c r="E179" s="3">
        <v>100.239</v>
      </c>
      <c r="F179" s="3">
        <v>178</v>
      </c>
      <c r="G179" s="3">
        <f t="shared" si="11"/>
        <v>4.5000000000001705E-2</v>
      </c>
      <c r="H179" s="3">
        <f t="shared" si="12"/>
        <v>0.56675062972294343</v>
      </c>
      <c r="I179" s="3">
        <f t="shared" si="13"/>
        <v>4.5000000000001705E-2</v>
      </c>
      <c r="J179" s="3">
        <f t="shared" si="10"/>
        <v>108.25547445255475</v>
      </c>
      <c r="K179" s="29">
        <f t="shared" si="14"/>
        <v>4.6844939379138379</v>
      </c>
    </row>
    <row r="180" spans="1:11" x14ac:dyDescent="0.3">
      <c r="A180" s="26">
        <v>0.114511</v>
      </c>
      <c r="B180" s="2">
        <v>9.0499999999999997E-2</v>
      </c>
      <c r="C180" s="2" t="s">
        <v>5</v>
      </c>
      <c r="D180" s="2">
        <v>-1</v>
      </c>
      <c r="E180" s="2">
        <v>100.28400000000001</v>
      </c>
      <c r="F180" s="2">
        <v>179</v>
      </c>
      <c r="G180" s="2">
        <f t="shared" si="11"/>
        <v>-4.600000000000648E-2</v>
      </c>
      <c r="H180" s="2">
        <f t="shared" si="12"/>
        <v>-0.5082872928177512</v>
      </c>
      <c r="I180" s="2">
        <f t="shared" si="13"/>
        <v>4.600000000000648E-2</v>
      </c>
      <c r="J180" s="2">
        <f t="shared" si="10"/>
        <v>108.25547445255475</v>
      </c>
      <c r="K180" s="27">
        <f t="shared" si="14"/>
        <v>4.6844939379138379</v>
      </c>
    </row>
    <row r="181" spans="1:11" x14ac:dyDescent="0.3">
      <c r="A181" s="28">
        <v>0.115589</v>
      </c>
      <c r="B181" s="3">
        <v>0.1021</v>
      </c>
      <c r="C181" s="3" t="s">
        <v>5</v>
      </c>
      <c r="D181" s="3">
        <v>-1</v>
      </c>
      <c r="E181" s="3">
        <v>100.238</v>
      </c>
      <c r="F181" s="3">
        <v>180</v>
      </c>
      <c r="G181" s="3">
        <f t="shared" si="11"/>
        <v>-0.10599999999999454</v>
      </c>
      <c r="H181" s="3">
        <f t="shared" si="12"/>
        <v>-1.0381978452497018</v>
      </c>
      <c r="I181" s="3">
        <f t="shared" si="13"/>
        <v>0.10599999999999454</v>
      </c>
      <c r="J181" s="3">
        <f t="shared" si="10"/>
        <v>108.25547445255475</v>
      </c>
      <c r="K181" s="29">
        <f t="shared" si="14"/>
        <v>4.6844939379138379</v>
      </c>
    </row>
    <row r="182" spans="1:11" x14ac:dyDescent="0.3">
      <c r="A182" s="26">
        <v>0.115928</v>
      </c>
      <c r="B182" s="2">
        <v>9.0499999999999997E-2</v>
      </c>
      <c r="C182" s="2" t="s">
        <v>5</v>
      </c>
      <c r="D182" s="2">
        <v>-1</v>
      </c>
      <c r="E182" s="2">
        <v>100.13200000000001</v>
      </c>
      <c r="F182" s="2">
        <v>181</v>
      </c>
      <c r="G182" s="2">
        <f t="shared" si="11"/>
        <v>-3.8000000000010914E-2</v>
      </c>
      <c r="H182" s="2">
        <f t="shared" si="12"/>
        <v>-0.41988950276255155</v>
      </c>
      <c r="I182" s="2">
        <f t="shared" si="13"/>
        <v>3.8000000000010914E-2</v>
      </c>
      <c r="J182" s="2">
        <f t="shared" si="10"/>
        <v>108.25547445255475</v>
      </c>
      <c r="K182" s="27">
        <f t="shared" si="14"/>
        <v>4.6844939379138379</v>
      </c>
    </row>
    <row r="183" spans="1:11" x14ac:dyDescent="0.3">
      <c r="A183" s="28">
        <v>0.116022</v>
      </c>
      <c r="B183" s="3">
        <v>0.10440000000000001</v>
      </c>
      <c r="C183" s="3" t="s">
        <v>5</v>
      </c>
      <c r="D183" s="3">
        <v>1</v>
      </c>
      <c r="E183" s="3">
        <v>100.09399999999999</v>
      </c>
      <c r="F183" s="3">
        <v>182</v>
      </c>
      <c r="G183" s="3">
        <f t="shared" si="11"/>
        <v>2.3000000000010346E-2</v>
      </c>
      <c r="H183" s="3">
        <f t="shared" si="12"/>
        <v>0.22030651341006077</v>
      </c>
      <c r="I183" s="3">
        <f t="shared" si="13"/>
        <v>2.3000000000010346E-2</v>
      </c>
      <c r="J183" s="3">
        <f t="shared" si="10"/>
        <v>108.25547445255475</v>
      </c>
      <c r="K183" s="29">
        <f t="shared" si="14"/>
        <v>4.6844939379138379</v>
      </c>
    </row>
    <row r="184" spans="1:11" x14ac:dyDescent="0.3">
      <c r="A184" s="26">
        <v>0.11622200000000001</v>
      </c>
      <c r="B184" s="2">
        <v>0.1032</v>
      </c>
      <c r="C184" s="2" t="s">
        <v>5</v>
      </c>
      <c r="D184" s="2">
        <v>-1</v>
      </c>
      <c r="E184" s="2">
        <v>100.117</v>
      </c>
      <c r="F184" s="2">
        <v>183</v>
      </c>
      <c r="G184" s="2">
        <f t="shared" si="11"/>
        <v>-3.6000000000001364E-2</v>
      </c>
      <c r="H184" s="2">
        <f t="shared" si="12"/>
        <v>-0.3488372093023388</v>
      </c>
      <c r="I184" s="2">
        <f t="shared" si="13"/>
        <v>3.6000000000001364E-2</v>
      </c>
      <c r="J184" s="2">
        <f t="shared" si="10"/>
        <v>108.25547445255475</v>
      </c>
      <c r="K184" s="27">
        <f t="shared" si="14"/>
        <v>4.6844939379138379</v>
      </c>
    </row>
    <row r="185" spans="1:11" x14ac:dyDescent="0.3">
      <c r="A185" s="28">
        <v>0.116302</v>
      </c>
      <c r="B185" s="3">
        <v>0.1103</v>
      </c>
      <c r="C185" s="3" t="s">
        <v>5</v>
      </c>
      <c r="D185" s="3">
        <v>1</v>
      </c>
      <c r="E185" s="3">
        <v>100.081</v>
      </c>
      <c r="F185" s="3">
        <v>184</v>
      </c>
      <c r="G185" s="3">
        <f t="shared" si="11"/>
        <v>0.10899999999999466</v>
      </c>
      <c r="H185" s="3">
        <f t="shared" si="12"/>
        <v>0.98821396192198241</v>
      </c>
      <c r="I185" s="3">
        <f t="shared" si="13"/>
        <v>0.10899999999999466</v>
      </c>
      <c r="J185" s="3">
        <f t="shared" si="10"/>
        <v>108.25547445255475</v>
      </c>
      <c r="K185" s="29">
        <f t="shared" si="14"/>
        <v>4.6844939379138379</v>
      </c>
    </row>
    <row r="186" spans="1:11" x14ac:dyDescent="0.3">
      <c r="A186" s="26">
        <v>0.116714</v>
      </c>
      <c r="B186" s="2">
        <v>9.6699999999999994E-2</v>
      </c>
      <c r="C186" s="2" t="s">
        <v>5</v>
      </c>
      <c r="D186" s="2">
        <v>-1</v>
      </c>
      <c r="E186" s="2">
        <v>100.19</v>
      </c>
      <c r="F186" s="2">
        <v>185</v>
      </c>
      <c r="G186" s="2">
        <f t="shared" si="11"/>
        <v>-0.10299999999999443</v>
      </c>
      <c r="H186" s="2">
        <f t="shared" si="12"/>
        <v>-1.0651499482936342</v>
      </c>
      <c r="I186" s="2">
        <f t="shared" si="13"/>
        <v>0.10299999999999443</v>
      </c>
      <c r="J186" s="2">
        <f t="shared" si="10"/>
        <v>108.25547445255475</v>
      </c>
      <c r="K186" s="27">
        <f t="shared" si="14"/>
        <v>4.6844939379138379</v>
      </c>
    </row>
    <row r="187" spans="1:11" x14ac:dyDescent="0.3">
      <c r="A187" s="28">
        <v>0.117677</v>
      </c>
      <c r="B187" s="3">
        <v>0.10920000000000001</v>
      </c>
      <c r="C187" s="3" t="s">
        <v>5</v>
      </c>
      <c r="D187" s="3">
        <v>1</v>
      </c>
      <c r="E187" s="3">
        <v>100.087</v>
      </c>
      <c r="F187" s="3">
        <v>186</v>
      </c>
      <c r="G187" s="3">
        <f t="shared" si="11"/>
        <v>0.10499999999998977</v>
      </c>
      <c r="H187" s="3">
        <f t="shared" si="12"/>
        <v>0.96153846153836775</v>
      </c>
      <c r="I187" s="3">
        <f t="shared" si="13"/>
        <v>0.10499999999998977</v>
      </c>
      <c r="J187" s="3">
        <f t="shared" si="10"/>
        <v>108.25547445255475</v>
      </c>
      <c r="K187" s="29">
        <f t="shared" si="14"/>
        <v>4.6844939379138379</v>
      </c>
    </row>
    <row r="188" spans="1:11" x14ac:dyDescent="0.3">
      <c r="A188" s="26">
        <v>0.117949</v>
      </c>
      <c r="B188" s="2">
        <v>9.2899999999999996E-2</v>
      </c>
      <c r="C188" s="2">
        <v>10</v>
      </c>
      <c r="D188" s="2">
        <v>-1</v>
      </c>
      <c r="E188" s="2">
        <v>100.19199999999999</v>
      </c>
      <c r="F188" s="2">
        <v>187</v>
      </c>
      <c r="G188" s="2">
        <f t="shared" si="11"/>
        <v>-2.0999999999986585E-2</v>
      </c>
      <c r="H188" s="2">
        <f t="shared" si="12"/>
        <v>-0.22604951560803643</v>
      </c>
      <c r="I188" s="2">
        <f t="shared" si="13"/>
        <v>2.0999999999986585E-2</v>
      </c>
      <c r="J188" s="2">
        <f t="shared" si="10"/>
        <v>10</v>
      </c>
      <c r="K188" s="27">
        <f t="shared" si="14"/>
        <v>2.3025850929940459</v>
      </c>
    </row>
    <row r="189" spans="1:11" x14ac:dyDescent="0.3">
      <c r="A189" s="28">
        <v>0.119063</v>
      </c>
      <c r="B189" s="3">
        <v>0.1089</v>
      </c>
      <c r="C189" s="3" t="s">
        <v>5</v>
      </c>
      <c r="D189" s="3">
        <v>-1</v>
      </c>
      <c r="E189" s="3">
        <v>100.17100000000001</v>
      </c>
      <c r="F189" s="2">
        <v>188</v>
      </c>
      <c r="G189" s="2">
        <f t="shared" si="11"/>
        <v>-3.50000000000108E-2</v>
      </c>
      <c r="H189" s="2">
        <f t="shared" si="12"/>
        <v>-0.32139577594132968</v>
      </c>
      <c r="I189" s="2">
        <f t="shared" si="13"/>
        <v>3.50000000000108E-2</v>
      </c>
      <c r="J189" s="2">
        <f t="shared" si="10"/>
        <v>108.25547445255475</v>
      </c>
      <c r="K189" s="27">
        <f t="shared" si="14"/>
        <v>4.6844939379138379</v>
      </c>
    </row>
    <row r="190" spans="1:11" x14ac:dyDescent="0.3">
      <c r="A190" s="26">
        <v>0.12008000000000001</v>
      </c>
      <c r="B190" s="2">
        <v>9.7000000000000003E-2</v>
      </c>
      <c r="C190" s="2" t="s">
        <v>5</v>
      </c>
      <c r="D190" s="2">
        <v>1</v>
      </c>
      <c r="E190" s="2">
        <v>100.136</v>
      </c>
      <c r="F190" s="3">
        <v>189</v>
      </c>
      <c r="G190" s="3">
        <f t="shared" si="11"/>
        <v>9.3000000000003524E-2</v>
      </c>
      <c r="H190" s="3">
        <f t="shared" si="12"/>
        <v>0.95876288659797448</v>
      </c>
      <c r="I190" s="3">
        <f t="shared" si="13"/>
        <v>9.3000000000003524E-2</v>
      </c>
      <c r="J190" s="3">
        <f t="shared" si="10"/>
        <v>108.25547445255475</v>
      </c>
      <c r="K190" s="29">
        <f t="shared" si="14"/>
        <v>4.6844939379138379</v>
      </c>
    </row>
    <row r="191" spans="1:11" x14ac:dyDescent="0.3">
      <c r="A191" s="28">
        <v>0.120682</v>
      </c>
      <c r="B191" s="3">
        <v>9.1700000000000004E-2</v>
      </c>
      <c r="C191" s="3" t="s">
        <v>5</v>
      </c>
      <c r="D191" s="3">
        <v>1</v>
      </c>
      <c r="E191" s="3">
        <v>100.229</v>
      </c>
      <c r="F191" s="2">
        <v>190</v>
      </c>
      <c r="G191" s="2">
        <f t="shared" si="11"/>
        <v>3.6000000000001364E-2</v>
      </c>
      <c r="H191" s="2">
        <f t="shared" si="12"/>
        <v>0.39258451472193417</v>
      </c>
      <c r="I191" s="2">
        <f t="shared" si="13"/>
        <v>3.6000000000001364E-2</v>
      </c>
      <c r="J191" s="2">
        <f t="shared" si="10"/>
        <v>108.25547445255475</v>
      </c>
      <c r="K191" s="27">
        <f t="shared" si="14"/>
        <v>4.6844939379138379</v>
      </c>
    </row>
    <row r="192" spans="1:11" x14ac:dyDescent="0.3">
      <c r="A192" s="26">
        <v>0.121228</v>
      </c>
      <c r="B192" s="2">
        <v>9.0499999999999997E-2</v>
      </c>
      <c r="C192" s="2" t="s">
        <v>5</v>
      </c>
      <c r="D192" s="2">
        <v>-1</v>
      </c>
      <c r="E192" s="2">
        <v>100.265</v>
      </c>
      <c r="F192" s="3">
        <v>191</v>
      </c>
      <c r="G192" s="3">
        <f t="shared" si="11"/>
        <v>-3.0000000000001137E-2</v>
      </c>
      <c r="H192" s="3">
        <f t="shared" si="12"/>
        <v>-0.33149171270719491</v>
      </c>
      <c r="I192" s="3">
        <f t="shared" si="13"/>
        <v>3.0000000000001137E-2</v>
      </c>
      <c r="J192" s="3">
        <f t="shared" si="10"/>
        <v>108.25547445255475</v>
      </c>
      <c r="K192" s="29">
        <f t="shared" si="14"/>
        <v>4.6844939379138379</v>
      </c>
    </row>
    <row r="193" spans="1:11" x14ac:dyDescent="0.3">
      <c r="A193" s="28">
        <v>0.121502</v>
      </c>
      <c r="B193" s="3">
        <v>9.4600000000000004E-2</v>
      </c>
      <c r="C193" s="3" t="s">
        <v>5</v>
      </c>
      <c r="D193" s="3">
        <v>-1</v>
      </c>
      <c r="E193" s="3">
        <v>100.235</v>
      </c>
      <c r="F193" s="2">
        <v>192</v>
      </c>
      <c r="G193" s="2">
        <f t="shared" si="11"/>
        <v>-5.8999999999997499E-2</v>
      </c>
      <c r="H193" s="2">
        <f t="shared" si="12"/>
        <v>-0.62367864693443442</v>
      </c>
      <c r="I193" s="2">
        <f t="shared" si="13"/>
        <v>5.8999999999997499E-2</v>
      </c>
      <c r="J193" s="2">
        <f t="shared" si="10"/>
        <v>108.25547445255475</v>
      </c>
      <c r="K193" s="27">
        <f t="shared" si="14"/>
        <v>4.6844939379138379</v>
      </c>
    </row>
    <row r="194" spans="1:11" x14ac:dyDescent="0.3">
      <c r="A194" s="26">
        <v>0.12160799999999999</v>
      </c>
      <c r="B194" s="2">
        <v>0.1004</v>
      </c>
      <c r="C194" s="2" t="s">
        <v>5</v>
      </c>
      <c r="D194" s="2">
        <v>-1</v>
      </c>
      <c r="E194" s="2">
        <v>100.176</v>
      </c>
      <c r="F194" s="3">
        <v>193</v>
      </c>
      <c r="G194" s="3">
        <f t="shared" si="11"/>
        <v>-4.600000000000648E-2</v>
      </c>
      <c r="H194" s="3">
        <f t="shared" si="12"/>
        <v>-0.45816733067735538</v>
      </c>
      <c r="I194" s="3">
        <f t="shared" si="13"/>
        <v>4.600000000000648E-2</v>
      </c>
      <c r="J194" s="3">
        <f t="shared" ref="J194:J257" si="15">IF(C194="",$AA$1,C194)</f>
        <v>108.25547445255475</v>
      </c>
      <c r="K194" s="29">
        <f t="shared" si="14"/>
        <v>4.6844939379138379</v>
      </c>
    </row>
    <row r="195" spans="1:11" x14ac:dyDescent="0.3">
      <c r="A195" s="28">
        <v>0.122252</v>
      </c>
      <c r="B195" s="3">
        <v>0.1094</v>
      </c>
      <c r="C195" s="3" t="s">
        <v>5</v>
      </c>
      <c r="D195" s="3">
        <v>1</v>
      </c>
      <c r="E195" s="3">
        <v>100.13</v>
      </c>
      <c r="F195" s="2">
        <v>194</v>
      </c>
      <c r="G195" s="2">
        <f t="shared" ref="G195:G258" si="16">E196-E195</f>
        <v>2.7000000000001023E-2</v>
      </c>
      <c r="H195" s="2">
        <f t="shared" ref="H195:H258" si="17">IF(B195&lt;&gt;0,G195/B195,"")</f>
        <v>0.24680073126143531</v>
      </c>
      <c r="I195" s="2">
        <f t="shared" ref="I195:I258" si="18">D195*G195</f>
        <v>2.7000000000001023E-2</v>
      </c>
      <c r="J195" s="2">
        <f t="shared" si="15"/>
        <v>108.25547445255475</v>
      </c>
      <c r="K195" s="27">
        <f t="shared" ref="K195:K258" si="19">LN(J195)</f>
        <v>4.6844939379138379</v>
      </c>
    </row>
    <row r="196" spans="1:11" x14ac:dyDescent="0.3">
      <c r="A196" s="26">
        <v>0.12320299999999999</v>
      </c>
      <c r="B196" s="2">
        <v>0.10199999999999999</v>
      </c>
      <c r="C196" s="2" t="s">
        <v>5</v>
      </c>
      <c r="D196" s="2">
        <v>-1</v>
      </c>
      <c r="E196" s="2">
        <v>100.157</v>
      </c>
      <c r="F196" s="3">
        <v>195</v>
      </c>
      <c r="G196" s="3">
        <f t="shared" si="16"/>
        <v>-1.5999999999991132E-2</v>
      </c>
      <c r="H196" s="3">
        <f t="shared" si="17"/>
        <v>-0.15686274509795228</v>
      </c>
      <c r="I196" s="3">
        <f t="shared" si="18"/>
        <v>1.5999999999991132E-2</v>
      </c>
      <c r="J196" s="3">
        <f t="shared" si="15"/>
        <v>108.25547445255475</v>
      </c>
      <c r="K196" s="29">
        <f t="shared" si="19"/>
        <v>4.6844939379138379</v>
      </c>
    </row>
    <row r="197" spans="1:11" x14ac:dyDescent="0.3">
      <c r="A197" s="28">
        <v>0.123825</v>
      </c>
      <c r="B197" s="3">
        <v>0.10440000000000001</v>
      </c>
      <c r="C197" s="3" t="s">
        <v>5</v>
      </c>
      <c r="D197" s="3">
        <v>1</v>
      </c>
      <c r="E197" s="3">
        <v>100.14100000000001</v>
      </c>
      <c r="F197" s="2">
        <v>196</v>
      </c>
      <c r="G197" s="2">
        <f t="shared" si="16"/>
        <v>5.7999999999992724E-2</v>
      </c>
      <c r="H197" s="2">
        <f t="shared" si="17"/>
        <v>0.55555555555548586</v>
      </c>
      <c r="I197" s="2">
        <f t="shared" si="18"/>
        <v>5.7999999999992724E-2</v>
      </c>
      <c r="J197" s="2">
        <f t="shared" si="15"/>
        <v>108.25547445255475</v>
      </c>
      <c r="K197" s="27">
        <f t="shared" si="19"/>
        <v>4.6844939379138379</v>
      </c>
    </row>
    <row r="198" spans="1:11" x14ac:dyDescent="0.3">
      <c r="A198" s="26">
        <v>0.1245</v>
      </c>
      <c r="B198" s="2">
        <v>9.8699999999999996E-2</v>
      </c>
      <c r="C198" s="2">
        <v>182</v>
      </c>
      <c r="D198" s="2">
        <v>-1</v>
      </c>
      <c r="E198" s="2">
        <v>100.199</v>
      </c>
      <c r="F198" s="3">
        <v>197</v>
      </c>
      <c r="G198" s="3">
        <f t="shared" si="16"/>
        <v>-0.10099999999999909</v>
      </c>
      <c r="H198" s="3">
        <f t="shared" si="17"/>
        <v>-1.0233029381965459</v>
      </c>
      <c r="I198" s="3">
        <f t="shared" si="18"/>
        <v>0.10099999999999909</v>
      </c>
      <c r="J198" s="3">
        <f t="shared" si="15"/>
        <v>182</v>
      </c>
      <c r="K198" s="29">
        <f t="shared" si="19"/>
        <v>5.2040066870767951</v>
      </c>
    </row>
    <row r="199" spans="1:11" x14ac:dyDescent="0.3">
      <c r="A199" s="28">
        <v>0.124919</v>
      </c>
      <c r="B199" s="3">
        <v>0.1056</v>
      </c>
      <c r="C199" s="3" t="s">
        <v>5</v>
      </c>
      <c r="D199" s="3">
        <v>1</v>
      </c>
      <c r="E199" s="3">
        <v>100.098</v>
      </c>
      <c r="F199" s="2">
        <v>198</v>
      </c>
      <c r="G199" s="2">
        <f t="shared" si="16"/>
        <v>3.4000000000006025E-2</v>
      </c>
      <c r="H199" s="2">
        <f t="shared" si="17"/>
        <v>0.32196969696975403</v>
      </c>
      <c r="I199" s="2">
        <f t="shared" si="18"/>
        <v>3.4000000000006025E-2</v>
      </c>
      <c r="J199" s="2">
        <f t="shared" si="15"/>
        <v>108.25547445255475</v>
      </c>
      <c r="K199" s="27">
        <f t="shared" si="19"/>
        <v>4.6844939379138379</v>
      </c>
    </row>
    <row r="200" spans="1:11" x14ac:dyDescent="0.3">
      <c r="A200" s="26">
        <v>0.12745100000000001</v>
      </c>
      <c r="B200" s="2">
        <v>0.1051</v>
      </c>
      <c r="C200" s="2" t="s">
        <v>5</v>
      </c>
      <c r="D200" s="2">
        <v>-1</v>
      </c>
      <c r="E200" s="2">
        <v>100.13200000000001</v>
      </c>
      <c r="F200" s="3">
        <v>199</v>
      </c>
      <c r="G200" s="3">
        <f t="shared" si="16"/>
        <v>-8.8000000000008072E-2</v>
      </c>
      <c r="H200" s="3">
        <f t="shared" si="17"/>
        <v>-0.83729781160806915</v>
      </c>
      <c r="I200" s="3">
        <f t="shared" si="18"/>
        <v>8.8000000000008072E-2</v>
      </c>
      <c r="J200" s="3">
        <f t="shared" si="15"/>
        <v>108.25547445255475</v>
      </c>
      <c r="K200" s="29">
        <f t="shared" si="19"/>
        <v>4.6844939379138379</v>
      </c>
    </row>
    <row r="201" spans="1:11" x14ac:dyDescent="0.3">
      <c r="A201" s="28">
        <v>0.127722</v>
      </c>
      <c r="B201" s="3">
        <v>9.9400000000000002E-2</v>
      </c>
      <c r="C201" s="3" t="s">
        <v>5</v>
      </c>
      <c r="D201" s="3">
        <v>1</v>
      </c>
      <c r="E201" s="3">
        <v>100.044</v>
      </c>
      <c r="F201" s="2">
        <v>200</v>
      </c>
      <c r="G201" s="2">
        <f t="shared" si="16"/>
        <v>8.8999999999998636E-2</v>
      </c>
      <c r="H201" s="2">
        <f t="shared" si="17"/>
        <v>0.89537223340038863</v>
      </c>
      <c r="I201" s="2">
        <f t="shared" si="18"/>
        <v>8.8999999999998636E-2</v>
      </c>
      <c r="J201" s="2">
        <f t="shared" si="15"/>
        <v>108.25547445255475</v>
      </c>
      <c r="K201" s="27">
        <f t="shared" si="19"/>
        <v>4.6844939379138379</v>
      </c>
    </row>
    <row r="202" spans="1:11" x14ac:dyDescent="0.3">
      <c r="A202" s="26">
        <v>0.12951799999999999</v>
      </c>
      <c r="B202" s="2">
        <v>0.1018</v>
      </c>
      <c r="C202" s="2" t="s">
        <v>5</v>
      </c>
      <c r="D202" s="2">
        <v>1</v>
      </c>
      <c r="E202" s="2">
        <v>100.133</v>
      </c>
      <c r="F202" s="3">
        <v>201</v>
      </c>
      <c r="G202" s="3">
        <f t="shared" si="16"/>
        <v>5.4000000000002046E-2</v>
      </c>
      <c r="H202" s="3">
        <f t="shared" si="17"/>
        <v>0.53045186640473518</v>
      </c>
      <c r="I202" s="3">
        <f t="shared" si="18"/>
        <v>5.4000000000002046E-2</v>
      </c>
      <c r="J202" s="3">
        <f t="shared" si="15"/>
        <v>108.25547445255475</v>
      </c>
      <c r="K202" s="29">
        <f t="shared" si="19"/>
        <v>4.6844939379138379</v>
      </c>
    </row>
    <row r="203" spans="1:11" x14ac:dyDescent="0.3">
      <c r="A203" s="28">
        <v>0.13014700000000001</v>
      </c>
      <c r="B203" s="3">
        <v>0.108</v>
      </c>
      <c r="C203" s="3" t="s">
        <v>5</v>
      </c>
      <c r="D203" s="3">
        <v>-1</v>
      </c>
      <c r="E203" s="3">
        <v>100.187</v>
      </c>
      <c r="F203" s="2">
        <v>202</v>
      </c>
      <c r="G203" s="2">
        <f t="shared" si="16"/>
        <v>-0.17999999999999261</v>
      </c>
      <c r="H203" s="2">
        <f t="shared" si="17"/>
        <v>-1.6666666666665984</v>
      </c>
      <c r="I203" s="2">
        <f t="shared" si="18"/>
        <v>0.17999999999999261</v>
      </c>
      <c r="J203" s="2">
        <f t="shared" si="15"/>
        <v>108.25547445255475</v>
      </c>
      <c r="K203" s="27">
        <f t="shared" si="19"/>
        <v>4.6844939379138379</v>
      </c>
    </row>
    <row r="204" spans="1:11" x14ac:dyDescent="0.3">
      <c r="A204" s="26">
        <v>0.13144</v>
      </c>
      <c r="B204" s="2">
        <v>0.10050000000000001</v>
      </c>
      <c r="C204" s="2" t="s">
        <v>5</v>
      </c>
      <c r="D204" s="2">
        <v>-1</v>
      </c>
      <c r="E204" s="2">
        <v>100.00700000000001</v>
      </c>
      <c r="F204" s="3">
        <v>203</v>
      </c>
      <c r="G204" s="3">
        <f t="shared" si="16"/>
        <v>-7.6000000000007617E-2</v>
      </c>
      <c r="H204" s="3">
        <f t="shared" si="17"/>
        <v>-0.75621890547271253</v>
      </c>
      <c r="I204" s="3">
        <f t="shared" si="18"/>
        <v>7.6000000000007617E-2</v>
      </c>
      <c r="J204" s="3">
        <f t="shared" si="15"/>
        <v>108.25547445255475</v>
      </c>
      <c r="K204" s="29">
        <f t="shared" si="19"/>
        <v>4.6844939379138379</v>
      </c>
    </row>
    <row r="205" spans="1:11" x14ac:dyDescent="0.3">
      <c r="A205" s="28">
        <v>0.13189000000000001</v>
      </c>
      <c r="B205" s="3">
        <v>9.4799999999999995E-2</v>
      </c>
      <c r="C205" s="3" t="s">
        <v>5</v>
      </c>
      <c r="D205" s="3">
        <v>-1</v>
      </c>
      <c r="E205" s="3">
        <v>99.930999999999997</v>
      </c>
      <c r="F205" s="2">
        <v>204</v>
      </c>
      <c r="G205" s="2">
        <f t="shared" si="16"/>
        <v>-4.6999999999997044E-2</v>
      </c>
      <c r="H205" s="2">
        <f t="shared" si="17"/>
        <v>-0.49578059071726843</v>
      </c>
      <c r="I205" s="2">
        <f t="shared" si="18"/>
        <v>4.6999999999997044E-2</v>
      </c>
      <c r="J205" s="2">
        <f t="shared" si="15"/>
        <v>108.25547445255475</v>
      </c>
      <c r="K205" s="27">
        <f t="shared" si="19"/>
        <v>4.6844939379138379</v>
      </c>
    </row>
    <row r="206" spans="1:11" x14ac:dyDescent="0.3">
      <c r="A206" s="26">
        <v>0.132241</v>
      </c>
      <c r="B206" s="2">
        <v>8.8800000000000004E-2</v>
      </c>
      <c r="C206" s="2" t="s">
        <v>5</v>
      </c>
      <c r="D206" s="2">
        <v>-1</v>
      </c>
      <c r="E206" s="2">
        <v>99.884</v>
      </c>
      <c r="F206" s="2">
        <v>205</v>
      </c>
      <c r="G206" s="2">
        <f t="shared" si="16"/>
        <v>-4.0000000000006253E-2</v>
      </c>
      <c r="H206" s="2">
        <f t="shared" si="17"/>
        <v>-0.45045045045052085</v>
      </c>
      <c r="I206" s="2">
        <f t="shared" si="18"/>
        <v>4.0000000000006253E-2</v>
      </c>
      <c r="J206" s="2">
        <f t="shared" si="15"/>
        <v>108.25547445255475</v>
      </c>
      <c r="K206" s="27">
        <f t="shared" si="19"/>
        <v>4.6844939379138379</v>
      </c>
    </row>
    <row r="207" spans="1:11" x14ac:dyDescent="0.3">
      <c r="A207" s="28">
        <v>0.13236000000000001</v>
      </c>
      <c r="B207" s="3">
        <v>0.1158</v>
      </c>
      <c r="C207" s="3" t="s">
        <v>5</v>
      </c>
      <c r="D207" s="3">
        <v>-1</v>
      </c>
      <c r="E207" s="3">
        <v>99.843999999999994</v>
      </c>
      <c r="F207" s="3">
        <v>206</v>
      </c>
      <c r="G207" s="3">
        <f t="shared" si="16"/>
        <v>-0.19299999999999784</v>
      </c>
      <c r="H207" s="3">
        <f t="shared" si="17"/>
        <v>-1.6666666666666481</v>
      </c>
      <c r="I207" s="3">
        <f t="shared" si="18"/>
        <v>0.19299999999999784</v>
      </c>
      <c r="J207" s="3">
        <f t="shared" si="15"/>
        <v>108.25547445255475</v>
      </c>
      <c r="K207" s="29">
        <f t="shared" si="19"/>
        <v>4.6844939379138379</v>
      </c>
    </row>
    <row r="208" spans="1:11" x14ac:dyDescent="0.3">
      <c r="A208" s="26">
        <v>0.13258600000000001</v>
      </c>
      <c r="B208" s="2">
        <v>9.8799999999999999E-2</v>
      </c>
      <c r="C208" s="2" t="s">
        <v>5</v>
      </c>
      <c r="D208" s="2">
        <v>1</v>
      </c>
      <c r="E208" s="2">
        <v>99.650999999999996</v>
      </c>
      <c r="F208" s="2">
        <v>207</v>
      </c>
      <c r="G208" s="2">
        <f t="shared" si="16"/>
        <v>1.8000000000000682E-2</v>
      </c>
      <c r="H208" s="2">
        <f t="shared" si="17"/>
        <v>0.18218623481782067</v>
      </c>
      <c r="I208" s="2">
        <f t="shared" si="18"/>
        <v>1.8000000000000682E-2</v>
      </c>
      <c r="J208" s="2">
        <f t="shared" si="15"/>
        <v>108.25547445255475</v>
      </c>
      <c r="K208" s="27">
        <f t="shared" si="19"/>
        <v>4.6844939379138379</v>
      </c>
    </row>
    <row r="209" spans="1:11" x14ac:dyDescent="0.3">
      <c r="A209" s="28">
        <v>0.13283500000000001</v>
      </c>
      <c r="B209" s="3">
        <v>0.1123</v>
      </c>
      <c r="C209" s="3" t="s">
        <v>5</v>
      </c>
      <c r="D209" s="3">
        <v>-1</v>
      </c>
      <c r="E209" s="3">
        <v>99.668999999999997</v>
      </c>
      <c r="F209" s="3">
        <v>208</v>
      </c>
      <c r="G209" s="3">
        <f t="shared" si="16"/>
        <v>-0.16199999999999193</v>
      </c>
      <c r="H209" s="3">
        <f t="shared" si="17"/>
        <v>-1.4425645592163128</v>
      </c>
      <c r="I209" s="3">
        <f t="shared" si="18"/>
        <v>0.16199999999999193</v>
      </c>
      <c r="J209" s="3">
        <f t="shared" si="15"/>
        <v>108.25547445255475</v>
      </c>
      <c r="K209" s="29">
        <f t="shared" si="19"/>
        <v>4.6844939379138379</v>
      </c>
    </row>
    <row r="210" spans="1:11" x14ac:dyDescent="0.3">
      <c r="A210" s="26">
        <v>0.13405400000000001</v>
      </c>
      <c r="B210" s="2">
        <v>0.1043</v>
      </c>
      <c r="C210" s="2" t="s">
        <v>5</v>
      </c>
      <c r="D210" s="2">
        <v>1</v>
      </c>
      <c r="E210" s="2">
        <v>99.507000000000005</v>
      </c>
      <c r="F210" s="2">
        <v>209</v>
      </c>
      <c r="G210" s="2">
        <f t="shared" si="16"/>
        <v>6.3999999999992951E-2</v>
      </c>
      <c r="H210" s="2">
        <f t="shared" si="17"/>
        <v>0.61361457334604941</v>
      </c>
      <c r="I210" s="2">
        <f t="shared" si="18"/>
        <v>6.3999999999992951E-2</v>
      </c>
      <c r="J210" s="2">
        <f t="shared" si="15"/>
        <v>108.25547445255475</v>
      </c>
      <c r="K210" s="27">
        <f t="shared" si="19"/>
        <v>4.6844939379138379</v>
      </c>
    </row>
    <row r="211" spans="1:11" x14ac:dyDescent="0.3">
      <c r="A211" s="28">
        <v>0.13466800000000001</v>
      </c>
      <c r="B211" s="3">
        <v>0.1069</v>
      </c>
      <c r="C211" s="3" t="s">
        <v>5</v>
      </c>
      <c r="D211" s="3">
        <v>-1</v>
      </c>
      <c r="E211" s="3">
        <v>99.570999999999998</v>
      </c>
      <c r="F211" s="3">
        <v>210</v>
      </c>
      <c r="G211" s="3">
        <f t="shared" si="16"/>
        <v>-7.5999999999993406E-2</v>
      </c>
      <c r="H211" s="3">
        <f t="shared" si="17"/>
        <v>-0.71094480823193085</v>
      </c>
      <c r="I211" s="3">
        <f t="shared" si="18"/>
        <v>7.5999999999993406E-2</v>
      </c>
      <c r="J211" s="3">
        <f t="shared" si="15"/>
        <v>108.25547445255475</v>
      </c>
      <c r="K211" s="29">
        <f t="shared" si="19"/>
        <v>4.6844939379138379</v>
      </c>
    </row>
    <row r="212" spans="1:11" x14ac:dyDescent="0.3">
      <c r="A212" s="26">
        <v>0.13484499999999999</v>
      </c>
      <c r="B212" s="2">
        <v>0.1133</v>
      </c>
      <c r="C212" s="2" t="s">
        <v>5</v>
      </c>
      <c r="D212" s="2">
        <v>-1</v>
      </c>
      <c r="E212" s="2">
        <v>99.495000000000005</v>
      </c>
      <c r="F212" s="2">
        <v>211</v>
      </c>
      <c r="G212" s="2">
        <f t="shared" si="16"/>
        <v>1.2000000000000455E-2</v>
      </c>
      <c r="H212" s="2">
        <f t="shared" si="17"/>
        <v>0.10591350397176041</v>
      </c>
      <c r="I212" s="2">
        <f t="shared" si="18"/>
        <v>-1.2000000000000455E-2</v>
      </c>
      <c r="J212" s="2">
        <f t="shared" si="15"/>
        <v>108.25547445255475</v>
      </c>
      <c r="K212" s="27">
        <f t="shared" si="19"/>
        <v>4.6844939379138379</v>
      </c>
    </row>
    <row r="213" spans="1:11" x14ac:dyDescent="0.3">
      <c r="A213" s="28">
        <v>0.13645199999999999</v>
      </c>
      <c r="B213" s="3">
        <v>0.1105</v>
      </c>
      <c r="C213" s="3" t="s">
        <v>5</v>
      </c>
      <c r="D213" s="3">
        <v>-1</v>
      </c>
      <c r="E213" s="3">
        <v>99.507000000000005</v>
      </c>
      <c r="F213" s="3">
        <v>212</v>
      </c>
      <c r="G213" s="3">
        <f t="shared" si="16"/>
        <v>-0.10300000000000864</v>
      </c>
      <c r="H213" s="3">
        <f t="shared" si="17"/>
        <v>-0.93212669683265736</v>
      </c>
      <c r="I213" s="3">
        <f t="shared" si="18"/>
        <v>0.10300000000000864</v>
      </c>
      <c r="J213" s="3">
        <f t="shared" si="15"/>
        <v>108.25547445255475</v>
      </c>
      <c r="K213" s="29">
        <f t="shared" si="19"/>
        <v>4.6844939379138379</v>
      </c>
    </row>
    <row r="214" spans="1:11" x14ac:dyDescent="0.3">
      <c r="A214" s="26">
        <v>0.13669700000000001</v>
      </c>
      <c r="B214" s="2">
        <v>0.09</v>
      </c>
      <c r="C214" s="2" t="s">
        <v>5</v>
      </c>
      <c r="D214" s="2">
        <v>-1</v>
      </c>
      <c r="E214" s="2">
        <v>99.403999999999996</v>
      </c>
      <c r="F214" s="2">
        <v>213</v>
      </c>
      <c r="G214" s="2">
        <f t="shared" si="16"/>
        <v>-5.700000000000216E-2</v>
      </c>
      <c r="H214" s="2">
        <f t="shared" si="17"/>
        <v>-0.6333333333333574</v>
      </c>
      <c r="I214" s="2">
        <f t="shared" si="18"/>
        <v>5.700000000000216E-2</v>
      </c>
      <c r="J214" s="2">
        <f t="shared" si="15"/>
        <v>108.25547445255475</v>
      </c>
      <c r="K214" s="27">
        <f t="shared" si="19"/>
        <v>4.6844939379138379</v>
      </c>
    </row>
    <row r="215" spans="1:11" x14ac:dyDescent="0.3">
      <c r="A215" s="28">
        <v>0.13711799999999999</v>
      </c>
      <c r="B215" s="3">
        <v>0.1072</v>
      </c>
      <c r="C215" s="3" t="s">
        <v>5</v>
      </c>
      <c r="D215" s="3">
        <v>1</v>
      </c>
      <c r="E215" s="3">
        <v>99.346999999999994</v>
      </c>
      <c r="F215" s="3">
        <v>214</v>
      </c>
      <c r="G215" s="3">
        <f t="shared" si="16"/>
        <v>7.6000000000007617E-2</v>
      </c>
      <c r="H215" s="3">
        <f t="shared" si="17"/>
        <v>0.70895522388066801</v>
      </c>
      <c r="I215" s="3">
        <f t="shared" si="18"/>
        <v>7.6000000000007617E-2</v>
      </c>
      <c r="J215" s="3">
        <f t="shared" si="15"/>
        <v>108.25547445255475</v>
      </c>
      <c r="K215" s="29">
        <f t="shared" si="19"/>
        <v>4.6844939379138379</v>
      </c>
    </row>
    <row r="216" spans="1:11" x14ac:dyDescent="0.3">
      <c r="A216" s="26">
        <v>0.13714399999999999</v>
      </c>
      <c r="B216" s="2">
        <v>0.1172</v>
      </c>
      <c r="C216" s="2" t="s">
        <v>5</v>
      </c>
      <c r="D216" s="2">
        <v>-1</v>
      </c>
      <c r="E216" s="2">
        <v>99.423000000000002</v>
      </c>
      <c r="F216" s="2">
        <v>215</v>
      </c>
      <c r="G216" s="2">
        <f t="shared" si="16"/>
        <v>-0.13599999999999568</v>
      </c>
      <c r="H216" s="2">
        <f t="shared" si="17"/>
        <v>-1.1604095563139563</v>
      </c>
      <c r="I216" s="2">
        <f t="shared" si="18"/>
        <v>0.13599999999999568</v>
      </c>
      <c r="J216" s="2">
        <f t="shared" si="15"/>
        <v>108.25547445255475</v>
      </c>
      <c r="K216" s="27">
        <f t="shared" si="19"/>
        <v>4.6844939379138379</v>
      </c>
    </row>
    <row r="217" spans="1:11" x14ac:dyDescent="0.3">
      <c r="A217" s="28">
        <v>0.13758799999999999</v>
      </c>
      <c r="B217" s="3">
        <v>9.8199999999999996E-2</v>
      </c>
      <c r="C217" s="3" t="s">
        <v>5</v>
      </c>
      <c r="D217" s="3">
        <v>1</v>
      </c>
      <c r="E217" s="3">
        <v>99.287000000000006</v>
      </c>
      <c r="F217" s="3">
        <v>216</v>
      </c>
      <c r="G217" s="3">
        <f t="shared" si="16"/>
        <v>2.9999999999986926E-2</v>
      </c>
      <c r="H217" s="3">
        <f t="shared" si="17"/>
        <v>0.305498981669928</v>
      </c>
      <c r="I217" s="3">
        <f t="shared" si="18"/>
        <v>2.9999999999986926E-2</v>
      </c>
      <c r="J217" s="3">
        <f t="shared" si="15"/>
        <v>108.25547445255475</v>
      </c>
      <c r="K217" s="29">
        <f t="shared" si="19"/>
        <v>4.6844939379138379</v>
      </c>
    </row>
    <row r="218" spans="1:11" x14ac:dyDescent="0.3">
      <c r="A218" s="26">
        <v>0.13759299999999999</v>
      </c>
      <c r="B218" s="2">
        <v>0.1038</v>
      </c>
      <c r="C218" s="2" t="s">
        <v>5</v>
      </c>
      <c r="D218" s="2">
        <v>-1</v>
      </c>
      <c r="E218" s="2">
        <v>99.316999999999993</v>
      </c>
      <c r="F218" s="2">
        <v>217</v>
      </c>
      <c r="G218" s="2">
        <f t="shared" si="16"/>
        <v>-0.18099999999999739</v>
      </c>
      <c r="H218" s="2">
        <f t="shared" si="17"/>
        <v>-1.7437379576107648</v>
      </c>
      <c r="I218" s="2">
        <f t="shared" si="18"/>
        <v>0.18099999999999739</v>
      </c>
      <c r="J218" s="2">
        <f t="shared" si="15"/>
        <v>108.25547445255475</v>
      </c>
      <c r="K218" s="27">
        <f t="shared" si="19"/>
        <v>4.6844939379138379</v>
      </c>
    </row>
    <row r="219" spans="1:11" x14ac:dyDescent="0.3">
      <c r="A219" s="28">
        <v>0.137652</v>
      </c>
      <c r="B219" s="3">
        <v>9.8100000000000007E-2</v>
      </c>
      <c r="C219" s="3" t="s">
        <v>5</v>
      </c>
      <c r="D219" s="3">
        <v>-1</v>
      </c>
      <c r="E219" s="3">
        <v>99.135999999999996</v>
      </c>
      <c r="F219" s="3">
        <v>218</v>
      </c>
      <c r="G219" s="3">
        <f t="shared" si="16"/>
        <v>-2.7000000000001023E-2</v>
      </c>
      <c r="H219" s="3">
        <f t="shared" si="17"/>
        <v>-0.27522935779817553</v>
      </c>
      <c r="I219" s="3">
        <f t="shared" si="18"/>
        <v>2.7000000000001023E-2</v>
      </c>
      <c r="J219" s="3">
        <f t="shared" si="15"/>
        <v>108.25547445255475</v>
      </c>
      <c r="K219" s="29">
        <f t="shared" si="19"/>
        <v>4.6844939379138379</v>
      </c>
    </row>
    <row r="220" spans="1:11" x14ac:dyDescent="0.3">
      <c r="A220" s="26">
        <v>0.13866400000000001</v>
      </c>
      <c r="B220" s="2">
        <v>9.5200000000000007E-2</v>
      </c>
      <c r="C220" s="2" t="s">
        <v>5</v>
      </c>
      <c r="D220" s="2">
        <v>1</v>
      </c>
      <c r="E220" s="2">
        <v>99.108999999999995</v>
      </c>
      <c r="F220" s="2">
        <v>219</v>
      </c>
      <c r="G220" s="2">
        <f t="shared" si="16"/>
        <v>3.8000000000010914E-2</v>
      </c>
      <c r="H220" s="2">
        <f t="shared" si="17"/>
        <v>0.39915966386566082</v>
      </c>
      <c r="I220" s="2">
        <f t="shared" si="18"/>
        <v>3.8000000000010914E-2</v>
      </c>
      <c r="J220" s="2">
        <f t="shared" si="15"/>
        <v>108.25547445255475</v>
      </c>
      <c r="K220" s="27">
        <f t="shared" si="19"/>
        <v>4.6844939379138379</v>
      </c>
    </row>
    <row r="221" spans="1:11" x14ac:dyDescent="0.3">
      <c r="A221" s="28">
        <v>0.13955899999999999</v>
      </c>
      <c r="B221" s="3">
        <v>8.7999999999999995E-2</v>
      </c>
      <c r="C221" s="3" t="s">
        <v>5</v>
      </c>
      <c r="D221" s="3">
        <v>-1</v>
      </c>
      <c r="E221" s="3">
        <v>99.147000000000006</v>
      </c>
      <c r="F221" s="3">
        <v>220</v>
      </c>
      <c r="G221" s="3">
        <f t="shared" si="16"/>
        <v>-1.1000000000009891E-2</v>
      </c>
      <c r="H221" s="3">
        <f t="shared" si="17"/>
        <v>-0.12500000000011241</v>
      </c>
      <c r="I221" s="3">
        <f t="shared" si="18"/>
        <v>1.1000000000009891E-2</v>
      </c>
      <c r="J221" s="3">
        <f t="shared" si="15"/>
        <v>108.25547445255475</v>
      </c>
      <c r="K221" s="29">
        <f t="shared" si="19"/>
        <v>4.6844939379138379</v>
      </c>
    </row>
    <row r="222" spans="1:11" x14ac:dyDescent="0.3">
      <c r="A222" s="26">
        <v>0.140157</v>
      </c>
      <c r="B222" s="2">
        <v>8.4400000000000003E-2</v>
      </c>
      <c r="C222" s="2" t="s">
        <v>5</v>
      </c>
      <c r="D222" s="2">
        <v>-1</v>
      </c>
      <c r="E222" s="2">
        <v>99.135999999999996</v>
      </c>
      <c r="F222" s="2">
        <v>221</v>
      </c>
      <c r="G222" s="2">
        <f t="shared" si="16"/>
        <v>-1.9999999999996021E-2</v>
      </c>
      <c r="H222" s="2">
        <f t="shared" si="17"/>
        <v>-0.23696682464450261</v>
      </c>
      <c r="I222" s="2">
        <f t="shared" si="18"/>
        <v>1.9999999999996021E-2</v>
      </c>
      <c r="J222" s="2">
        <f t="shared" si="15"/>
        <v>108.25547445255475</v>
      </c>
      <c r="K222" s="27">
        <f t="shared" si="19"/>
        <v>4.6844939379138379</v>
      </c>
    </row>
    <row r="223" spans="1:11" x14ac:dyDescent="0.3">
      <c r="A223" s="28">
        <v>0.14041400000000001</v>
      </c>
      <c r="B223" s="3">
        <v>0.1143</v>
      </c>
      <c r="C223" s="3">
        <v>91</v>
      </c>
      <c r="D223" s="3">
        <v>1</v>
      </c>
      <c r="E223" s="3">
        <v>99.116</v>
      </c>
      <c r="F223" s="2">
        <v>222</v>
      </c>
      <c r="G223" s="2">
        <f t="shared" si="16"/>
        <v>0.10299999999999443</v>
      </c>
      <c r="H223" s="2">
        <f t="shared" si="17"/>
        <v>0.90113735783022253</v>
      </c>
      <c r="I223" s="2">
        <f t="shared" si="18"/>
        <v>0.10299999999999443</v>
      </c>
      <c r="J223" s="2">
        <f t="shared" si="15"/>
        <v>91</v>
      </c>
      <c r="K223" s="27">
        <f t="shared" si="19"/>
        <v>4.5108595065168497</v>
      </c>
    </row>
    <row r="224" spans="1:11" x14ac:dyDescent="0.3">
      <c r="A224" s="26">
        <v>0.146035</v>
      </c>
      <c r="B224" s="2">
        <v>0.10929999999999999</v>
      </c>
      <c r="C224" s="2">
        <v>87</v>
      </c>
      <c r="D224" s="2">
        <v>-1</v>
      </c>
      <c r="E224" s="2">
        <v>99.218999999999994</v>
      </c>
      <c r="F224" s="3">
        <v>223</v>
      </c>
      <c r="G224" s="3">
        <f t="shared" si="16"/>
        <v>-6.799999999999784E-2</v>
      </c>
      <c r="H224" s="3">
        <f t="shared" si="17"/>
        <v>-0.62214089661480187</v>
      </c>
      <c r="I224" s="3">
        <f t="shared" si="18"/>
        <v>6.799999999999784E-2</v>
      </c>
      <c r="J224" s="3">
        <f t="shared" si="15"/>
        <v>87</v>
      </c>
      <c r="K224" s="29">
        <f t="shared" si="19"/>
        <v>4.4659081186545837</v>
      </c>
    </row>
    <row r="225" spans="1:11" x14ac:dyDescent="0.3">
      <c r="A225" s="28">
        <v>0.14655299999999999</v>
      </c>
      <c r="B225" s="3">
        <v>9.7799999999999998E-2</v>
      </c>
      <c r="C225" s="3" t="s">
        <v>5</v>
      </c>
      <c r="D225" s="3">
        <v>1</v>
      </c>
      <c r="E225" s="3">
        <v>99.150999999999996</v>
      </c>
      <c r="F225" s="2">
        <v>224</v>
      </c>
      <c r="G225" s="2">
        <f t="shared" si="16"/>
        <v>0.1039999999999992</v>
      </c>
      <c r="H225" s="2">
        <f t="shared" si="17"/>
        <v>1.0633946830265768</v>
      </c>
      <c r="I225" s="2">
        <f t="shared" si="18"/>
        <v>0.1039999999999992</v>
      </c>
      <c r="J225" s="2">
        <f t="shared" si="15"/>
        <v>108.25547445255475</v>
      </c>
      <c r="K225" s="27">
        <f t="shared" si="19"/>
        <v>4.6844939379138379</v>
      </c>
    </row>
    <row r="226" spans="1:11" x14ac:dyDescent="0.3">
      <c r="A226" s="26">
        <v>0.14710899999999999</v>
      </c>
      <c r="B226" s="2">
        <v>0.1052</v>
      </c>
      <c r="C226" s="2" t="s">
        <v>5</v>
      </c>
      <c r="D226" s="2">
        <v>1</v>
      </c>
      <c r="E226" s="2">
        <v>99.254999999999995</v>
      </c>
      <c r="F226" s="3">
        <v>225</v>
      </c>
      <c r="G226" s="3">
        <f t="shared" si="16"/>
        <v>5.5000000000006821E-2</v>
      </c>
      <c r="H226" s="3">
        <f t="shared" si="17"/>
        <v>0.52281368821299257</v>
      </c>
      <c r="I226" s="3">
        <f t="shared" si="18"/>
        <v>5.5000000000006821E-2</v>
      </c>
      <c r="J226" s="3">
        <f t="shared" si="15"/>
        <v>108.25547445255475</v>
      </c>
      <c r="K226" s="29">
        <f t="shared" si="19"/>
        <v>4.6844939379138379</v>
      </c>
    </row>
    <row r="227" spans="1:11" x14ac:dyDescent="0.3">
      <c r="A227" s="28">
        <v>0.14724599999999999</v>
      </c>
      <c r="B227" s="3">
        <v>0.11119999999999999</v>
      </c>
      <c r="C227" s="3"/>
      <c r="D227" s="3">
        <v>1</v>
      </c>
      <c r="E227" s="3">
        <v>99.31</v>
      </c>
      <c r="F227" s="2">
        <v>226</v>
      </c>
      <c r="G227" s="2">
        <f t="shared" si="16"/>
        <v>-4.0000000000048885E-3</v>
      </c>
      <c r="H227" s="2">
        <f t="shared" si="17"/>
        <v>-3.5971223021626697E-2</v>
      </c>
      <c r="I227" s="2">
        <f t="shared" si="18"/>
        <v>-4.0000000000048885E-3</v>
      </c>
      <c r="J227" s="2">
        <f t="shared" si="15"/>
        <v>108.25547445255475</v>
      </c>
      <c r="K227" s="27">
        <f t="shared" si="19"/>
        <v>4.6844939379138379</v>
      </c>
    </row>
    <row r="228" spans="1:11" x14ac:dyDescent="0.3">
      <c r="A228" s="26">
        <v>0.14771100000000001</v>
      </c>
      <c r="B228" s="2">
        <v>0.10589999999999999</v>
      </c>
      <c r="C228" s="2" t="s">
        <v>5</v>
      </c>
      <c r="D228" s="2">
        <v>1</v>
      </c>
      <c r="E228" s="2">
        <v>99.305999999999997</v>
      </c>
      <c r="F228" s="3">
        <v>227</v>
      </c>
      <c r="G228" s="3">
        <f t="shared" si="16"/>
        <v>2.5999999999996248E-2</v>
      </c>
      <c r="H228" s="3">
        <f t="shared" si="17"/>
        <v>0.24551463644944524</v>
      </c>
      <c r="I228" s="3">
        <f t="shared" si="18"/>
        <v>2.5999999999996248E-2</v>
      </c>
      <c r="J228" s="3">
        <f t="shared" si="15"/>
        <v>108.25547445255475</v>
      </c>
      <c r="K228" s="29">
        <f t="shared" si="19"/>
        <v>4.6844939379138379</v>
      </c>
    </row>
    <row r="229" spans="1:11" x14ac:dyDescent="0.3">
      <c r="A229" s="28">
        <v>0.14843600000000001</v>
      </c>
      <c r="B229" s="3">
        <v>0.1087</v>
      </c>
      <c r="C229" s="3" t="s">
        <v>5</v>
      </c>
      <c r="D229" s="3">
        <v>-1</v>
      </c>
      <c r="E229" s="3">
        <v>99.331999999999994</v>
      </c>
      <c r="F229" s="2">
        <v>228</v>
      </c>
      <c r="G229" s="2">
        <f t="shared" si="16"/>
        <v>-3.8999999999987267E-2</v>
      </c>
      <c r="H229" s="2">
        <f t="shared" si="17"/>
        <v>-0.35878564857393991</v>
      </c>
      <c r="I229" s="2">
        <f t="shared" si="18"/>
        <v>3.8999999999987267E-2</v>
      </c>
      <c r="J229" s="2">
        <f t="shared" si="15"/>
        <v>108.25547445255475</v>
      </c>
      <c r="K229" s="27">
        <f t="shared" si="19"/>
        <v>4.6844939379138379</v>
      </c>
    </row>
    <row r="230" spans="1:11" x14ac:dyDescent="0.3">
      <c r="A230" s="26">
        <v>0.14943400000000001</v>
      </c>
      <c r="B230" s="2">
        <v>9.1600000000000001E-2</v>
      </c>
      <c r="C230" s="2" t="s">
        <v>5</v>
      </c>
      <c r="D230" s="2">
        <v>-1</v>
      </c>
      <c r="E230" s="2">
        <v>99.293000000000006</v>
      </c>
      <c r="F230" s="3">
        <v>229</v>
      </c>
      <c r="G230" s="3">
        <f t="shared" si="16"/>
        <v>-4.5000000000001705E-2</v>
      </c>
      <c r="H230" s="3">
        <f t="shared" si="17"/>
        <v>-0.49126637554587016</v>
      </c>
      <c r="I230" s="3">
        <f t="shared" si="18"/>
        <v>4.5000000000001705E-2</v>
      </c>
      <c r="J230" s="3">
        <f t="shared" si="15"/>
        <v>108.25547445255475</v>
      </c>
      <c r="K230" s="29">
        <f t="shared" si="19"/>
        <v>4.6844939379138379</v>
      </c>
    </row>
    <row r="231" spans="1:11" x14ac:dyDescent="0.3">
      <c r="A231" s="28">
        <v>0.15009600000000001</v>
      </c>
      <c r="B231" s="3">
        <v>0.1023</v>
      </c>
      <c r="C231" s="3" t="s">
        <v>5</v>
      </c>
      <c r="D231" s="3">
        <v>1</v>
      </c>
      <c r="E231" s="3">
        <v>99.248000000000005</v>
      </c>
      <c r="F231" s="2">
        <v>230</v>
      </c>
      <c r="G231" s="2">
        <f t="shared" si="16"/>
        <v>3.9000000000001478E-2</v>
      </c>
      <c r="H231" s="2">
        <f t="shared" si="17"/>
        <v>0.38123167155426663</v>
      </c>
      <c r="I231" s="2">
        <f t="shared" si="18"/>
        <v>3.9000000000001478E-2</v>
      </c>
      <c r="J231" s="2">
        <f t="shared" si="15"/>
        <v>108.25547445255475</v>
      </c>
      <c r="K231" s="27">
        <f t="shared" si="19"/>
        <v>4.6844939379138379</v>
      </c>
    </row>
    <row r="232" spans="1:11" x14ac:dyDescent="0.3">
      <c r="A232" s="26">
        <v>0.15017</v>
      </c>
      <c r="B232" s="2">
        <v>9.9299999999999999E-2</v>
      </c>
      <c r="C232" s="2" t="s">
        <v>5</v>
      </c>
      <c r="D232" s="2">
        <v>-1</v>
      </c>
      <c r="E232" s="2">
        <v>99.287000000000006</v>
      </c>
      <c r="F232" s="3">
        <v>231</v>
      </c>
      <c r="G232" s="3">
        <f t="shared" si="16"/>
        <v>-3.9000000000001478E-2</v>
      </c>
      <c r="H232" s="3">
        <f t="shared" si="17"/>
        <v>-0.39274924471300582</v>
      </c>
      <c r="I232" s="3">
        <f t="shared" si="18"/>
        <v>3.9000000000001478E-2</v>
      </c>
      <c r="J232" s="3">
        <f t="shared" si="15"/>
        <v>108.25547445255475</v>
      </c>
      <c r="K232" s="29">
        <f t="shared" si="19"/>
        <v>4.6844939379138379</v>
      </c>
    </row>
    <row r="233" spans="1:11" x14ac:dyDescent="0.3">
      <c r="A233" s="28">
        <v>0.150279</v>
      </c>
      <c r="B233" s="3">
        <v>8.5199999999999998E-2</v>
      </c>
      <c r="C233" s="3" t="s">
        <v>5</v>
      </c>
      <c r="D233" s="3">
        <v>1</v>
      </c>
      <c r="E233" s="3">
        <v>99.248000000000005</v>
      </c>
      <c r="F233" s="2">
        <v>232</v>
      </c>
      <c r="G233" s="2">
        <f t="shared" si="16"/>
        <v>4.5999999999992269E-2</v>
      </c>
      <c r="H233" s="2">
        <f t="shared" si="17"/>
        <v>0.53990610328629429</v>
      </c>
      <c r="I233" s="2">
        <f t="shared" si="18"/>
        <v>4.5999999999992269E-2</v>
      </c>
      <c r="J233" s="2">
        <f t="shared" si="15"/>
        <v>108.25547445255475</v>
      </c>
      <c r="K233" s="27">
        <f t="shared" si="19"/>
        <v>4.6844939379138379</v>
      </c>
    </row>
    <row r="234" spans="1:11" x14ac:dyDescent="0.3">
      <c r="A234" s="26">
        <v>0.15068100000000001</v>
      </c>
      <c r="B234" s="2">
        <v>0.1002</v>
      </c>
      <c r="C234" s="2" t="s">
        <v>5</v>
      </c>
      <c r="D234" s="2">
        <v>-1</v>
      </c>
      <c r="E234" s="2">
        <v>99.293999999999997</v>
      </c>
      <c r="F234" s="3">
        <v>233</v>
      </c>
      <c r="G234" s="3">
        <f t="shared" si="16"/>
        <v>-8.7999999999993861E-2</v>
      </c>
      <c r="H234" s="3">
        <f t="shared" si="17"/>
        <v>-0.87824351297399061</v>
      </c>
      <c r="I234" s="3">
        <f t="shared" si="18"/>
        <v>8.7999999999993861E-2</v>
      </c>
      <c r="J234" s="3">
        <f t="shared" si="15"/>
        <v>108.25547445255475</v>
      </c>
      <c r="K234" s="29">
        <f t="shared" si="19"/>
        <v>4.6844939379138379</v>
      </c>
    </row>
    <row r="235" spans="1:11" x14ac:dyDescent="0.3">
      <c r="A235" s="28">
        <v>0.151257</v>
      </c>
      <c r="B235" s="3">
        <v>9.3700000000000006E-2</v>
      </c>
      <c r="C235" s="3" t="s">
        <v>5</v>
      </c>
      <c r="D235" s="3">
        <v>1</v>
      </c>
      <c r="E235" s="3">
        <v>99.206000000000003</v>
      </c>
      <c r="F235" s="2">
        <v>234</v>
      </c>
      <c r="G235" s="2">
        <f t="shared" si="16"/>
        <v>0.10599999999999454</v>
      </c>
      <c r="H235" s="2">
        <f t="shared" si="17"/>
        <v>1.1312700106723004</v>
      </c>
      <c r="I235" s="2">
        <f t="shared" si="18"/>
        <v>0.10599999999999454</v>
      </c>
      <c r="J235" s="2">
        <f t="shared" si="15"/>
        <v>108.25547445255475</v>
      </c>
      <c r="K235" s="27">
        <f t="shared" si="19"/>
        <v>4.6844939379138379</v>
      </c>
    </row>
    <row r="236" spans="1:11" x14ac:dyDescent="0.3">
      <c r="A236" s="26">
        <v>0.15174099999999999</v>
      </c>
      <c r="B236" s="2">
        <v>0.1022</v>
      </c>
      <c r="C236" s="2" t="s">
        <v>5</v>
      </c>
      <c r="D236" s="2">
        <v>1</v>
      </c>
      <c r="E236" s="2">
        <v>99.311999999999998</v>
      </c>
      <c r="F236" s="3">
        <v>235</v>
      </c>
      <c r="G236" s="3">
        <f t="shared" si="16"/>
        <v>2.2999999999996135E-2</v>
      </c>
      <c r="H236" s="3">
        <f t="shared" si="17"/>
        <v>0.22504892367902285</v>
      </c>
      <c r="I236" s="3">
        <f t="shared" si="18"/>
        <v>2.2999999999996135E-2</v>
      </c>
      <c r="J236" s="3">
        <f t="shared" si="15"/>
        <v>108.25547445255475</v>
      </c>
      <c r="K236" s="29">
        <f t="shared" si="19"/>
        <v>4.6844939379138379</v>
      </c>
    </row>
    <row r="237" spans="1:11" x14ac:dyDescent="0.3">
      <c r="A237" s="28">
        <v>0.151975</v>
      </c>
      <c r="B237" s="3">
        <v>9.2999999999999999E-2</v>
      </c>
      <c r="C237" s="3">
        <v>31</v>
      </c>
      <c r="D237" s="3">
        <v>-1</v>
      </c>
      <c r="E237" s="3">
        <v>99.334999999999994</v>
      </c>
      <c r="F237" s="2">
        <v>236</v>
      </c>
      <c r="G237" s="2">
        <f t="shared" si="16"/>
        <v>-3.4999999999996589E-2</v>
      </c>
      <c r="H237" s="2">
        <f t="shared" si="17"/>
        <v>-0.37634408602146868</v>
      </c>
      <c r="I237" s="2">
        <f t="shared" si="18"/>
        <v>3.4999999999996589E-2</v>
      </c>
      <c r="J237" s="2">
        <f t="shared" si="15"/>
        <v>31</v>
      </c>
      <c r="K237" s="27">
        <f t="shared" si="19"/>
        <v>3.4339872044851463</v>
      </c>
    </row>
    <row r="238" spans="1:11" x14ac:dyDescent="0.3">
      <c r="A238" s="26">
        <v>0.152175</v>
      </c>
      <c r="B238" s="2">
        <v>0.1028</v>
      </c>
      <c r="C238" s="2" t="s">
        <v>5</v>
      </c>
      <c r="D238" s="2">
        <v>-1</v>
      </c>
      <c r="E238" s="2">
        <v>99.3</v>
      </c>
      <c r="F238" s="3">
        <v>237</v>
      </c>
      <c r="G238" s="3">
        <f t="shared" si="16"/>
        <v>-2.7999999999991587E-2</v>
      </c>
      <c r="H238" s="3">
        <f t="shared" si="17"/>
        <v>-0.27237354085594928</v>
      </c>
      <c r="I238" s="3">
        <f t="shared" si="18"/>
        <v>2.7999999999991587E-2</v>
      </c>
      <c r="J238" s="3">
        <f t="shared" si="15"/>
        <v>108.25547445255475</v>
      </c>
      <c r="K238" s="29">
        <f t="shared" si="19"/>
        <v>4.6844939379138379</v>
      </c>
    </row>
    <row r="239" spans="1:11" x14ac:dyDescent="0.3">
      <c r="A239" s="28">
        <v>0.15225900000000001</v>
      </c>
      <c r="B239" s="3">
        <v>0.1002</v>
      </c>
      <c r="C239" s="3" t="s">
        <v>5</v>
      </c>
      <c r="D239" s="3">
        <v>-1</v>
      </c>
      <c r="E239" s="3">
        <v>99.272000000000006</v>
      </c>
      <c r="F239" s="2">
        <v>238</v>
      </c>
      <c r="G239" s="2">
        <f t="shared" si="16"/>
        <v>-1.5000000000000568E-2</v>
      </c>
      <c r="H239" s="2">
        <f t="shared" si="17"/>
        <v>-0.14970059880240089</v>
      </c>
      <c r="I239" s="2">
        <f t="shared" si="18"/>
        <v>1.5000000000000568E-2</v>
      </c>
      <c r="J239" s="2">
        <f t="shared" si="15"/>
        <v>108.25547445255475</v>
      </c>
      <c r="K239" s="27">
        <f t="shared" si="19"/>
        <v>4.6844939379138379</v>
      </c>
    </row>
    <row r="240" spans="1:11" x14ac:dyDescent="0.3">
      <c r="A240" s="26">
        <v>0.153224</v>
      </c>
      <c r="B240" s="2">
        <v>0.1069</v>
      </c>
      <c r="C240" s="2" t="s">
        <v>5</v>
      </c>
      <c r="D240" s="2">
        <v>1</v>
      </c>
      <c r="E240" s="2">
        <v>99.257000000000005</v>
      </c>
      <c r="F240" s="2">
        <v>239</v>
      </c>
      <c r="G240" s="2">
        <f t="shared" si="16"/>
        <v>0.13299999999999557</v>
      </c>
      <c r="H240" s="2">
        <f t="shared" si="17"/>
        <v>1.2441534144059454</v>
      </c>
      <c r="I240" s="2">
        <f t="shared" si="18"/>
        <v>0.13299999999999557</v>
      </c>
      <c r="J240" s="2">
        <f t="shared" si="15"/>
        <v>108.25547445255475</v>
      </c>
      <c r="K240" s="27">
        <f t="shared" si="19"/>
        <v>4.6844939379138379</v>
      </c>
    </row>
    <row r="241" spans="1:11" x14ac:dyDescent="0.3">
      <c r="A241" s="28">
        <v>0.153282</v>
      </c>
      <c r="B241" s="3">
        <v>0.1061</v>
      </c>
      <c r="C241" s="3" t="s">
        <v>5</v>
      </c>
      <c r="D241" s="3">
        <v>-1</v>
      </c>
      <c r="E241" s="3">
        <v>99.39</v>
      </c>
      <c r="F241" s="3">
        <v>240</v>
      </c>
      <c r="G241" s="3">
        <f t="shared" si="16"/>
        <v>-9.4999999999998863E-2</v>
      </c>
      <c r="H241" s="3">
        <f t="shared" si="17"/>
        <v>-0.89538171536285449</v>
      </c>
      <c r="I241" s="3">
        <f t="shared" si="18"/>
        <v>9.4999999999998863E-2</v>
      </c>
      <c r="J241" s="3">
        <f t="shared" si="15"/>
        <v>108.25547445255475</v>
      </c>
      <c r="K241" s="29">
        <f t="shared" si="19"/>
        <v>4.6844939379138379</v>
      </c>
    </row>
    <row r="242" spans="1:11" x14ac:dyDescent="0.3">
      <c r="A242" s="26">
        <v>0.15337200000000001</v>
      </c>
      <c r="B242" s="2">
        <v>0.08</v>
      </c>
      <c r="C242" s="2">
        <v>183</v>
      </c>
      <c r="D242" s="2">
        <v>-1</v>
      </c>
      <c r="E242" s="2">
        <v>99.295000000000002</v>
      </c>
      <c r="F242" s="2">
        <v>241</v>
      </c>
      <c r="G242" s="2">
        <f t="shared" si="16"/>
        <v>-7.6000000000007617E-2</v>
      </c>
      <c r="H242" s="2">
        <f t="shared" si="17"/>
        <v>-0.95000000000009521</v>
      </c>
      <c r="I242" s="2">
        <f t="shared" si="18"/>
        <v>7.6000000000007617E-2</v>
      </c>
      <c r="J242" s="2">
        <f t="shared" si="15"/>
        <v>183</v>
      </c>
      <c r="K242" s="27">
        <f t="shared" si="19"/>
        <v>5.2094861528414214</v>
      </c>
    </row>
    <row r="243" spans="1:11" x14ac:dyDescent="0.3">
      <c r="A243" s="28">
        <v>0.154534</v>
      </c>
      <c r="B243" s="3">
        <v>0.1077</v>
      </c>
      <c r="C243" s="3">
        <v>209</v>
      </c>
      <c r="D243" s="3">
        <v>1</v>
      </c>
      <c r="E243" s="3">
        <v>99.218999999999994</v>
      </c>
      <c r="F243" s="3">
        <v>242</v>
      </c>
      <c r="G243" s="3">
        <f t="shared" si="16"/>
        <v>0.12100000000000932</v>
      </c>
      <c r="H243" s="3">
        <f t="shared" si="17"/>
        <v>1.123491179201572</v>
      </c>
      <c r="I243" s="3">
        <f t="shared" si="18"/>
        <v>0.12100000000000932</v>
      </c>
      <c r="J243" s="3">
        <f t="shared" si="15"/>
        <v>209</v>
      </c>
      <c r="K243" s="29">
        <f t="shared" si="19"/>
        <v>5.3423342519648109</v>
      </c>
    </row>
    <row r="244" spans="1:11" x14ac:dyDescent="0.3">
      <c r="A244" s="26">
        <v>0.154832</v>
      </c>
      <c r="B244" s="2">
        <v>0.11600000000000001</v>
      </c>
      <c r="C244" s="2" t="s">
        <v>5</v>
      </c>
      <c r="D244" s="2">
        <v>1</v>
      </c>
      <c r="E244" s="2">
        <v>99.34</v>
      </c>
      <c r="F244" s="2">
        <v>243</v>
      </c>
      <c r="G244" s="2">
        <f t="shared" si="16"/>
        <v>6.9000000000002615E-2</v>
      </c>
      <c r="H244" s="2">
        <f t="shared" si="17"/>
        <v>0.59482758620691911</v>
      </c>
      <c r="I244" s="2">
        <f t="shared" si="18"/>
        <v>6.9000000000002615E-2</v>
      </c>
      <c r="J244" s="2">
        <f t="shared" si="15"/>
        <v>108.25547445255475</v>
      </c>
      <c r="K244" s="27">
        <f t="shared" si="19"/>
        <v>4.6844939379138379</v>
      </c>
    </row>
    <row r="245" spans="1:11" x14ac:dyDescent="0.3">
      <c r="A245" s="28">
        <v>0.155226</v>
      </c>
      <c r="B245" s="3">
        <v>0.1091</v>
      </c>
      <c r="C245" s="3" t="s">
        <v>5</v>
      </c>
      <c r="D245" s="3">
        <v>1</v>
      </c>
      <c r="E245" s="3">
        <v>99.409000000000006</v>
      </c>
      <c r="F245" s="3">
        <v>244</v>
      </c>
      <c r="G245" s="3">
        <f t="shared" si="16"/>
        <v>3.9999999999992042E-2</v>
      </c>
      <c r="H245" s="3">
        <f t="shared" si="17"/>
        <v>0.36663611365712229</v>
      </c>
      <c r="I245" s="3">
        <f t="shared" si="18"/>
        <v>3.9999999999992042E-2</v>
      </c>
      <c r="J245" s="3">
        <f t="shared" si="15"/>
        <v>108.25547445255475</v>
      </c>
      <c r="K245" s="29">
        <f t="shared" si="19"/>
        <v>4.6844939379138379</v>
      </c>
    </row>
    <row r="246" spans="1:11" x14ac:dyDescent="0.3">
      <c r="A246" s="26">
        <v>0.155339</v>
      </c>
      <c r="B246" s="2">
        <v>0.10390000000000001</v>
      </c>
      <c r="C246" s="2" t="s">
        <v>5</v>
      </c>
      <c r="D246" s="2">
        <v>-1</v>
      </c>
      <c r="E246" s="2">
        <v>99.448999999999998</v>
      </c>
      <c r="F246" s="2">
        <v>245</v>
      </c>
      <c r="G246" s="2">
        <f t="shared" si="16"/>
        <v>-0.16599999999999682</v>
      </c>
      <c r="H246" s="2">
        <f t="shared" si="17"/>
        <v>-1.597690086621721</v>
      </c>
      <c r="I246" s="2">
        <f t="shared" si="18"/>
        <v>0.16599999999999682</v>
      </c>
      <c r="J246" s="2">
        <f t="shared" si="15"/>
        <v>108.25547445255475</v>
      </c>
      <c r="K246" s="27">
        <f t="shared" si="19"/>
        <v>4.6844939379138379</v>
      </c>
    </row>
    <row r="247" spans="1:11" x14ac:dyDescent="0.3">
      <c r="A247" s="28">
        <v>0.15579899999999999</v>
      </c>
      <c r="B247" s="3">
        <v>0.1065</v>
      </c>
      <c r="C247" s="3" t="s">
        <v>5</v>
      </c>
      <c r="D247" s="3">
        <v>1</v>
      </c>
      <c r="E247" s="3">
        <v>99.283000000000001</v>
      </c>
      <c r="F247" s="3">
        <v>246</v>
      </c>
      <c r="G247" s="3">
        <f t="shared" si="16"/>
        <v>7.0999999999997954E-2</v>
      </c>
      <c r="H247" s="3">
        <f t="shared" si="17"/>
        <v>0.66666666666664742</v>
      </c>
      <c r="I247" s="3">
        <f t="shared" si="18"/>
        <v>7.0999999999997954E-2</v>
      </c>
      <c r="J247" s="3">
        <f t="shared" si="15"/>
        <v>108.25547445255475</v>
      </c>
      <c r="K247" s="29">
        <f t="shared" si="19"/>
        <v>4.6844939379138379</v>
      </c>
    </row>
    <row r="248" spans="1:11" x14ac:dyDescent="0.3">
      <c r="A248" s="26">
        <v>0.15648400000000001</v>
      </c>
      <c r="B248" s="2">
        <v>0.1033</v>
      </c>
      <c r="C248" s="2">
        <v>146</v>
      </c>
      <c r="D248" s="2">
        <v>-1</v>
      </c>
      <c r="E248" s="2">
        <v>99.353999999999999</v>
      </c>
      <c r="F248" s="2">
        <v>247</v>
      </c>
      <c r="G248" s="2">
        <f t="shared" si="16"/>
        <v>-8.4000000000003183E-2</v>
      </c>
      <c r="H248" s="2">
        <f t="shared" si="17"/>
        <v>-0.81316553727011787</v>
      </c>
      <c r="I248" s="2">
        <f t="shared" si="18"/>
        <v>8.4000000000003183E-2</v>
      </c>
      <c r="J248" s="2">
        <f t="shared" si="15"/>
        <v>146</v>
      </c>
      <c r="K248" s="27">
        <f t="shared" si="19"/>
        <v>4.9836066217083363</v>
      </c>
    </row>
    <row r="249" spans="1:11" x14ac:dyDescent="0.3">
      <c r="A249" s="28">
        <v>0.15904399999999999</v>
      </c>
      <c r="B249" s="3">
        <v>9.9699999999999997E-2</v>
      </c>
      <c r="C249" s="3" t="s">
        <v>5</v>
      </c>
      <c r="D249" s="3">
        <v>-1</v>
      </c>
      <c r="E249" s="3">
        <v>99.27</v>
      </c>
      <c r="F249" s="3">
        <v>248</v>
      </c>
      <c r="G249" s="3">
        <f t="shared" si="16"/>
        <v>-8.1999999999993634E-2</v>
      </c>
      <c r="H249" s="3">
        <f t="shared" si="17"/>
        <v>-0.82246740220655601</v>
      </c>
      <c r="I249" s="3">
        <f t="shared" si="18"/>
        <v>8.1999999999993634E-2</v>
      </c>
      <c r="J249" s="3">
        <f t="shared" si="15"/>
        <v>108.25547445255475</v>
      </c>
      <c r="K249" s="29">
        <f t="shared" si="19"/>
        <v>4.6844939379138379</v>
      </c>
    </row>
    <row r="250" spans="1:11" x14ac:dyDescent="0.3">
      <c r="A250" s="26">
        <v>0.159723</v>
      </c>
      <c r="B250" s="2">
        <v>9.1999999999999998E-2</v>
      </c>
      <c r="C250" s="2" t="s">
        <v>5</v>
      </c>
      <c r="D250" s="2">
        <v>1</v>
      </c>
      <c r="E250" s="2">
        <v>99.188000000000002</v>
      </c>
      <c r="F250" s="2">
        <v>249</v>
      </c>
      <c r="G250" s="2">
        <f t="shared" si="16"/>
        <v>0.10200000000000387</v>
      </c>
      <c r="H250" s="2">
        <f t="shared" si="17"/>
        <v>1.108695652173955</v>
      </c>
      <c r="I250" s="2">
        <f t="shared" si="18"/>
        <v>0.10200000000000387</v>
      </c>
      <c r="J250" s="2">
        <f t="shared" si="15"/>
        <v>108.25547445255475</v>
      </c>
      <c r="K250" s="27">
        <f t="shared" si="19"/>
        <v>4.6844939379138379</v>
      </c>
    </row>
    <row r="251" spans="1:11" x14ac:dyDescent="0.3">
      <c r="A251" s="28">
        <v>0.16087499999999999</v>
      </c>
      <c r="B251" s="3">
        <v>8.09E-2</v>
      </c>
      <c r="C251" s="3" t="s">
        <v>5</v>
      </c>
      <c r="D251" s="3">
        <v>-1</v>
      </c>
      <c r="E251" s="3">
        <v>99.29</v>
      </c>
      <c r="F251" s="3">
        <v>250</v>
      </c>
      <c r="G251" s="3">
        <f t="shared" si="16"/>
        <v>-3.0000000000001137E-2</v>
      </c>
      <c r="H251" s="3">
        <f t="shared" si="17"/>
        <v>-0.37082818294191766</v>
      </c>
      <c r="I251" s="3">
        <f t="shared" si="18"/>
        <v>3.0000000000001137E-2</v>
      </c>
      <c r="J251" s="3">
        <f t="shared" si="15"/>
        <v>108.25547445255475</v>
      </c>
      <c r="K251" s="29">
        <f t="shared" si="19"/>
        <v>4.6844939379138379</v>
      </c>
    </row>
    <row r="252" spans="1:11" x14ac:dyDescent="0.3">
      <c r="A252" s="26">
        <v>0.161166</v>
      </c>
      <c r="B252" s="2">
        <v>8.5599999999999996E-2</v>
      </c>
      <c r="C252" s="2" t="s">
        <v>5</v>
      </c>
      <c r="D252" s="2">
        <v>1</v>
      </c>
      <c r="E252" s="2">
        <v>99.26</v>
      </c>
      <c r="F252" s="2">
        <v>251</v>
      </c>
      <c r="G252" s="2">
        <f t="shared" si="16"/>
        <v>6.2999999999988177E-2</v>
      </c>
      <c r="H252" s="2">
        <f t="shared" si="17"/>
        <v>0.7359813084110769</v>
      </c>
      <c r="I252" s="2">
        <f t="shared" si="18"/>
        <v>6.2999999999988177E-2</v>
      </c>
      <c r="J252" s="2">
        <f t="shared" si="15"/>
        <v>108.25547445255475</v>
      </c>
      <c r="K252" s="27">
        <f t="shared" si="19"/>
        <v>4.6844939379138379</v>
      </c>
    </row>
    <row r="253" spans="1:11" x14ac:dyDescent="0.3">
      <c r="A253" s="28">
        <v>0.16159399999999999</v>
      </c>
      <c r="B253" s="3">
        <v>8.8200000000000001E-2</v>
      </c>
      <c r="C253" s="3" t="s">
        <v>5</v>
      </c>
      <c r="D253" s="3">
        <v>-1</v>
      </c>
      <c r="E253" s="3">
        <v>99.322999999999993</v>
      </c>
      <c r="F253" s="3">
        <v>252</v>
      </c>
      <c r="G253" s="3">
        <f t="shared" si="16"/>
        <v>-6.9999999999993179E-2</v>
      </c>
      <c r="H253" s="3">
        <f t="shared" si="17"/>
        <v>-0.79365079365071634</v>
      </c>
      <c r="I253" s="3">
        <f t="shared" si="18"/>
        <v>6.9999999999993179E-2</v>
      </c>
      <c r="J253" s="3">
        <f t="shared" si="15"/>
        <v>108.25547445255475</v>
      </c>
      <c r="K253" s="29">
        <f t="shared" si="19"/>
        <v>4.6844939379138379</v>
      </c>
    </row>
    <row r="254" spans="1:11" x14ac:dyDescent="0.3">
      <c r="A254" s="26">
        <v>0.16215299999999999</v>
      </c>
      <c r="B254" s="2">
        <v>0.11749999999999999</v>
      </c>
      <c r="C254" s="2" t="s">
        <v>5</v>
      </c>
      <c r="D254" s="2">
        <v>-1</v>
      </c>
      <c r="E254" s="2">
        <v>99.253</v>
      </c>
      <c r="F254" s="2">
        <v>253</v>
      </c>
      <c r="G254" s="2">
        <f t="shared" si="16"/>
        <v>-9.0000000000003411E-2</v>
      </c>
      <c r="H254" s="2">
        <f t="shared" si="17"/>
        <v>-0.76595744680853972</v>
      </c>
      <c r="I254" s="2">
        <f t="shared" si="18"/>
        <v>9.0000000000003411E-2</v>
      </c>
      <c r="J254" s="2">
        <f t="shared" si="15"/>
        <v>108.25547445255475</v>
      </c>
      <c r="K254" s="27">
        <f t="shared" si="19"/>
        <v>4.6844939379138379</v>
      </c>
    </row>
    <row r="255" spans="1:11" x14ac:dyDescent="0.3">
      <c r="A255" s="28">
        <v>0.16253500000000001</v>
      </c>
      <c r="B255" s="3">
        <v>0.1038</v>
      </c>
      <c r="C255" s="3" t="s">
        <v>5</v>
      </c>
      <c r="D255" s="3">
        <v>1</v>
      </c>
      <c r="E255" s="3">
        <v>99.162999999999997</v>
      </c>
      <c r="F255" s="3">
        <v>254</v>
      </c>
      <c r="G255" s="3">
        <f t="shared" si="16"/>
        <v>9.6000000000003638E-2</v>
      </c>
      <c r="H255" s="3">
        <f t="shared" si="17"/>
        <v>0.92485549132951483</v>
      </c>
      <c r="I255" s="3">
        <f t="shared" si="18"/>
        <v>9.6000000000003638E-2</v>
      </c>
      <c r="J255" s="3">
        <f t="shared" si="15"/>
        <v>108.25547445255475</v>
      </c>
      <c r="K255" s="29">
        <f t="shared" si="19"/>
        <v>4.6844939379138379</v>
      </c>
    </row>
    <row r="256" spans="1:11" x14ac:dyDescent="0.3">
      <c r="A256" s="26">
        <v>0.16306100000000001</v>
      </c>
      <c r="B256" s="2">
        <v>0.1055</v>
      </c>
      <c r="C256" s="2" t="s">
        <v>5</v>
      </c>
      <c r="D256" s="2">
        <v>1</v>
      </c>
      <c r="E256" s="2">
        <v>99.259</v>
      </c>
      <c r="F256" s="2">
        <v>255</v>
      </c>
      <c r="G256" s="2">
        <f t="shared" si="16"/>
        <v>3.1999999999996476E-2</v>
      </c>
      <c r="H256" s="2">
        <f t="shared" si="17"/>
        <v>0.3033175355449903</v>
      </c>
      <c r="I256" s="2">
        <f t="shared" si="18"/>
        <v>3.1999999999996476E-2</v>
      </c>
      <c r="J256" s="2">
        <f t="shared" si="15"/>
        <v>108.25547445255475</v>
      </c>
      <c r="K256" s="27">
        <f t="shared" si="19"/>
        <v>4.6844939379138379</v>
      </c>
    </row>
    <row r="257" spans="1:11" x14ac:dyDescent="0.3">
      <c r="A257" s="28">
        <v>0.164021</v>
      </c>
      <c r="B257" s="3">
        <v>0.10680000000000001</v>
      </c>
      <c r="C257" s="3">
        <v>29</v>
      </c>
      <c r="D257" s="3">
        <v>1</v>
      </c>
      <c r="E257" s="3">
        <v>99.290999999999997</v>
      </c>
      <c r="F257" s="2">
        <v>256</v>
      </c>
      <c r="G257" s="2">
        <f t="shared" si="16"/>
        <v>3.6000000000001364E-2</v>
      </c>
      <c r="H257" s="2">
        <f t="shared" si="17"/>
        <v>0.33707865168540602</v>
      </c>
      <c r="I257" s="2">
        <f t="shared" si="18"/>
        <v>3.6000000000001364E-2</v>
      </c>
      <c r="J257" s="2">
        <f t="shared" si="15"/>
        <v>29</v>
      </c>
      <c r="K257" s="27">
        <f t="shared" si="19"/>
        <v>3.3672958299864741</v>
      </c>
    </row>
    <row r="258" spans="1:11" x14ac:dyDescent="0.3">
      <c r="A258" s="26">
        <v>0.164461</v>
      </c>
      <c r="B258" s="2">
        <v>8.8900000000000007E-2</v>
      </c>
      <c r="C258" s="2" t="s">
        <v>5</v>
      </c>
      <c r="D258" s="2">
        <v>-1</v>
      </c>
      <c r="E258" s="2">
        <v>99.326999999999998</v>
      </c>
      <c r="F258" s="3">
        <v>257</v>
      </c>
      <c r="G258" s="3">
        <f t="shared" si="16"/>
        <v>-1.0000000000047748E-3</v>
      </c>
      <c r="H258" s="3">
        <f t="shared" si="17"/>
        <v>-1.124859392581299E-2</v>
      </c>
      <c r="I258" s="3">
        <f t="shared" si="18"/>
        <v>1.0000000000047748E-3</v>
      </c>
      <c r="J258" s="3">
        <f t="shared" ref="J258:J321" si="20">IF(C258="",$AA$1,C258)</f>
        <v>108.25547445255475</v>
      </c>
      <c r="K258" s="29">
        <f t="shared" si="19"/>
        <v>4.6844939379138379</v>
      </c>
    </row>
    <row r="259" spans="1:11" x14ac:dyDescent="0.3">
      <c r="A259" s="28">
        <v>0.16472999999999999</v>
      </c>
      <c r="B259" s="3">
        <v>9.9599999999999994E-2</v>
      </c>
      <c r="C259" s="3" t="s">
        <v>5</v>
      </c>
      <c r="D259" s="3">
        <v>-1</v>
      </c>
      <c r="E259" s="3">
        <v>99.325999999999993</v>
      </c>
      <c r="F259" s="2">
        <v>258</v>
      </c>
      <c r="G259" s="2">
        <f t="shared" ref="G259:G322" si="21">E260-E259</f>
        <v>-3.0999999999991701E-2</v>
      </c>
      <c r="H259" s="2">
        <f t="shared" ref="H259:H322" si="22">IF(B259&lt;&gt;0,G259/B259,"")</f>
        <v>-0.31124497991959543</v>
      </c>
      <c r="I259" s="2">
        <f t="shared" ref="I259:I322" si="23">D259*G259</f>
        <v>3.0999999999991701E-2</v>
      </c>
      <c r="J259" s="2">
        <f t="shared" si="20"/>
        <v>108.25547445255475</v>
      </c>
      <c r="K259" s="27">
        <f t="shared" ref="K259:K322" si="24">LN(J259)</f>
        <v>4.6844939379138379</v>
      </c>
    </row>
    <row r="260" spans="1:11" x14ac:dyDescent="0.3">
      <c r="A260" s="26">
        <v>0.164855</v>
      </c>
      <c r="B260" s="2">
        <v>0.1002</v>
      </c>
      <c r="C260" s="2" t="s">
        <v>5</v>
      </c>
      <c r="D260" s="2">
        <v>-1</v>
      </c>
      <c r="E260" s="2">
        <v>99.295000000000002</v>
      </c>
      <c r="F260" s="3">
        <v>259</v>
      </c>
      <c r="G260" s="3">
        <f t="shared" si="21"/>
        <v>-8.5999999999998522E-2</v>
      </c>
      <c r="H260" s="3">
        <f t="shared" si="22"/>
        <v>-0.8582834331337178</v>
      </c>
      <c r="I260" s="3">
        <f t="shared" si="23"/>
        <v>8.5999999999998522E-2</v>
      </c>
      <c r="J260" s="3">
        <f t="shared" si="20"/>
        <v>108.25547445255475</v>
      </c>
      <c r="K260" s="29">
        <f t="shared" si="24"/>
        <v>4.6844939379138379</v>
      </c>
    </row>
    <row r="261" spans="1:11" x14ac:dyDescent="0.3">
      <c r="A261" s="28">
        <v>0.165966</v>
      </c>
      <c r="B261" s="3">
        <v>8.6300000000000002E-2</v>
      </c>
      <c r="C261" s="3">
        <v>85</v>
      </c>
      <c r="D261" s="3">
        <v>1</v>
      </c>
      <c r="E261" s="3">
        <v>99.209000000000003</v>
      </c>
      <c r="F261" s="2">
        <v>260</v>
      </c>
      <c r="G261" s="2">
        <f t="shared" si="21"/>
        <v>5.8999999999997499E-2</v>
      </c>
      <c r="H261" s="2">
        <f t="shared" si="22"/>
        <v>0.68366164542291419</v>
      </c>
      <c r="I261" s="2">
        <f t="shared" si="23"/>
        <v>5.8999999999997499E-2</v>
      </c>
      <c r="J261" s="2">
        <f t="shared" si="20"/>
        <v>85</v>
      </c>
      <c r="K261" s="27">
        <f t="shared" si="24"/>
        <v>4.4426512564903167</v>
      </c>
    </row>
    <row r="262" spans="1:11" x14ac:dyDescent="0.3">
      <c r="A262" s="26">
        <v>0.16614100000000001</v>
      </c>
      <c r="B262" s="2">
        <v>8.4099999999999994E-2</v>
      </c>
      <c r="C262" s="2" t="s">
        <v>5</v>
      </c>
      <c r="D262" s="2">
        <v>-1</v>
      </c>
      <c r="E262" s="2">
        <v>99.268000000000001</v>
      </c>
      <c r="F262" s="3">
        <v>261</v>
      </c>
      <c r="G262" s="3">
        <f t="shared" si="21"/>
        <v>-4.5000000000001705E-2</v>
      </c>
      <c r="H262" s="3">
        <f t="shared" si="22"/>
        <v>-0.53507728894175632</v>
      </c>
      <c r="I262" s="3">
        <f t="shared" si="23"/>
        <v>4.5000000000001705E-2</v>
      </c>
      <c r="J262" s="3">
        <f t="shared" si="20"/>
        <v>108.25547445255475</v>
      </c>
      <c r="K262" s="29">
        <f t="shared" si="24"/>
        <v>4.6844939379138379</v>
      </c>
    </row>
    <row r="263" spans="1:11" x14ac:dyDescent="0.3">
      <c r="A263" s="28">
        <v>0.16697699999999999</v>
      </c>
      <c r="B263" s="3">
        <v>8.8499999999999995E-2</v>
      </c>
      <c r="C263" s="3">
        <v>186</v>
      </c>
      <c r="D263" s="3">
        <v>1</v>
      </c>
      <c r="E263" s="3">
        <v>99.222999999999999</v>
      </c>
      <c r="F263" s="2">
        <v>262</v>
      </c>
      <c r="G263" s="2">
        <f t="shared" si="21"/>
        <v>8.8000000000008072E-2</v>
      </c>
      <c r="H263" s="2">
        <f t="shared" si="22"/>
        <v>0.99435028248596702</v>
      </c>
      <c r="I263" s="2">
        <f t="shared" si="23"/>
        <v>8.8000000000008072E-2</v>
      </c>
      <c r="J263" s="2">
        <f t="shared" si="20"/>
        <v>186</v>
      </c>
      <c r="K263" s="27">
        <f t="shared" si="24"/>
        <v>5.2257466737132017</v>
      </c>
    </row>
    <row r="264" spans="1:11" x14ac:dyDescent="0.3">
      <c r="A264" s="26">
        <v>0.16854</v>
      </c>
      <c r="B264" s="2">
        <v>0.1028</v>
      </c>
      <c r="C264" s="2" t="s">
        <v>5</v>
      </c>
      <c r="D264" s="2">
        <v>-1</v>
      </c>
      <c r="E264" s="2">
        <v>99.311000000000007</v>
      </c>
      <c r="F264" s="3">
        <v>263</v>
      </c>
      <c r="G264" s="3">
        <f t="shared" si="21"/>
        <v>-4.1000000000011028E-2</v>
      </c>
      <c r="H264" s="3">
        <f t="shared" si="22"/>
        <v>-0.39883268482501</v>
      </c>
      <c r="I264" s="3">
        <f t="shared" si="23"/>
        <v>4.1000000000011028E-2</v>
      </c>
      <c r="J264" s="3">
        <f t="shared" si="20"/>
        <v>108.25547445255475</v>
      </c>
      <c r="K264" s="29">
        <f t="shared" si="24"/>
        <v>4.6844939379138379</v>
      </c>
    </row>
    <row r="265" spans="1:11" x14ac:dyDescent="0.3">
      <c r="A265" s="28">
        <v>0.16972499999999999</v>
      </c>
      <c r="B265" s="3">
        <v>0.1076</v>
      </c>
      <c r="C265" s="3" t="s">
        <v>5</v>
      </c>
      <c r="D265" s="3">
        <v>1</v>
      </c>
      <c r="E265" s="3">
        <v>99.27</v>
      </c>
      <c r="F265" s="2">
        <v>264</v>
      </c>
      <c r="G265" s="2">
        <f t="shared" si="21"/>
        <v>0.11700000000000443</v>
      </c>
      <c r="H265" s="2">
        <f t="shared" si="22"/>
        <v>1.0873605947955802</v>
      </c>
      <c r="I265" s="2">
        <f t="shared" si="23"/>
        <v>0.11700000000000443</v>
      </c>
      <c r="J265" s="2">
        <f t="shared" si="20"/>
        <v>108.25547445255475</v>
      </c>
      <c r="K265" s="27">
        <f t="shared" si="24"/>
        <v>4.6844939379138379</v>
      </c>
    </row>
    <row r="266" spans="1:11" x14ac:dyDescent="0.3">
      <c r="A266" s="26">
        <v>0.171845</v>
      </c>
      <c r="B266" s="2">
        <v>0.1081</v>
      </c>
      <c r="C266" s="2" t="s">
        <v>5</v>
      </c>
      <c r="D266" s="2">
        <v>1</v>
      </c>
      <c r="E266" s="2">
        <v>99.387</v>
      </c>
      <c r="F266" s="3">
        <v>265</v>
      </c>
      <c r="G266" s="3">
        <f t="shared" si="21"/>
        <v>3.7999999999996703E-2</v>
      </c>
      <c r="H266" s="3">
        <f t="shared" si="22"/>
        <v>0.35152636447730529</v>
      </c>
      <c r="I266" s="3">
        <f t="shared" si="23"/>
        <v>3.7999999999996703E-2</v>
      </c>
      <c r="J266" s="3">
        <f t="shared" si="20"/>
        <v>108.25547445255475</v>
      </c>
      <c r="K266" s="29">
        <f t="shared" si="24"/>
        <v>4.6844939379138379</v>
      </c>
    </row>
    <row r="267" spans="1:11" x14ac:dyDescent="0.3">
      <c r="A267" s="28">
        <v>0.17694099999999999</v>
      </c>
      <c r="B267" s="3">
        <v>0.1028</v>
      </c>
      <c r="C267" s="3">
        <v>77</v>
      </c>
      <c r="D267" s="3">
        <v>-1</v>
      </c>
      <c r="E267" s="3">
        <v>99.424999999999997</v>
      </c>
      <c r="F267" s="2">
        <v>266</v>
      </c>
      <c r="G267" s="2">
        <f t="shared" si="21"/>
        <v>-6.1999999999997613E-2</v>
      </c>
      <c r="H267" s="2">
        <f t="shared" si="22"/>
        <v>-0.60311284046690283</v>
      </c>
      <c r="I267" s="2">
        <f t="shared" si="23"/>
        <v>6.1999999999997613E-2</v>
      </c>
      <c r="J267" s="2">
        <f t="shared" si="20"/>
        <v>77</v>
      </c>
      <c r="K267" s="27">
        <f t="shared" si="24"/>
        <v>4.3438054218536841</v>
      </c>
    </row>
    <row r="268" spans="1:11" x14ac:dyDescent="0.3">
      <c r="A268" s="26">
        <v>0.17741000000000001</v>
      </c>
      <c r="B268" s="2">
        <v>8.7099999999999997E-2</v>
      </c>
      <c r="C268" s="2">
        <v>21</v>
      </c>
      <c r="D268" s="2">
        <v>-1</v>
      </c>
      <c r="E268" s="2">
        <v>99.363</v>
      </c>
      <c r="F268" s="3">
        <v>267</v>
      </c>
      <c r="G268" s="3">
        <f t="shared" si="21"/>
        <v>-2.1000000000000796E-2</v>
      </c>
      <c r="H268" s="3">
        <f t="shared" si="22"/>
        <v>-0.241102181400698</v>
      </c>
      <c r="I268" s="3">
        <f t="shared" si="23"/>
        <v>2.1000000000000796E-2</v>
      </c>
      <c r="J268" s="3">
        <f t="shared" si="20"/>
        <v>21</v>
      </c>
      <c r="K268" s="29">
        <f t="shared" si="24"/>
        <v>3.044522437723423</v>
      </c>
    </row>
    <row r="269" spans="1:11" x14ac:dyDescent="0.3">
      <c r="A269" s="28">
        <v>0.17794599999999999</v>
      </c>
      <c r="B269" s="3">
        <v>0.10349999999999999</v>
      </c>
      <c r="C269" s="3" t="s">
        <v>5</v>
      </c>
      <c r="D269" s="3">
        <v>1</v>
      </c>
      <c r="E269" s="3">
        <v>99.341999999999999</v>
      </c>
      <c r="F269" s="2">
        <v>268</v>
      </c>
      <c r="G269" s="2">
        <f t="shared" si="21"/>
        <v>0.10099999999999909</v>
      </c>
      <c r="H269" s="2">
        <f t="shared" si="22"/>
        <v>0.97584541062801056</v>
      </c>
      <c r="I269" s="2">
        <f t="shared" si="23"/>
        <v>0.10099999999999909</v>
      </c>
      <c r="J269" s="2">
        <f t="shared" si="20"/>
        <v>108.25547445255475</v>
      </c>
      <c r="K269" s="27">
        <f t="shared" si="24"/>
        <v>4.6844939379138379</v>
      </c>
    </row>
    <row r="270" spans="1:11" x14ac:dyDescent="0.3">
      <c r="A270" s="26">
        <v>0.17827399999999999</v>
      </c>
      <c r="B270" s="2">
        <v>0.11070000000000001</v>
      </c>
      <c r="C270" s="2">
        <v>121</v>
      </c>
      <c r="D270" s="2">
        <v>1</v>
      </c>
      <c r="E270" s="2">
        <v>99.442999999999998</v>
      </c>
      <c r="F270" s="3">
        <v>269</v>
      </c>
      <c r="G270" s="3">
        <f t="shared" si="21"/>
        <v>7.2000000000002728E-2</v>
      </c>
      <c r="H270" s="3">
        <f t="shared" si="22"/>
        <v>0.65040650406506528</v>
      </c>
      <c r="I270" s="3">
        <f t="shared" si="23"/>
        <v>7.2000000000002728E-2</v>
      </c>
      <c r="J270" s="3">
        <f t="shared" si="20"/>
        <v>121</v>
      </c>
      <c r="K270" s="29">
        <f t="shared" si="24"/>
        <v>4.7957905455967413</v>
      </c>
    </row>
    <row r="271" spans="1:11" x14ac:dyDescent="0.3">
      <c r="A271" s="28">
        <v>0.18174599999999999</v>
      </c>
      <c r="B271" s="3">
        <v>9.6500000000000002E-2</v>
      </c>
      <c r="C271" s="3" t="s">
        <v>5</v>
      </c>
      <c r="D271" s="3">
        <v>1</v>
      </c>
      <c r="E271" s="3">
        <v>99.515000000000001</v>
      </c>
      <c r="F271" s="2">
        <v>270</v>
      </c>
      <c r="G271" s="2">
        <f t="shared" si="21"/>
        <v>4.8999999999992383E-2</v>
      </c>
      <c r="H271" s="2">
        <f t="shared" si="22"/>
        <v>0.50777202072530969</v>
      </c>
      <c r="I271" s="2">
        <f t="shared" si="23"/>
        <v>4.8999999999992383E-2</v>
      </c>
      <c r="J271" s="2">
        <f t="shared" si="20"/>
        <v>108.25547445255475</v>
      </c>
      <c r="K271" s="27">
        <f t="shared" si="24"/>
        <v>4.6844939379138379</v>
      </c>
    </row>
    <row r="272" spans="1:11" x14ac:dyDescent="0.3">
      <c r="A272" s="26">
        <v>0.18265300000000001</v>
      </c>
      <c r="B272" s="2">
        <v>0.10780000000000001</v>
      </c>
      <c r="C272" s="2" t="s">
        <v>5</v>
      </c>
      <c r="D272" s="2">
        <v>-1</v>
      </c>
      <c r="E272" s="2">
        <v>99.563999999999993</v>
      </c>
      <c r="F272" s="3">
        <v>271</v>
      </c>
      <c r="G272" s="3">
        <f t="shared" si="21"/>
        <v>-1.1999999999986244E-2</v>
      </c>
      <c r="H272" s="3">
        <f t="shared" si="22"/>
        <v>-0.11131725417426942</v>
      </c>
      <c r="I272" s="3">
        <f t="shared" si="23"/>
        <v>1.1999999999986244E-2</v>
      </c>
      <c r="J272" s="3">
        <f t="shared" si="20"/>
        <v>108.25547445255475</v>
      </c>
      <c r="K272" s="29">
        <f t="shared" si="24"/>
        <v>4.6844939379138379</v>
      </c>
    </row>
    <row r="273" spans="1:11" x14ac:dyDescent="0.3">
      <c r="A273" s="28">
        <v>0.182916</v>
      </c>
      <c r="B273" s="3">
        <v>9.1399999999999995E-2</v>
      </c>
      <c r="C273" s="3" t="s">
        <v>5</v>
      </c>
      <c r="D273" s="3">
        <v>1</v>
      </c>
      <c r="E273" s="3">
        <v>99.552000000000007</v>
      </c>
      <c r="F273" s="2">
        <v>272</v>
      </c>
      <c r="G273" s="2">
        <f t="shared" si="21"/>
        <v>7.2999999999993292E-2</v>
      </c>
      <c r="H273" s="2">
        <f t="shared" si="22"/>
        <v>0.79868708971546276</v>
      </c>
      <c r="I273" s="2">
        <f t="shared" si="23"/>
        <v>7.2999999999993292E-2</v>
      </c>
      <c r="J273" s="2">
        <f t="shared" si="20"/>
        <v>108.25547445255475</v>
      </c>
      <c r="K273" s="27">
        <f t="shared" si="24"/>
        <v>4.6844939379138379</v>
      </c>
    </row>
    <row r="274" spans="1:11" x14ac:dyDescent="0.3">
      <c r="A274" s="26">
        <v>0.183309</v>
      </c>
      <c r="B274" s="2">
        <v>9.4799999999999995E-2</v>
      </c>
      <c r="C274" s="2" t="s">
        <v>5</v>
      </c>
      <c r="D274" s="2">
        <v>-1</v>
      </c>
      <c r="E274" s="2">
        <v>99.625</v>
      </c>
      <c r="F274" s="2">
        <v>273</v>
      </c>
      <c r="G274" s="2">
        <f t="shared" si="21"/>
        <v>-7.5999999999993406E-2</v>
      </c>
      <c r="H274" s="2">
        <f t="shared" si="22"/>
        <v>-0.80168776371301065</v>
      </c>
      <c r="I274" s="2">
        <f t="shared" si="23"/>
        <v>7.5999999999993406E-2</v>
      </c>
      <c r="J274" s="2">
        <f t="shared" si="20"/>
        <v>108.25547445255475</v>
      </c>
      <c r="K274" s="27">
        <f t="shared" si="24"/>
        <v>4.6844939379138379</v>
      </c>
    </row>
    <row r="275" spans="1:11" x14ac:dyDescent="0.3">
      <c r="A275" s="28">
        <v>0.186832</v>
      </c>
      <c r="B275" s="3">
        <v>0.1198</v>
      </c>
      <c r="C275" s="3" t="s">
        <v>5</v>
      </c>
      <c r="D275" s="3">
        <v>-1</v>
      </c>
      <c r="E275" s="3">
        <v>99.549000000000007</v>
      </c>
      <c r="F275" s="3">
        <v>274</v>
      </c>
      <c r="G275" s="3">
        <f t="shared" si="21"/>
        <v>-4.5000000000001705E-2</v>
      </c>
      <c r="H275" s="3">
        <f t="shared" si="22"/>
        <v>-0.37562604340569034</v>
      </c>
      <c r="I275" s="3">
        <f t="shared" si="23"/>
        <v>4.5000000000001705E-2</v>
      </c>
      <c r="J275" s="3">
        <f t="shared" si="20"/>
        <v>108.25547445255475</v>
      </c>
      <c r="K275" s="29">
        <f t="shared" si="24"/>
        <v>4.6844939379138379</v>
      </c>
    </row>
    <row r="276" spans="1:11" x14ac:dyDescent="0.3">
      <c r="A276" s="26">
        <v>0.187807</v>
      </c>
      <c r="B276" s="2">
        <v>8.7999999999999995E-2</v>
      </c>
      <c r="C276" s="2" t="s">
        <v>5</v>
      </c>
      <c r="D276" s="2">
        <v>-1</v>
      </c>
      <c r="E276" s="2">
        <v>99.504000000000005</v>
      </c>
      <c r="F276" s="2">
        <v>275</v>
      </c>
      <c r="G276" s="2">
        <f t="shared" si="21"/>
        <v>-8.100000000000307E-2</v>
      </c>
      <c r="H276" s="2">
        <f t="shared" si="22"/>
        <v>-0.92045454545458039</v>
      </c>
      <c r="I276" s="2">
        <f t="shared" si="23"/>
        <v>8.100000000000307E-2</v>
      </c>
      <c r="J276" s="2">
        <f t="shared" si="20"/>
        <v>108.25547445255475</v>
      </c>
      <c r="K276" s="27">
        <f t="shared" si="24"/>
        <v>4.6844939379138379</v>
      </c>
    </row>
    <row r="277" spans="1:11" x14ac:dyDescent="0.3">
      <c r="A277" s="28">
        <v>0.18795600000000001</v>
      </c>
      <c r="B277" s="3">
        <v>0.11</v>
      </c>
      <c r="C277" s="3">
        <v>3</v>
      </c>
      <c r="D277" s="3">
        <v>-1</v>
      </c>
      <c r="E277" s="3">
        <v>99.423000000000002</v>
      </c>
      <c r="F277" s="3">
        <v>276</v>
      </c>
      <c r="G277" s="3">
        <f t="shared" si="21"/>
        <v>1.0000000000047748E-3</v>
      </c>
      <c r="H277" s="3">
        <f t="shared" si="22"/>
        <v>9.0909090909524985E-3</v>
      </c>
      <c r="I277" s="3">
        <f t="shared" si="23"/>
        <v>-1.0000000000047748E-3</v>
      </c>
      <c r="J277" s="3">
        <f t="shared" si="20"/>
        <v>3</v>
      </c>
      <c r="K277" s="29">
        <f t="shared" si="24"/>
        <v>1.0986122886681098</v>
      </c>
    </row>
    <row r="278" spans="1:11" x14ac:dyDescent="0.3">
      <c r="A278" s="26">
        <v>0.18930900000000001</v>
      </c>
      <c r="B278" s="2">
        <v>7.7299999999999994E-2</v>
      </c>
      <c r="C278" s="2" t="s">
        <v>5</v>
      </c>
      <c r="D278" s="2">
        <v>1</v>
      </c>
      <c r="E278" s="2">
        <v>99.424000000000007</v>
      </c>
      <c r="F278" s="2">
        <v>277</v>
      </c>
      <c r="G278" s="2">
        <f t="shared" si="21"/>
        <v>4.5999999999992269E-2</v>
      </c>
      <c r="H278" s="2">
        <f t="shared" si="22"/>
        <v>0.59508408796885215</v>
      </c>
      <c r="I278" s="2">
        <f t="shared" si="23"/>
        <v>4.5999999999992269E-2</v>
      </c>
      <c r="J278" s="2">
        <f t="shared" si="20"/>
        <v>108.25547445255475</v>
      </c>
      <c r="K278" s="27">
        <f t="shared" si="24"/>
        <v>4.6844939379138379</v>
      </c>
    </row>
    <row r="279" spans="1:11" x14ac:dyDescent="0.3">
      <c r="A279" s="28">
        <v>0.189882</v>
      </c>
      <c r="B279" s="3">
        <v>0.1002</v>
      </c>
      <c r="C279" s="3" t="s">
        <v>5</v>
      </c>
      <c r="D279" s="3">
        <v>-1</v>
      </c>
      <c r="E279" s="3">
        <v>99.47</v>
      </c>
      <c r="F279" s="3">
        <v>278</v>
      </c>
      <c r="G279" s="3">
        <f t="shared" si="21"/>
        <v>-6.3000000000002387E-2</v>
      </c>
      <c r="H279" s="3">
        <f t="shared" si="22"/>
        <v>-0.62874251497008371</v>
      </c>
      <c r="I279" s="3">
        <f t="shared" si="23"/>
        <v>6.3000000000002387E-2</v>
      </c>
      <c r="J279" s="3">
        <f t="shared" si="20"/>
        <v>108.25547445255475</v>
      </c>
      <c r="K279" s="29">
        <f t="shared" si="24"/>
        <v>4.6844939379138379</v>
      </c>
    </row>
    <row r="280" spans="1:11" x14ac:dyDescent="0.3">
      <c r="A280" s="26">
        <v>0.19070100000000001</v>
      </c>
      <c r="B280" s="2">
        <v>0.10100000000000001</v>
      </c>
      <c r="C280" s="2" t="s">
        <v>5</v>
      </c>
      <c r="D280" s="2">
        <v>1</v>
      </c>
      <c r="E280" s="2">
        <v>99.406999999999996</v>
      </c>
      <c r="F280" s="2">
        <v>279</v>
      </c>
      <c r="G280" s="2">
        <f t="shared" si="21"/>
        <v>8.8000000000008072E-2</v>
      </c>
      <c r="H280" s="2">
        <f t="shared" si="22"/>
        <v>0.87128712871295111</v>
      </c>
      <c r="I280" s="2">
        <f t="shared" si="23"/>
        <v>8.8000000000008072E-2</v>
      </c>
      <c r="J280" s="2">
        <f t="shared" si="20"/>
        <v>108.25547445255475</v>
      </c>
      <c r="K280" s="27">
        <f t="shared" si="24"/>
        <v>4.6844939379138379</v>
      </c>
    </row>
    <row r="281" spans="1:11" x14ac:dyDescent="0.3">
      <c r="A281" s="28">
        <v>0.19080900000000001</v>
      </c>
      <c r="B281" s="3">
        <v>9.7299999999999998E-2</v>
      </c>
      <c r="C281" s="3" t="s">
        <v>5</v>
      </c>
      <c r="D281" s="3">
        <v>1</v>
      </c>
      <c r="E281" s="3">
        <v>99.495000000000005</v>
      </c>
      <c r="F281" s="3">
        <v>280</v>
      </c>
      <c r="G281" s="3">
        <f t="shared" si="21"/>
        <v>6.6000000000002501E-2</v>
      </c>
      <c r="H281" s="3">
        <f t="shared" si="22"/>
        <v>0.67831449126415733</v>
      </c>
      <c r="I281" s="3">
        <f t="shared" si="23"/>
        <v>6.6000000000002501E-2</v>
      </c>
      <c r="J281" s="3">
        <f t="shared" si="20"/>
        <v>108.25547445255475</v>
      </c>
      <c r="K281" s="29">
        <f t="shared" si="24"/>
        <v>4.6844939379138379</v>
      </c>
    </row>
    <row r="282" spans="1:11" x14ac:dyDescent="0.3">
      <c r="A282" s="26">
        <v>0.19087499999999999</v>
      </c>
      <c r="B282" s="2">
        <v>9.6299999999999997E-2</v>
      </c>
      <c r="C282" s="2" t="s">
        <v>5</v>
      </c>
      <c r="D282" s="2">
        <v>-1</v>
      </c>
      <c r="E282" s="2">
        <v>99.561000000000007</v>
      </c>
      <c r="F282" s="2">
        <v>281</v>
      </c>
      <c r="G282" s="2">
        <f t="shared" si="21"/>
        <v>-0.14000000000000057</v>
      </c>
      <c r="H282" s="2">
        <f t="shared" si="22"/>
        <v>-1.4537902388369737</v>
      </c>
      <c r="I282" s="2">
        <f t="shared" si="23"/>
        <v>0.14000000000000057</v>
      </c>
      <c r="J282" s="2">
        <f t="shared" si="20"/>
        <v>108.25547445255475</v>
      </c>
      <c r="K282" s="27">
        <f t="shared" si="24"/>
        <v>4.6844939379138379</v>
      </c>
    </row>
    <row r="283" spans="1:11" x14ac:dyDescent="0.3">
      <c r="A283" s="28">
        <v>0.191355</v>
      </c>
      <c r="B283" s="3">
        <v>9.2999999999999999E-2</v>
      </c>
      <c r="C283" s="3" t="s">
        <v>5</v>
      </c>
      <c r="D283" s="3">
        <v>1</v>
      </c>
      <c r="E283" s="3">
        <v>99.421000000000006</v>
      </c>
      <c r="F283" s="3">
        <v>282</v>
      </c>
      <c r="G283" s="3">
        <f t="shared" si="21"/>
        <v>9.6999999999994202E-2</v>
      </c>
      <c r="H283" s="3">
        <f t="shared" si="22"/>
        <v>1.0430107526881096</v>
      </c>
      <c r="I283" s="3">
        <f t="shared" si="23"/>
        <v>9.6999999999994202E-2</v>
      </c>
      <c r="J283" s="3">
        <f t="shared" si="20"/>
        <v>108.25547445255475</v>
      </c>
      <c r="K283" s="29">
        <f t="shared" si="24"/>
        <v>4.6844939379138379</v>
      </c>
    </row>
    <row r="284" spans="1:11" x14ac:dyDescent="0.3">
      <c r="A284" s="26">
        <v>0.19214700000000001</v>
      </c>
      <c r="B284" s="2">
        <v>0.1027</v>
      </c>
      <c r="C284" s="2" t="s">
        <v>5</v>
      </c>
      <c r="D284" s="2">
        <v>1</v>
      </c>
      <c r="E284" s="2">
        <v>99.518000000000001</v>
      </c>
      <c r="F284" s="2">
        <v>283</v>
      </c>
      <c r="G284" s="2">
        <f t="shared" si="21"/>
        <v>4.5000000000001705E-2</v>
      </c>
      <c r="H284" s="2">
        <f t="shared" si="22"/>
        <v>0.43816942551121429</v>
      </c>
      <c r="I284" s="2">
        <f t="shared" si="23"/>
        <v>4.5000000000001705E-2</v>
      </c>
      <c r="J284" s="2">
        <f t="shared" si="20"/>
        <v>108.25547445255475</v>
      </c>
      <c r="K284" s="27">
        <f t="shared" si="24"/>
        <v>4.6844939379138379</v>
      </c>
    </row>
    <row r="285" spans="1:11" x14ac:dyDescent="0.3">
      <c r="A285" s="28">
        <v>0.19396099999999999</v>
      </c>
      <c r="B285" s="3">
        <v>0.1152</v>
      </c>
      <c r="C285" s="3" t="s">
        <v>5</v>
      </c>
      <c r="D285" s="3">
        <v>1</v>
      </c>
      <c r="E285" s="3">
        <v>99.563000000000002</v>
      </c>
      <c r="F285" s="3">
        <v>284</v>
      </c>
      <c r="G285" s="3">
        <f t="shared" si="21"/>
        <v>6.9999999999993179E-2</v>
      </c>
      <c r="H285" s="3">
        <f t="shared" si="22"/>
        <v>0.60763888888882966</v>
      </c>
      <c r="I285" s="3">
        <f t="shared" si="23"/>
        <v>6.9999999999993179E-2</v>
      </c>
      <c r="J285" s="3">
        <f t="shared" si="20"/>
        <v>108.25547445255475</v>
      </c>
      <c r="K285" s="29">
        <f t="shared" si="24"/>
        <v>4.6844939379138379</v>
      </c>
    </row>
    <row r="286" spans="1:11" x14ac:dyDescent="0.3">
      <c r="A286" s="26">
        <v>0.194436</v>
      </c>
      <c r="B286" s="2">
        <v>9.4E-2</v>
      </c>
      <c r="C286" s="2" t="s">
        <v>5</v>
      </c>
      <c r="D286" s="2">
        <v>-1</v>
      </c>
      <c r="E286" s="2">
        <v>99.632999999999996</v>
      </c>
      <c r="F286" s="2">
        <v>285</v>
      </c>
      <c r="G286" s="2">
        <f t="shared" si="21"/>
        <v>-8.1999999999993634E-2</v>
      </c>
      <c r="H286" s="2">
        <f t="shared" si="22"/>
        <v>-0.87234042553184721</v>
      </c>
      <c r="I286" s="2">
        <f t="shared" si="23"/>
        <v>8.1999999999993634E-2</v>
      </c>
      <c r="J286" s="2">
        <f t="shared" si="20"/>
        <v>108.25547445255475</v>
      </c>
      <c r="K286" s="27">
        <f t="shared" si="24"/>
        <v>4.6844939379138379</v>
      </c>
    </row>
    <row r="287" spans="1:11" x14ac:dyDescent="0.3">
      <c r="A287" s="28">
        <v>0.194629</v>
      </c>
      <c r="B287" s="3">
        <v>9.4299999999999995E-2</v>
      </c>
      <c r="C287" s="3" t="s">
        <v>5</v>
      </c>
      <c r="D287" s="3">
        <v>-1</v>
      </c>
      <c r="E287" s="3">
        <v>99.551000000000002</v>
      </c>
      <c r="F287" s="3">
        <v>286</v>
      </c>
      <c r="G287" s="3">
        <f t="shared" si="21"/>
        <v>-4.0000000000006253E-2</v>
      </c>
      <c r="H287" s="3">
        <f t="shared" si="22"/>
        <v>-0.42417815482509286</v>
      </c>
      <c r="I287" s="3">
        <f t="shared" si="23"/>
        <v>4.0000000000006253E-2</v>
      </c>
      <c r="J287" s="3">
        <f t="shared" si="20"/>
        <v>108.25547445255475</v>
      </c>
      <c r="K287" s="29">
        <f t="shared" si="24"/>
        <v>4.6844939379138379</v>
      </c>
    </row>
    <row r="288" spans="1:11" x14ac:dyDescent="0.3">
      <c r="A288" s="26">
        <v>0.19523599999999999</v>
      </c>
      <c r="B288" s="2">
        <v>7.6700000000000004E-2</v>
      </c>
      <c r="C288" s="2" t="s">
        <v>5</v>
      </c>
      <c r="D288" s="2">
        <v>1</v>
      </c>
      <c r="E288" s="2">
        <v>99.510999999999996</v>
      </c>
      <c r="F288" s="2">
        <v>287</v>
      </c>
      <c r="G288" s="2">
        <f t="shared" si="21"/>
        <v>8.8999999999998636E-2</v>
      </c>
      <c r="H288" s="2">
        <f t="shared" si="22"/>
        <v>1.1603650586701255</v>
      </c>
      <c r="I288" s="2">
        <f t="shared" si="23"/>
        <v>8.8999999999998636E-2</v>
      </c>
      <c r="J288" s="2">
        <f t="shared" si="20"/>
        <v>108.25547445255475</v>
      </c>
      <c r="K288" s="27">
        <f t="shared" si="24"/>
        <v>4.6844939379138379</v>
      </c>
    </row>
    <row r="289" spans="1:11" x14ac:dyDescent="0.3">
      <c r="A289" s="28">
        <v>0.195548</v>
      </c>
      <c r="B289" s="3">
        <v>0.1149</v>
      </c>
      <c r="C289" s="3" t="s">
        <v>5</v>
      </c>
      <c r="D289" s="3">
        <v>-1</v>
      </c>
      <c r="E289" s="3">
        <v>99.6</v>
      </c>
      <c r="F289" s="3">
        <v>288</v>
      </c>
      <c r="G289" s="3">
        <f t="shared" si="21"/>
        <v>-2.7999999999991587E-2</v>
      </c>
      <c r="H289" s="3">
        <f t="shared" si="22"/>
        <v>-0.24369016536111041</v>
      </c>
      <c r="I289" s="3">
        <f t="shared" si="23"/>
        <v>2.7999999999991587E-2</v>
      </c>
      <c r="J289" s="3">
        <f t="shared" si="20"/>
        <v>108.25547445255475</v>
      </c>
      <c r="K289" s="29">
        <f t="shared" si="24"/>
        <v>4.6844939379138379</v>
      </c>
    </row>
    <row r="290" spans="1:11" x14ac:dyDescent="0.3">
      <c r="A290" s="26">
        <v>0.19645399999999999</v>
      </c>
      <c r="B290" s="2">
        <v>8.7300000000000003E-2</v>
      </c>
      <c r="C290" s="2" t="s">
        <v>5</v>
      </c>
      <c r="D290" s="2">
        <v>1</v>
      </c>
      <c r="E290" s="2">
        <v>99.572000000000003</v>
      </c>
      <c r="F290" s="2">
        <v>289</v>
      </c>
      <c r="G290" s="2">
        <f t="shared" si="21"/>
        <v>9.9999999999909051E-3</v>
      </c>
      <c r="H290" s="2">
        <f t="shared" si="22"/>
        <v>0.11454753722784541</v>
      </c>
      <c r="I290" s="2">
        <f t="shared" si="23"/>
        <v>9.9999999999909051E-3</v>
      </c>
      <c r="J290" s="2">
        <f t="shared" si="20"/>
        <v>108.25547445255475</v>
      </c>
      <c r="K290" s="27">
        <f t="shared" si="24"/>
        <v>4.6844939379138379</v>
      </c>
    </row>
    <row r="291" spans="1:11" x14ac:dyDescent="0.3">
      <c r="A291" s="28">
        <v>0.1968</v>
      </c>
      <c r="B291" s="3">
        <v>0.1018</v>
      </c>
      <c r="C291" s="3" t="s">
        <v>5</v>
      </c>
      <c r="D291" s="3">
        <v>-1</v>
      </c>
      <c r="E291" s="3">
        <v>99.581999999999994</v>
      </c>
      <c r="F291" s="2">
        <v>290</v>
      </c>
      <c r="G291" s="2">
        <f t="shared" si="21"/>
        <v>-4.399999999999693E-2</v>
      </c>
      <c r="H291" s="2">
        <f t="shared" si="22"/>
        <v>-0.4322200392927007</v>
      </c>
      <c r="I291" s="2">
        <f t="shared" si="23"/>
        <v>4.399999999999693E-2</v>
      </c>
      <c r="J291" s="2">
        <f t="shared" si="20"/>
        <v>108.25547445255475</v>
      </c>
      <c r="K291" s="27">
        <f t="shared" si="24"/>
        <v>4.6844939379138379</v>
      </c>
    </row>
    <row r="292" spans="1:11" x14ac:dyDescent="0.3">
      <c r="A292" s="26">
        <v>0.20069300000000001</v>
      </c>
      <c r="B292" s="2">
        <v>8.5900000000000004E-2</v>
      </c>
      <c r="C292" s="2">
        <v>9</v>
      </c>
      <c r="D292" s="2">
        <v>1</v>
      </c>
      <c r="E292" s="2">
        <v>99.537999999999997</v>
      </c>
      <c r="F292" s="3">
        <v>291</v>
      </c>
      <c r="G292" s="3">
        <f t="shared" si="21"/>
        <v>1.5000000000000568E-2</v>
      </c>
      <c r="H292" s="3">
        <f t="shared" si="22"/>
        <v>0.17462165308498914</v>
      </c>
      <c r="I292" s="3">
        <f t="shared" si="23"/>
        <v>1.5000000000000568E-2</v>
      </c>
      <c r="J292" s="3">
        <f t="shared" si="20"/>
        <v>9</v>
      </c>
      <c r="K292" s="29">
        <f t="shared" si="24"/>
        <v>2.1972245773362196</v>
      </c>
    </row>
    <row r="293" spans="1:11" x14ac:dyDescent="0.3">
      <c r="A293" s="28">
        <v>0.201158</v>
      </c>
      <c r="B293" s="3">
        <v>8.48E-2</v>
      </c>
      <c r="C293" s="3" t="s">
        <v>5</v>
      </c>
      <c r="D293" s="3">
        <v>-1</v>
      </c>
      <c r="E293" s="3">
        <v>99.552999999999997</v>
      </c>
      <c r="F293" s="2">
        <v>292</v>
      </c>
      <c r="G293" s="2">
        <f t="shared" si="21"/>
        <v>-6.9999999999993179E-2</v>
      </c>
      <c r="H293" s="2">
        <f t="shared" si="22"/>
        <v>-0.82547169811312715</v>
      </c>
      <c r="I293" s="2">
        <f t="shared" si="23"/>
        <v>6.9999999999993179E-2</v>
      </c>
      <c r="J293" s="2">
        <f t="shared" si="20"/>
        <v>108.25547445255475</v>
      </c>
      <c r="K293" s="27">
        <f t="shared" si="24"/>
        <v>4.6844939379138379</v>
      </c>
    </row>
    <row r="294" spans="1:11" x14ac:dyDescent="0.3">
      <c r="A294" s="26">
        <v>0.20280500000000001</v>
      </c>
      <c r="B294" s="2">
        <v>8.7900000000000006E-2</v>
      </c>
      <c r="C294" s="2">
        <v>140</v>
      </c>
      <c r="D294" s="2">
        <v>-1</v>
      </c>
      <c r="E294" s="2">
        <v>99.483000000000004</v>
      </c>
      <c r="F294" s="3">
        <v>293</v>
      </c>
      <c r="G294" s="3">
        <f t="shared" si="21"/>
        <v>-6.4999999999997726E-2</v>
      </c>
      <c r="H294" s="3">
        <f t="shared" si="22"/>
        <v>-0.73947667804320505</v>
      </c>
      <c r="I294" s="3">
        <f t="shared" si="23"/>
        <v>6.4999999999997726E-2</v>
      </c>
      <c r="J294" s="3">
        <f t="shared" si="20"/>
        <v>140</v>
      </c>
      <c r="K294" s="29">
        <f t="shared" si="24"/>
        <v>4.9416424226093039</v>
      </c>
    </row>
    <row r="295" spans="1:11" x14ac:dyDescent="0.3">
      <c r="A295" s="28">
        <v>0.205709</v>
      </c>
      <c r="B295" s="3">
        <v>0.108</v>
      </c>
      <c r="C295" s="3" t="s">
        <v>5</v>
      </c>
      <c r="D295" s="3">
        <v>1</v>
      </c>
      <c r="E295" s="3">
        <v>99.418000000000006</v>
      </c>
      <c r="F295" s="2">
        <v>294</v>
      </c>
      <c r="G295" s="2">
        <f t="shared" si="21"/>
        <v>5.3999999999987836E-2</v>
      </c>
      <c r="H295" s="2">
        <f t="shared" si="22"/>
        <v>0.49999999999988737</v>
      </c>
      <c r="I295" s="2">
        <f t="shared" si="23"/>
        <v>5.3999999999987836E-2</v>
      </c>
      <c r="J295" s="2">
        <f t="shared" si="20"/>
        <v>108.25547445255475</v>
      </c>
      <c r="K295" s="27">
        <f t="shared" si="24"/>
        <v>4.6844939379138379</v>
      </c>
    </row>
    <row r="296" spans="1:11" x14ac:dyDescent="0.3">
      <c r="A296" s="26">
        <v>0.206288</v>
      </c>
      <c r="B296" s="2">
        <v>7.4899999999999994E-2</v>
      </c>
      <c r="C296" s="2" t="s">
        <v>5</v>
      </c>
      <c r="D296" s="2">
        <v>-1</v>
      </c>
      <c r="E296" s="2">
        <v>99.471999999999994</v>
      </c>
      <c r="F296" s="3">
        <v>295</v>
      </c>
      <c r="G296" s="3">
        <f t="shared" si="21"/>
        <v>-1.3999999999995794E-2</v>
      </c>
      <c r="H296" s="3">
        <f t="shared" si="22"/>
        <v>-0.18691588785041113</v>
      </c>
      <c r="I296" s="3">
        <f t="shared" si="23"/>
        <v>1.3999999999995794E-2</v>
      </c>
      <c r="J296" s="3">
        <f t="shared" si="20"/>
        <v>108.25547445255475</v>
      </c>
      <c r="K296" s="29">
        <f t="shared" si="24"/>
        <v>4.6844939379138379</v>
      </c>
    </row>
    <row r="297" spans="1:11" x14ac:dyDescent="0.3">
      <c r="A297" s="28">
        <v>0.20876600000000001</v>
      </c>
      <c r="B297" s="3">
        <v>8.9200000000000002E-2</v>
      </c>
      <c r="C297" s="3" t="s">
        <v>5</v>
      </c>
      <c r="D297" s="3">
        <v>1</v>
      </c>
      <c r="E297" s="3">
        <v>99.457999999999998</v>
      </c>
      <c r="F297" s="2">
        <v>296</v>
      </c>
      <c r="G297" s="2">
        <f t="shared" si="21"/>
        <v>0.10200000000000387</v>
      </c>
      <c r="H297" s="2">
        <f t="shared" si="22"/>
        <v>1.1434977578475769</v>
      </c>
      <c r="I297" s="2">
        <f t="shared" si="23"/>
        <v>0.10200000000000387</v>
      </c>
      <c r="J297" s="2">
        <f t="shared" si="20"/>
        <v>108.25547445255475</v>
      </c>
      <c r="K297" s="27">
        <f t="shared" si="24"/>
        <v>4.6844939379138379</v>
      </c>
    </row>
    <row r="298" spans="1:11" x14ac:dyDescent="0.3">
      <c r="A298" s="26">
        <v>0.209286</v>
      </c>
      <c r="B298" s="2">
        <v>0.11749999999999999</v>
      </c>
      <c r="C298" s="2" t="s">
        <v>5</v>
      </c>
      <c r="D298" s="2">
        <v>-1</v>
      </c>
      <c r="E298" s="2">
        <v>99.56</v>
      </c>
      <c r="F298" s="3">
        <v>297</v>
      </c>
      <c r="G298" s="3">
        <f t="shared" si="21"/>
        <v>-8.8999999999998636E-2</v>
      </c>
      <c r="H298" s="3">
        <f t="shared" si="22"/>
        <v>-0.75744680851062673</v>
      </c>
      <c r="I298" s="3">
        <f t="shared" si="23"/>
        <v>8.8999999999998636E-2</v>
      </c>
      <c r="J298" s="3">
        <f t="shared" si="20"/>
        <v>108.25547445255475</v>
      </c>
      <c r="K298" s="29">
        <f t="shared" si="24"/>
        <v>4.6844939379138379</v>
      </c>
    </row>
    <row r="299" spans="1:11" x14ac:dyDescent="0.3">
      <c r="A299" s="28">
        <v>0.209309</v>
      </c>
      <c r="B299" s="3">
        <v>0.1066</v>
      </c>
      <c r="C299" s="3">
        <v>2</v>
      </c>
      <c r="D299" s="3">
        <v>1</v>
      </c>
      <c r="E299" s="3">
        <v>99.471000000000004</v>
      </c>
      <c r="F299" s="2">
        <v>298</v>
      </c>
      <c r="G299" s="2">
        <f t="shared" si="21"/>
        <v>1.5000000000000568E-2</v>
      </c>
      <c r="H299" s="2">
        <f t="shared" si="22"/>
        <v>0.1407129455909997</v>
      </c>
      <c r="I299" s="2">
        <f t="shared" si="23"/>
        <v>1.5000000000000568E-2</v>
      </c>
      <c r="J299" s="2">
        <f t="shared" si="20"/>
        <v>2</v>
      </c>
      <c r="K299" s="27">
        <f t="shared" si="24"/>
        <v>0.69314718055994529</v>
      </c>
    </row>
    <row r="300" spans="1:11" x14ac:dyDescent="0.3">
      <c r="A300" s="26">
        <v>0.20946400000000001</v>
      </c>
      <c r="B300" s="2">
        <v>9.4600000000000004E-2</v>
      </c>
      <c r="C300" s="2" t="s">
        <v>5</v>
      </c>
      <c r="D300" s="2">
        <v>-1</v>
      </c>
      <c r="E300" s="2">
        <v>99.486000000000004</v>
      </c>
      <c r="F300" s="3">
        <v>299</v>
      </c>
      <c r="G300" s="3">
        <f t="shared" si="21"/>
        <v>-0.11200000000000898</v>
      </c>
      <c r="H300" s="3">
        <f t="shared" si="22"/>
        <v>-1.1839323467231393</v>
      </c>
      <c r="I300" s="3">
        <f t="shared" si="23"/>
        <v>0.11200000000000898</v>
      </c>
      <c r="J300" s="3">
        <f t="shared" si="20"/>
        <v>108.25547445255475</v>
      </c>
      <c r="K300" s="29">
        <f t="shared" si="24"/>
        <v>4.6844939379138379</v>
      </c>
    </row>
    <row r="301" spans="1:11" x14ac:dyDescent="0.3">
      <c r="A301" s="28">
        <v>0.20991799999999999</v>
      </c>
      <c r="B301" s="3">
        <v>9.6199999999999994E-2</v>
      </c>
      <c r="C301" s="3" t="s">
        <v>5</v>
      </c>
      <c r="D301" s="3">
        <v>1</v>
      </c>
      <c r="E301" s="3">
        <v>99.373999999999995</v>
      </c>
      <c r="F301" s="2">
        <v>300</v>
      </c>
      <c r="G301" s="2">
        <f t="shared" si="21"/>
        <v>9.4000000000008299E-2</v>
      </c>
      <c r="H301" s="2">
        <f t="shared" si="22"/>
        <v>0.97713097713106345</v>
      </c>
      <c r="I301" s="2">
        <f t="shared" si="23"/>
        <v>9.4000000000008299E-2</v>
      </c>
      <c r="J301" s="2">
        <f t="shared" si="20"/>
        <v>108.25547445255475</v>
      </c>
      <c r="K301" s="27">
        <f t="shared" si="24"/>
        <v>4.6844939379138379</v>
      </c>
    </row>
    <row r="302" spans="1:11" x14ac:dyDescent="0.3">
      <c r="A302" s="26">
        <v>0.211536</v>
      </c>
      <c r="B302" s="2">
        <v>0.115</v>
      </c>
      <c r="C302" s="2" t="s">
        <v>5</v>
      </c>
      <c r="D302" s="2">
        <v>-1</v>
      </c>
      <c r="E302" s="2">
        <v>99.468000000000004</v>
      </c>
      <c r="F302" s="3">
        <v>301</v>
      </c>
      <c r="G302" s="3">
        <f t="shared" si="21"/>
        <v>-0.10500000000000398</v>
      </c>
      <c r="H302" s="3">
        <f t="shared" si="22"/>
        <v>-0.91304347826090415</v>
      </c>
      <c r="I302" s="3">
        <f t="shared" si="23"/>
        <v>0.10500000000000398</v>
      </c>
      <c r="J302" s="3">
        <f t="shared" si="20"/>
        <v>108.25547445255475</v>
      </c>
      <c r="K302" s="29">
        <f t="shared" si="24"/>
        <v>4.6844939379138379</v>
      </c>
    </row>
    <row r="303" spans="1:11" x14ac:dyDescent="0.3">
      <c r="A303" s="28">
        <v>0.21208299999999999</v>
      </c>
      <c r="B303" s="3">
        <v>9.9900000000000003E-2</v>
      </c>
      <c r="C303" s="3" t="s">
        <v>5</v>
      </c>
      <c r="D303" s="3">
        <v>1</v>
      </c>
      <c r="E303" s="3">
        <v>99.363</v>
      </c>
      <c r="F303" s="2">
        <v>302</v>
      </c>
      <c r="G303" s="2">
        <f t="shared" si="21"/>
        <v>0.14700000000000557</v>
      </c>
      <c r="H303" s="2">
        <f t="shared" si="22"/>
        <v>1.4714714714715271</v>
      </c>
      <c r="I303" s="2">
        <f t="shared" si="23"/>
        <v>0.14700000000000557</v>
      </c>
      <c r="J303" s="2">
        <f t="shared" si="20"/>
        <v>108.25547445255475</v>
      </c>
      <c r="K303" s="27">
        <f t="shared" si="24"/>
        <v>4.6844939379138379</v>
      </c>
    </row>
    <row r="304" spans="1:11" x14ac:dyDescent="0.3">
      <c r="A304" s="26">
        <v>0.212538</v>
      </c>
      <c r="B304" s="2">
        <v>0.1011</v>
      </c>
      <c r="C304" s="2" t="s">
        <v>5</v>
      </c>
      <c r="D304" s="2">
        <v>-1</v>
      </c>
      <c r="E304" s="2">
        <v>99.51</v>
      </c>
      <c r="F304" s="3">
        <v>303</v>
      </c>
      <c r="G304" s="3">
        <f t="shared" si="21"/>
        <v>-6.7000000000007276E-2</v>
      </c>
      <c r="H304" s="3">
        <f t="shared" si="22"/>
        <v>-0.66271018793281189</v>
      </c>
      <c r="I304" s="3">
        <f t="shared" si="23"/>
        <v>6.7000000000007276E-2</v>
      </c>
      <c r="J304" s="3">
        <f t="shared" si="20"/>
        <v>108.25547445255475</v>
      </c>
      <c r="K304" s="29">
        <f t="shared" si="24"/>
        <v>4.6844939379138379</v>
      </c>
    </row>
    <row r="305" spans="1:11" x14ac:dyDescent="0.3">
      <c r="A305" s="28">
        <v>0.21298400000000001</v>
      </c>
      <c r="B305" s="3">
        <v>9.5699999999999993E-2</v>
      </c>
      <c r="C305" s="3" t="s">
        <v>5</v>
      </c>
      <c r="D305" s="3">
        <v>1</v>
      </c>
      <c r="E305" s="3">
        <v>99.442999999999998</v>
      </c>
      <c r="F305" s="2">
        <v>304</v>
      </c>
      <c r="G305" s="2">
        <f t="shared" si="21"/>
        <v>5.700000000000216E-2</v>
      </c>
      <c r="H305" s="2">
        <f t="shared" si="22"/>
        <v>0.59561128526648033</v>
      </c>
      <c r="I305" s="2">
        <f t="shared" si="23"/>
        <v>5.700000000000216E-2</v>
      </c>
      <c r="J305" s="2">
        <f t="shared" si="20"/>
        <v>108.25547445255475</v>
      </c>
      <c r="K305" s="27">
        <f t="shared" si="24"/>
        <v>4.6844939379138379</v>
      </c>
    </row>
    <row r="306" spans="1:11" x14ac:dyDescent="0.3">
      <c r="A306" s="26">
        <v>0.21426000000000001</v>
      </c>
      <c r="B306" s="2">
        <v>0.1158</v>
      </c>
      <c r="C306" s="2" t="s">
        <v>5</v>
      </c>
      <c r="D306" s="2">
        <v>1</v>
      </c>
      <c r="E306" s="2">
        <v>99.5</v>
      </c>
      <c r="F306" s="3">
        <v>305</v>
      </c>
      <c r="G306" s="3">
        <f t="shared" si="21"/>
        <v>4.9000000000006594E-2</v>
      </c>
      <c r="H306" s="3">
        <f t="shared" si="22"/>
        <v>0.42314335060454744</v>
      </c>
      <c r="I306" s="3">
        <f t="shared" si="23"/>
        <v>4.9000000000006594E-2</v>
      </c>
      <c r="J306" s="3">
        <f t="shared" si="20"/>
        <v>108.25547445255475</v>
      </c>
      <c r="K306" s="29">
        <f t="shared" si="24"/>
        <v>4.6844939379138379</v>
      </c>
    </row>
    <row r="307" spans="1:11" x14ac:dyDescent="0.3">
      <c r="A307" s="28">
        <v>0.21640200000000001</v>
      </c>
      <c r="B307" s="3">
        <v>9.8599999999999993E-2</v>
      </c>
      <c r="C307" s="3" t="s">
        <v>5</v>
      </c>
      <c r="D307" s="3">
        <v>-1</v>
      </c>
      <c r="E307" s="3">
        <v>99.549000000000007</v>
      </c>
      <c r="F307" s="2">
        <v>306</v>
      </c>
      <c r="G307" s="2">
        <f t="shared" si="21"/>
        <v>-1.2000000000000455E-2</v>
      </c>
      <c r="H307" s="2">
        <f t="shared" si="22"/>
        <v>-0.12170385395537987</v>
      </c>
      <c r="I307" s="2">
        <f t="shared" si="23"/>
        <v>1.2000000000000455E-2</v>
      </c>
      <c r="J307" s="2">
        <f t="shared" si="20"/>
        <v>108.25547445255475</v>
      </c>
      <c r="K307" s="27">
        <f t="shared" si="24"/>
        <v>4.6844939379138379</v>
      </c>
    </row>
    <row r="308" spans="1:11" x14ac:dyDescent="0.3">
      <c r="A308" s="26">
        <v>0.21756400000000001</v>
      </c>
      <c r="B308" s="2">
        <v>9.7000000000000003E-2</v>
      </c>
      <c r="C308" s="2" t="s">
        <v>5</v>
      </c>
      <c r="D308" s="2">
        <v>-1</v>
      </c>
      <c r="E308" s="2">
        <v>99.537000000000006</v>
      </c>
      <c r="F308" s="2">
        <v>307</v>
      </c>
      <c r="G308" s="2">
        <f t="shared" si="21"/>
        <v>-2.5000000000005684E-2</v>
      </c>
      <c r="H308" s="2">
        <f t="shared" si="22"/>
        <v>-0.25773195876294519</v>
      </c>
      <c r="I308" s="2">
        <f t="shared" si="23"/>
        <v>2.5000000000005684E-2</v>
      </c>
      <c r="J308" s="2">
        <f t="shared" si="20"/>
        <v>108.25547445255475</v>
      </c>
      <c r="K308" s="27">
        <f t="shared" si="24"/>
        <v>4.6844939379138379</v>
      </c>
    </row>
    <row r="309" spans="1:11" x14ac:dyDescent="0.3">
      <c r="A309" s="28">
        <v>0.21822</v>
      </c>
      <c r="B309" s="3">
        <v>9.06E-2</v>
      </c>
      <c r="C309" s="3" t="s">
        <v>5</v>
      </c>
      <c r="D309" s="3">
        <v>-1</v>
      </c>
      <c r="E309" s="3">
        <v>99.512</v>
      </c>
      <c r="F309" s="3">
        <v>308</v>
      </c>
      <c r="G309" s="3">
        <f t="shared" si="21"/>
        <v>-1.6999999999995907E-2</v>
      </c>
      <c r="H309" s="3">
        <f t="shared" si="22"/>
        <v>-0.18763796909487757</v>
      </c>
      <c r="I309" s="3">
        <f t="shared" si="23"/>
        <v>1.6999999999995907E-2</v>
      </c>
      <c r="J309" s="3">
        <f t="shared" si="20"/>
        <v>108.25547445255475</v>
      </c>
      <c r="K309" s="29">
        <f t="shared" si="24"/>
        <v>4.6844939379138379</v>
      </c>
    </row>
    <row r="310" spans="1:11" x14ac:dyDescent="0.3">
      <c r="A310" s="26">
        <v>0.22003600000000001</v>
      </c>
      <c r="B310" s="2">
        <v>0.1125</v>
      </c>
      <c r="C310" s="2">
        <v>68</v>
      </c>
      <c r="D310" s="2">
        <v>1</v>
      </c>
      <c r="E310" s="2">
        <v>99.495000000000005</v>
      </c>
      <c r="F310" s="2">
        <v>309</v>
      </c>
      <c r="G310" s="2">
        <f t="shared" si="21"/>
        <v>6.3000000000002387E-2</v>
      </c>
      <c r="H310" s="2">
        <f t="shared" si="22"/>
        <v>0.56000000000002126</v>
      </c>
      <c r="I310" s="2">
        <f t="shared" si="23"/>
        <v>6.3000000000002387E-2</v>
      </c>
      <c r="J310" s="2">
        <f t="shared" si="20"/>
        <v>68</v>
      </c>
      <c r="K310" s="27">
        <f t="shared" si="24"/>
        <v>4.219507705176107</v>
      </c>
    </row>
    <row r="311" spans="1:11" x14ac:dyDescent="0.3">
      <c r="A311" s="28">
        <v>0.220392</v>
      </c>
      <c r="B311" s="3">
        <v>0.1089</v>
      </c>
      <c r="C311" s="3" t="s">
        <v>5</v>
      </c>
      <c r="D311" s="3">
        <v>1</v>
      </c>
      <c r="E311" s="3">
        <v>99.558000000000007</v>
      </c>
      <c r="F311" s="3">
        <v>310</v>
      </c>
      <c r="G311" s="3">
        <f t="shared" si="21"/>
        <v>4.1999999999987381E-2</v>
      </c>
      <c r="H311" s="3">
        <f t="shared" si="22"/>
        <v>0.38567493112936074</v>
      </c>
      <c r="I311" s="3">
        <f t="shared" si="23"/>
        <v>4.1999999999987381E-2</v>
      </c>
      <c r="J311" s="3">
        <f t="shared" si="20"/>
        <v>108.25547445255475</v>
      </c>
      <c r="K311" s="29">
        <f t="shared" si="24"/>
        <v>4.6844939379138379</v>
      </c>
    </row>
    <row r="312" spans="1:11" x14ac:dyDescent="0.3">
      <c r="A312" s="26">
        <v>0.22195799999999999</v>
      </c>
      <c r="B312" s="2">
        <v>0.107</v>
      </c>
      <c r="C312" s="2" t="s">
        <v>5</v>
      </c>
      <c r="D312" s="2">
        <v>1</v>
      </c>
      <c r="E312" s="2">
        <v>99.6</v>
      </c>
      <c r="F312" s="2">
        <v>311</v>
      </c>
      <c r="G312" s="2">
        <f t="shared" si="21"/>
        <v>2.8000000000005798E-2</v>
      </c>
      <c r="H312" s="2">
        <f t="shared" si="22"/>
        <v>0.26168224299070841</v>
      </c>
      <c r="I312" s="2">
        <f t="shared" si="23"/>
        <v>2.8000000000005798E-2</v>
      </c>
      <c r="J312" s="2">
        <f t="shared" si="20"/>
        <v>108.25547445255475</v>
      </c>
      <c r="K312" s="27">
        <f t="shared" si="24"/>
        <v>4.6844939379138379</v>
      </c>
    </row>
    <row r="313" spans="1:11" x14ac:dyDescent="0.3">
      <c r="A313" s="28">
        <v>0.22284499999999999</v>
      </c>
      <c r="B313" s="3">
        <v>0.11749999999999999</v>
      </c>
      <c r="C313" s="3" t="s">
        <v>5</v>
      </c>
      <c r="D313" s="3">
        <v>1</v>
      </c>
      <c r="E313" s="3">
        <v>99.628</v>
      </c>
      <c r="F313" s="3">
        <v>312</v>
      </c>
      <c r="G313" s="3">
        <f t="shared" si="21"/>
        <v>9.0999999999993975E-2</v>
      </c>
      <c r="H313" s="3">
        <f t="shared" si="22"/>
        <v>0.77446808510633169</v>
      </c>
      <c r="I313" s="3">
        <f t="shared" si="23"/>
        <v>9.0999999999993975E-2</v>
      </c>
      <c r="J313" s="3">
        <f t="shared" si="20"/>
        <v>108.25547445255475</v>
      </c>
      <c r="K313" s="29">
        <f t="shared" si="24"/>
        <v>4.6844939379138379</v>
      </c>
    </row>
    <row r="314" spans="1:11" x14ac:dyDescent="0.3">
      <c r="A314" s="26">
        <v>0.223027</v>
      </c>
      <c r="B314" s="2">
        <v>9.8699999999999996E-2</v>
      </c>
      <c r="C314" s="2" t="s">
        <v>5</v>
      </c>
      <c r="D314" s="2">
        <v>-1</v>
      </c>
      <c r="E314" s="2">
        <v>99.718999999999994</v>
      </c>
      <c r="F314" s="2">
        <v>313</v>
      </c>
      <c r="G314" s="2">
        <f t="shared" si="21"/>
        <v>-0.15899999999999181</v>
      </c>
      <c r="H314" s="2">
        <f t="shared" si="22"/>
        <v>-1.6109422492400387</v>
      </c>
      <c r="I314" s="2">
        <f t="shared" si="23"/>
        <v>0.15899999999999181</v>
      </c>
      <c r="J314" s="2">
        <f t="shared" si="20"/>
        <v>108.25547445255475</v>
      </c>
      <c r="K314" s="27">
        <f t="shared" si="24"/>
        <v>4.6844939379138379</v>
      </c>
    </row>
    <row r="315" spans="1:11" x14ac:dyDescent="0.3">
      <c r="A315" s="28">
        <v>0.22495299999999999</v>
      </c>
      <c r="B315" s="3">
        <v>8.9099999999999999E-2</v>
      </c>
      <c r="C315" s="3" t="s">
        <v>5</v>
      </c>
      <c r="D315" s="3">
        <v>-1</v>
      </c>
      <c r="E315" s="3">
        <v>99.56</v>
      </c>
      <c r="F315" s="3">
        <v>314</v>
      </c>
      <c r="G315" s="3">
        <f t="shared" si="21"/>
        <v>-0.10999999999999943</v>
      </c>
      <c r="H315" s="3">
        <f t="shared" si="22"/>
        <v>-1.2345679012345616</v>
      </c>
      <c r="I315" s="3">
        <f t="shared" si="23"/>
        <v>0.10999999999999943</v>
      </c>
      <c r="J315" s="3">
        <f t="shared" si="20"/>
        <v>108.25547445255475</v>
      </c>
      <c r="K315" s="29">
        <f t="shared" si="24"/>
        <v>4.6844939379138379</v>
      </c>
    </row>
    <row r="316" spans="1:11" x14ac:dyDescent="0.3">
      <c r="A316" s="26">
        <v>0.22709699999999999</v>
      </c>
      <c r="B316" s="2">
        <v>8.6300000000000002E-2</v>
      </c>
      <c r="C316" s="2" t="s">
        <v>5</v>
      </c>
      <c r="D316" s="2">
        <v>-1</v>
      </c>
      <c r="E316" s="2">
        <v>99.45</v>
      </c>
      <c r="F316" s="2">
        <v>315</v>
      </c>
      <c r="G316" s="2">
        <f t="shared" si="21"/>
        <v>-9.7999999999998977E-2</v>
      </c>
      <c r="H316" s="2">
        <f t="shared" si="22"/>
        <v>-1.1355735805330125</v>
      </c>
      <c r="I316" s="2">
        <f t="shared" si="23"/>
        <v>9.7999999999998977E-2</v>
      </c>
      <c r="J316" s="2">
        <f t="shared" si="20"/>
        <v>108.25547445255475</v>
      </c>
      <c r="K316" s="27">
        <f t="shared" si="24"/>
        <v>4.6844939379138379</v>
      </c>
    </row>
    <row r="317" spans="1:11" x14ac:dyDescent="0.3">
      <c r="A317" s="28">
        <v>0.22786400000000001</v>
      </c>
      <c r="B317" s="3">
        <v>0.09</v>
      </c>
      <c r="C317" s="3" t="s">
        <v>5</v>
      </c>
      <c r="D317" s="3">
        <v>1</v>
      </c>
      <c r="E317" s="3">
        <v>99.352000000000004</v>
      </c>
      <c r="F317" s="3">
        <v>316</v>
      </c>
      <c r="G317" s="3">
        <f t="shared" si="21"/>
        <v>0.10699999999999932</v>
      </c>
      <c r="H317" s="3">
        <f t="shared" si="22"/>
        <v>1.1888888888888813</v>
      </c>
      <c r="I317" s="3">
        <f t="shared" si="23"/>
        <v>0.10699999999999932</v>
      </c>
      <c r="J317" s="3">
        <f t="shared" si="20"/>
        <v>108.25547445255475</v>
      </c>
      <c r="K317" s="29">
        <f t="shared" si="24"/>
        <v>4.6844939379138379</v>
      </c>
    </row>
    <row r="318" spans="1:11" x14ac:dyDescent="0.3">
      <c r="A318" s="26">
        <v>0.22797200000000001</v>
      </c>
      <c r="B318" s="2">
        <v>0.1057</v>
      </c>
      <c r="C318" s="2" t="s">
        <v>5</v>
      </c>
      <c r="D318" s="2">
        <v>-1</v>
      </c>
      <c r="E318" s="2">
        <v>99.459000000000003</v>
      </c>
      <c r="F318" s="2">
        <v>317</v>
      </c>
      <c r="G318" s="2">
        <f t="shared" si="21"/>
        <v>-5.2000000000006708E-2</v>
      </c>
      <c r="H318" s="2">
        <f t="shared" si="22"/>
        <v>-0.4919583727531382</v>
      </c>
      <c r="I318" s="2">
        <f t="shared" si="23"/>
        <v>5.2000000000006708E-2</v>
      </c>
      <c r="J318" s="2">
        <f t="shared" si="20"/>
        <v>108.25547445255475</v>
      </c>
      <c r="K318" s="27">
        <f t="shared" si="24"/>
        <v>4.6844939379138379</v>
      </c>
    </row>
    <row r="319" spans="1:11" x14ac:dyDescent="0.3">
      <c r="A319" s="28">
        <v>0.22855400000000001</v>
      </c>
      <c r="B319" s="3">
        <v>9.8500000000000004E-2</v>
      </c>
      <c r="C319" s="3" t="s">
        <v>5</v>
      </c>
      <c r="D319" s="3">
        <v>1</v>
      </c>
      <c r="E319" s="3">
        <v>99.406999999999996</v>
      </c>
      <c r="F319" s="3">
        <v>318</v>
      </c>
      <c r="G319" s="3">
        <f t="shared" si="21"/>
        <v>1.9000000000005457E-2</v>
      </c>
      <c r="H319" s="3">
        <f t="shared" si="22"/>
        <v>0.19289340101528382</v>
      </c>
      <c r="I319" s="3">
        <f t="shared" si="23"/>
        <v>1.9000000000005457E-2</v>
      </c>
      <c r="J319" s="3">
        <f t="shared" si="20"/>
        <v>108.25547445255475</v>
      </c>
      <c r="K319" s="29">
        <f t="shared" si="24"/>
        <v>4.6844939379138379</v>
      </c>
    </row>
    <row r="320" spans="1:11" x14ac:dyDescent="0.3">
      <c r="A320" s="26">
        <v>0.22899</v>
      </c>
      <c r="B320" s="2">
        <v>7.3400000000000007E-2</v>
      </c>
      <c r="C320" s="2" t="s">
        <v>5</v>
      </c>
      <c r="D320" s="2">
        <v>-1</v>
      </c>
      <c r="E320" s="2">
        <v>99.426000000000002</v>
      </c>
      <c r="F320" s="2">
        <v>319</v>
      </c>
      <c r="G320" s="2">
        <f t="shared" si="21"/>
        <v>-3.1000000000005912E-2</v>
      </c>
      <c r="H320" s="2">
        <f t="shared" si="22"/>
        <v>-0.42234332425076171</v>
      </c>
      <c r="I320" s="2">
        <f t="shared" si="23"/>
        <v>3.1000000000005912E-2</v>
      </c>
      <c r="J320" s="2">
        <f t="shared" si="20"/>
        <v>108.25547445255475</v>
      </c>
      <c r="K320" s="27">
        <f t="shared" si="24"/>
        <v>4.6844939379138379</v>
      </c>
    </row>
    <row r="321" spans="1:11" x14ac:dyDescent="0.3">
      <c r="A321" s="28">
        <v>0.230125</v>
      </c>
      <c r="B321" s="3">
        <v>0.1067</v>
      </c>
      <c r="C321" s="3" t="s">
        <v>5</v>
      </c>
      <c r="D321" s="3">
        <v>1</v>
      </c>
      <c r="E321" s="3">
        <v>99.394999999999996</v>
      </c>
      <c r="F321" s="3">
        <v>320</v>
      </c>
      <c r="G321" s="3">
        <f t="shared" si="21"/>
        <v>3.9000000000001478E-2</v>
      </c>
      <c r="H321" s="3">
        <f t="shared" si="22"/>
        <v>0.36551077788192576</v>
      </c>
      <c r="I321" s="3">
        <f t="shared" si="23"/>
        <v>3.9000000000001478E-2</v>
      </c>
      <c r="J321" s="3">
        <f t="shared" si="20"/>
        <v>108.25547445255475</v>
      </c>
      <c r="K321" s="29">
        <f t="shared" si="24"/>
        <v>4.6844939379138379</v>
      </c>
    </row>
    <row r="322" spans="1:11" x14ac:dyDescent="0.3">
      <c r="A322" s="26">
        <v>0.23175899999999999</v>
      </c>
      <c r="B322" s="2">
        <v>0.1143</v>
      </c>
      <c r="C322" s="2" t="s">
        <v>5</v>
      </c>
      <c r="D322" s="2">
        <v>1</v>
      </c>
      <c r="E322" s="2">
        <v>99.433999999999997</v>
      </c>
      <c r="F322" s="2">
        <v>321</v>
      </c>
      <c r="G322" s="2">
        <f t="shared" si="21"/>
        <v>4.2000000000001592E-2</v>
      </c>
      <c r="H322" s="2">
        <f t="shared" si="22"/>
        <v>0.36745406824148374</v>
      </c>
      <c r="I322" s="2">
        <f t="shared" si="23"/>
        <v>4.2000000000001592E-2</v>
      </c>
      <c r="J322" s="2">
        <f t="shared" ref="J322:J385" si="25">IF(C322="",$AA$1,C322)</f>
        <v>108.25547445255475</v>
      </c>
      <c r="K322" s="27">
        <f t="shared" si="24"/>
        <v>4.6844939379138379</v>
      </c>
    </row>
    <row r="323" spans="1:11" x14ac:dyDescent="0.3">
      <c r="A323" s="28">
        <v>0.23219000000000001</v>
      </c>
      <c r="B323" s="3">
        <v>9.8000000000000004E-2</v>
      </c>
      <c r="C323" s="3" t="s">
        <v>5</v>
      </c>
      <c r="D323" s="3">
        <v>-1</v>
      </c>
      <c r="E323" s="3">
        <v>99.475999999999999</v>
      </c>
      <c r="F323" s="3">
        <v>322</v>
      </c>
      <c r="G323" s="3">
        <f t="shared" ref="G323:G386" si="26">E324-E323</f>
        <v>-0.11499999999999488</v>
      </c>
      <c r="H323" s="3">
        <f t="shared" ref="H323:H386" si="27">IF(B323&lt;&gt;0,G323/B323,"")</f>
        <v>-1.1734693877550497</v>
      </c>
      <c r="I323" s="3">
        <f t="shared" ref="I323:I386" si="28">D323*G323</f>
        <v>0.11499999999999488</v>
      </c>
      <c r="J323" s="3">
        <f t="shared" si="25"/>
        <v>108.25547445255475</v>
      </c>
      <c r="K323" s="29">
        <f t="shared" ref="K323:K386" si="29">LN(J323)</f>
        <v>4.6844939379138379</v>
      </c>
    </row>
    <row r="324" spans="1:11" x14ac:dyDescent="0.3">
      <c r="A324" s="26">
        <v>0.232991</v>
      </c>
      <c r="B324" s="2">
        <v>7.9000000000000001E-2</v>
      </c>
      <c r="C324" s="2" t="s">
        <v>5</v>
      </c>
      <c r="D324" s="2">
        <v>-1</v>
      </c>
      <c r="E324" s="2">
        <v>99.361000000000004</v>
      </c>
      <c r="F324" s="2">
        <v>323</v>
      </c>
      <c r="G324" s="2">
        <f t="shared" si="26"/>
        <v>-3.7000000000006139E-2</v>
      </c>
      <c r="H324" s="2">
        <f t="shared" si="27"/>
        <v>-0.46835443037982455</v>
      </c>
      <c r="I324" s="2">
        <f t="shared" si="28"/>
        <v>3.7000000000006139E-2</v>
      </c>
      <c r="J324" s="2">
        <f t="shared" si="25"/>
        <v>108.25547445255475</v>
      </c>
      <c r="K324" s="27">
        <f t="shared" si="29"/>
        <v>4.6844939379138379</v>
      </c>
    </row>
    <row r="325" spans="1:11" x14ac:dyDescent="0.3">
      <c r="A325" s="28">
        <v>0.233513</v>
      </c>
      <c r="B325" s="3">
        <v>9.9000000000000005E-2</v>
      </c>
      <c r="C325" s="3" t="s">
        <v>5</v>
      </c>
      <c r="D325" s="3">
        <v>1</v>
      </c>
      <c r="E325" s="3">
        <v>99.323999999999998</v>
      </c>
      <c r="F325" s="2">
        <v>324</v>
      </c>
      <c r="G325" s="2">
        <f t="shared" si="26"/>
        <v>4.3000000000006366E-2</v>
      </c>
      <c r="H325" s="2">
        <f t="shared" si="27"/>
        <v>0.43434343434349865</v>
      </c>
      <c r="I325" s="2">
        <f t="shared" si="28"/>
        <v>4.3000000000006366E-2</v>
      </c>
      <c r="J325" s="2">
        <f t="shared" si="25"/>
        <v>108.25547445255475</v>
      </c>
      <c r="K325" s="27">
        <f t="shared" si="29"/>
        <v>4.6844939379138379</v>
      </c>
    </row>
    <row r="326" spans="1:11" x14ac:dyDescent="0.3">
      <c r="A326" s="26">
        <v>0.23396900000000001</v>
      </c>
      <c r="B326" s="2">
        <v>9.5399999999999999E-2</v>
      </c>
      <c r="C326" s="2" t="s">
        <v>5</v>
      </c>
      <c r="D326" s="2">
        <v>1</v>
      </c>
      <c r="E326" s="2">
        <v>99.367000000000004</v>
      </c>
      <c r="F326" s="3">
        <v>325</v>
      </c>
      <c r="G326" s="3">
        <f t="shared" si="26"/>
        <v>4.6999999999997044E-2</v>
      </c>
      <c r="H326" s="3">
        <f t="shared" si="27"/>
        <v>0.49266247379451827</v>
      </c>
      <c r="I326" s="3">
        <f t="shared" si="28"/>
        <v>4.6999999999997044E-2</v>
      </c>
      <c r="J326" s="3">
        <f t="shared" si="25"/>
        <v>108.25547445255475</v>
      </c>
      <c r="K326" s="29">
        <f t="shared" si="29"/>
        <v>4.6844939379138379</v>
      </c>
    </row>
    <row r="327" spans="1:11" x14ac:dyDescent="0.3">
      <c r="A327" s="28">
        <v>0.23491300000000001</v>
      </c>
      <c r="B327" s="3">
        <v>0.10199999999999999</v>
      </c>
      <c r="C327" s="3" t="s">
        <v>5</v>
      </c>
      <c r="D327" s="3">
        <v>1</v>
      </c>
      <c r="E327" s="3">
        <v>99.414000000000001</v>
      </c>
      <c r="F327" s="2">
        <v>326</v>
      </c>
      <c r="G327" s="2">
        <f t="shared" si="26"/>
        <v>7.8000000000002956E-2</v>
      </c>
      <c r="H327" s="2">
        <f t="shared" si="27"/>
        <v>0.76470588235297021</v>
      </c>
      <c r="I327" s="2">
        <f t="shared" si="28"/>
        <v>7.8000000000002956E-2</v>
      </c>
      <c r="J327" s="2">
        <f t="shared" si="25"/>
        <v>108.25547445255475</v>
      </c>
      <c r="K327" s="27">
        <f t="shared" si="29"/>
        <v>4.6844939379138379</v>
      </c>
    </row>
    <row r="328" spans="1:11" x14ac:dyDescent="0.3">
      <c r="A328" s="26">
        <v>0.23502500000000001</v>
      </c>
      <c r="B328" s="2">
        <v>9.1200000000000003E-2</v>
      </c>
      <c r="C328" s="2" t="s">
        <v>5</v>
      </c>
      <c r="D328" s="2">
        <v>-1</v>
      </c>
      <c r="E328" s="2">
        <v>99.492000000000004</v>
      </c>
      <c r="F328" s="3">
        <v>327</v>
      </c>
      <c r="G328" s="3">
        <f t="shared" si="26"/>
        <v>-2.6000000000010459E-2</v>
      </c>
      <c r="H328" s="3">
        <f t="shared" si="27"/>
        <v>-0.2850877192983603</v>
      </c>
      <c r="I328" s="3">
        <f t="shared" si="28"/>
        <v>2.6000000000010459E-2</v>
      </c>
      <c r="J328" s="3">
        <f t="shared" si="25"/>
        <v>108.25547445255475</v>
      </c>
      <c r="K328" s="29">
        <f t="shared" si="29"/>
        <v>4.6844939379138379</v>
      </c>
    </row>
    <row r="329" spans="1:11" x14ac:dyDescent="0.3">
      <c r="A329" s="28">
        <v>0.23521900000000001</v>
      </c>
      <c r="B329" s="3">
        <v>0.1113</v>
      </c>
      <c r="C329" s="3">
        <v>39</v>
      </c>
      <c r="D329" s="3">
        <v>1</v>
      </c>
      <c r="E329" s="3">
        <v>99.465999999999994</v>
      </c>
      <c r="F329" s="2">
        <v>328</v>
      </c>
      <c r="G329" s="2">
        <f t="shared" si="26"/>
        <v>4.1000000000011028E-2</v>
      </c>
      <c r="H329" s="2">
        <f t="shared" si="27"/>
        <v>0.36837376460027876</v>
      </c>
      <c r="I329" s="2">
        <f t="shared" si="28"/>
        <v>4.1000000000011028E-2</v>
      </c>
      <c r="J329" s="2">
        <f t="shared" si="25"/>
        <v>39</v>
      </c>
      <c r="K329" s="27">
        <f t="shared" si="29"/>
        <v>3.6635616461296463</v>
      </c>
    </row>
    <row r="330" spans="1:11" x14ac:dyDescent="0.3">
      <c r="A330" s="26">
        <v>0.23574500000000001</v>
      </c>
      <c r="B330" s="2">
        <v>0.1017</v>
      </c>
      <c r="C330" s="2" t="s">
        <v>5</v>
      </c>
      <c r="D330" s="2">
        <v>1</v>
      </c>
      <c r="E330" s="2">
        <v>99.507000000000005</v>
      </c>
      <c r="F330" s="3">
        <v>329</v>
      </c>
      <c r="G330" s="3">
        <f t="shared" si="26"/>
        <v>1.099999999999568E-2</v>
      </c>
      <c r="H330" s="3">
        <f t="shared" si="27"/>
        <v>0.10816125860369401</v>
      </c>
      <c r="I330" s="3">
        <f t="shared" si="28"/>
        <v>1.099999999999568E-2</v>
      </c>
      <c r="J330" s="3">
        <f t="shared" si="25"/>
        <v>108.25547445255475</v>
      </c>
      <c r="K330" s="29">
        <f t="shared" si="29"/>
        <v>4.6844939379138379</v>
      </c>
    </row>
    <row r="331" spans="1:11" x14ac:dyDescent="0.3">
      <c r="A331" s="28">
        <v>0.23622299999999999</v>
      </c>
      <c r="B331" s="3">
        <v>0.1159</v>
      </c>
      <c r="C331" s="3" t="s">
        <v>5</v>
      </c>
      <c r="D331" s="3">
        <v>1</v>
      </c>
      <c r="E331" s="3">
        <v>99.518000000000001</v>
      </c>
      <c r="F331" s="2">
        <v>330</v>
      </c>
      <c r="G331" s="2">
        <f t="shared" si="26"/>
        <v>8.8999999999998636E-2</v>
      </c>
      <c r="H331" s="2">
        <f t="shared" si="27"/>
        <v>0.76790336496978973</v>
      </c>
      <c r="I331" s="2">
        <f t="shared" si="28"/>
        <v>8.8999999999998636E-2</v>
      </c>
      <c r="J331" s="2">
        <f t="shared" si="25"/>
        <v>108.25547445255475</v>
      </c>
      <c r="K331" s="27">
        <f t="shared" si="29"/>
        <v>4.6844939379138379</v>
      </c>
    </row>
    <row r="332" spans="1:11" x14ac:dyDescent="0.3">
      <c r="A332" s="26">
        <v>0.238597</v>
      </c>
      <c r="B332" s="2">
        <v>9.7000000000000003E-2</v>
      </c>
      <c r="C332" s="2">
        <v>11</v>
      </c>
      <c r="D332" s="2">
        <v>1</v>
      </c>
      <c r="E332" s="2">
        <v>99.606999999999999</v>
      </c>
      <c r="F332" s="3">
        <v>331</v>
      </c>
      <c r="G332" s="3">
        <f t="shared" si="26"/>
        <v>1.8000000000000682E-2</v>
      </c>
      <c r="H332" s="3">
        <f t="shared" si="27"/>
        <v>0.18556701030928538</v>
      </c>
      <c r="I332" s="3">
        <f t="shared" si="28"/>
        <v>1.8000000000000682E-2</v>
      </c>
      <c r="J332" s="3">
        <f t="shared" si="25"/>
        <v>11</v>
      </c>
      <c r="K332" s="29">
        <f t="shared" si="29"/>
        <v>2.3978952727983707</v>
      </c>
    </row>
    <row r="333" spans="1:11" x14ac:dyDescent="0.3">
      <c r="A333" s="28">
        <v>0.238789</v>
      </c>
      <c r="B333" s="3">
        <v>0.1048</v>
      </c>
      <c r="C333" s="3" t="s">
        <v>5</v>
      </c>
      <c r="D333" s="3">
        <v>-1</v>
      </c>
      <c r="E333" s="3">
        <v>99.625</v>
      </c>
      <c r="F333" s="2">
        <v>332</v>
      </c>
      <c r="G333" s="2">
        <f t="shared" si="26"/>
        <v>-5.5999999999997385E-2</v>
      </c>
      <c r="H333" s="2">
        <f t="shared" si="27"/>
        <v>-0.53435114503814296</v>
      </c>
      <c r="I333" s="2">
        <f t="shared" si="28"/>
        <v>5.5999999999997385E-2</v>
      </c>
      <c r="J333" s="2">
        <f t="shared" si="25"/>
        <v>108.25547445255475</v>
      </c>
      <c r="K333" s="27">
        <f t="shared" si="29"/>
        <v>4.6844939379138379</v>
      </c>
    </row>
    <row r="334" spans="1:11" x14ac:dyDescent="0.3">
      <c r="A334" s="26">
        <v>0.239091</v>
      </c>
      <c r="B334" s="2">
        <v>8.9300000000000004E-2</v>
      </c>
      <c r="C334" s="2" t="s">
        <v>5</v>
      </c>
      <c r="D334" s="2">
        <v>1</v>
      </c>
      <c r="E334" s="2">
        <v>99.569000000000003</v>
      </c>
      <c r="F334" s="3">
        <v>333</v>
      </c>
      <c r="G334" s="3">
        <f t="shared" si="26"/>
        <v>0.15800000000000125</v>
      </c>
      <c r="H334" s="3">
        <f t="shared" si="27"/>
        <v>1.7693169092945269</v>
      </c>
      <c r="I334" s="3">
        <f t="shared" si="28"/>
        <v>0.15800000000000125</v>
      </c>
      <c r="J334" s="3">
        <f t="shared" si="25"/>
        <v>108.25547445255475</v>
      </c>
      <c r="K334" s="29">
        <f t="shared" si="29"/>
        <v>4.6844939379138379</v>
      </c>
    </row>
    <row r="335" spans="1:11" x14ac:dyDescent="0.3">
      <c r="A335" s="28">
        <v>0.23943999999999999</v>
      </c>
      <c r="B335" s="3">
        <v>0.10780000000000001</v>
      </c>
      <c r="C335" s="3" t="s">
        <v>5</v>
      </c>
      <c r="D335" s="3">
        <v>1</v>
      </c>
      <c r="E335" s="3">
        <v>99.727000000000004</v>
      </c>
      <c r="F335" s="2">
        <v>334</v>
      </c>
      <c r="G335" s="2">
        <f t="shared" si="26"/>
        <v>0.10299999999999443</v>
      </c>
      <c r="H335" s="2">
        <f t="shared" si="27"/>
        <v>0.95547309833018945</v>
      </c>
      <c r="I335" s="2">
        <f t="shared" si="28"/>
        <v>0.10299999999999443</v>
      </c>
      <c r="J335" s="2">
        <f t="shared" si="25"/>
        <v>108.25547445255475</v>
      </c>
      <c r="K335" s="27">
        <f t="shared" si="29"/>
        <v>4.6844939379138379</v>
      </c>
    </row>
    <row r="336" spans="1:11" x14ac:dyDescent="0.3">
      <c r="A336" s="26">
        <v>0.23976</v>
      </c>
      <c r="B336" s="2">
        <v>0.11</v>
      </c>
      <c r="C336" s="2" t="s">
        <v>5</v>
      </c>
      <c r="D336" s="2">
        <v>1</v>
      </c>
      <c r="E336" s="2">
        <v>99.83</v>
      </c>
      <c r="F336" s="3">
        <v>335</v>
      </c>
      <c r="G336" s="3">
        <f t="shared" si="26"/>
        <v>9.6000000000003638E-2</v>
      </c>
      <c r="H336" s="3">
        <f t="shared" si="27"/>
        <v>0.87272727272730577</v>
      </c>
      <c r="I336" s="3">
        <f t="shared" si="28"/>
        <v>9.6000000000003638E-2</v>
      </c>
      <c r="J336" s="3">
        <f t="shared" si="25"/>
        <v>108.25547445255475</v>
      </c>
      <c r="K336" s="29">
        <f t="shared" si="29"/>
        <v>4.6844939379138379</v>
      </c>
    </row>
    <row r="337" spans="1:11" x14ac:dyDescent="0.3">
      <c r="A337" s="28">
        <v>0.240981</v>
      </c>
      <c r="B337" s="3">
        <v>7.9100000000000004E-2</v>
      </c>
      <c r="C337" s="3" t="s">
        <v>5</v>
      </c>
      <c r="D337" s="3">
        <v>-1</v>
      </c>
      <c r="E337" s="3">
        <v>99.926000000000002</v>
      </c>
      <c r="F337" s="2">
        <v>336</v>
      </c>
      <c r="G337" s="2">
        <f t="shared" si="26"/>
        <v>-6.4000000000007162E-2</v>
      </c>
      <c r="H337" s="2">
        <f t="shared" si="27"/>
        <v>-0.80910240202284656</v>
      </c>
      <c r="I337" s="2">
        <f t="shared" si="28"/>
        <v>6.4000000000007162E-2</v>
      </c>
      <c r="J337" s="2">
        <f t="shared" si="25"/>
        <v>108.25547445255475</v>
      </c>
      <c r="K337" s="27">
        <f t="shared" si="29"/>
        <v>4.6844939379138379</v>
      </c>
    </row>
    <row r="338" spans="1:11" x14ac:dyDescent="0.3">
      <c r="A338" s="26">
        <v>0.24207600000000001</v>
      </c>
      <c r="B338" s="2">
        <v>9.06E-2</v>
      </c>
      <c r="C338" s="2" t="s">
        <v>5</v>
      </c>
      <c r="D338" s="2">
        <v>-1</v>
      </c>
      <c r="E338" s="2">
        <v>99.861999999999995</v>
      </c>
      <c r="F338" s="3">
        <v>337</v>
      </c>
      <c r="G338" s="3">
        <f t="shared" si="26"/>
        <v>-0.11399999999999011</v>
      </c>
      <c r="H338" s="3">
        <f t="shared" si="27"/>
        <v>-1.258278145695255</v>
      </c>
      <c r="I338" s="3">
        <f t="shared" si="28"/>
        <v>0.11399999999999011</v>
      </c>
      <c r="J338" s="3">
        <f t="shared" si="25"/>
        <v>108.25547445255475</v>
      </c>
      <c r="K338" s="29">
        <f t="shared" si="29"/>
        <v>4.6844939379138379</v>
      </c>
    </row>
    <row r="339" spans="1:11" x14ac:dyDescent="0.3">
      <c r="A339" s="28">
        <v>0.24210400000000001</v>
      </c>
      <c r="B339" s="3">
        <v>0.1134</v>
      </c>
      <c r="C339" s="3">
        <v>233</v>
      </c>
      <c r="D339" s="3">
        <v>-1</v>
      </c>
      <c r="E339" s="3">
        <v>99.748000000000005</v>
      </c>
      <c r="F339" s="2">
        <v>338</v>
      </c>
      <c r="G339" s="2">
        <f t="shared" si="26"/>
        <v>-0.11500000000000909</v>
      </c>
      <c r="H339" s="2">
        <f t="shared" si="27"/>
        <v>-1.0141093474427609</v>
      </c>
      <c r="I339" s="2">
        <f t="shared" si="28"/>
        <v>0.11500000000000909</v>
      </c>
      <c r="J339" s="2">
        <f t="shared" si="25"/>
        <v>233</v>
      </c>
      <c r="K339" s="27">
        <f t="shared" si="29"/>
        <v>5.4510384535657002</v>
      </c>
    </row>
    <row r="340" spans="1:11" x14ac:dyDescent="0.3">
      <c r="A340" s="26">
        <v>0.24276300000000001</v>
      </c>
      <c r="B340" s="2">
        <v>8.9599999999999999E-2</v>
      </c>
      <c r="C340" s="2" t="s">
        <v>5</v>
      </c>
      <c r="D340" s="2">
        <v>1</v>
      </c>
      <c r="E340" s="2">
        <v>99.632999999999996</v>
      </c>
      <c r="F340" s="3">
        <v>339</v>
      </c>
      <c r="G340" s="3">
        <f t="shared" si="26"/>
        <v>4.5000000000001705E-2</v>
      </c>
      <c r="H340" s="3">
        <f t="shared" si="27"/>
        <v>0.50223214285716189</v>
      </c>
      <c r="I340" s="3">
        <f t="shared" si="28"/>
        <v>4.5000000000001705E-2</v>
      </c>
      <c r="J340" s="3">
        <f t="shared" si="25"/>
        <v>108.25547445255475</v>
      </c>
      <c r="K340" s="29">
        <f t="shared" si="29"/>
        <v>4.6844939379138379</v>
      </c>
    </row>
    <row r="341" spans="1:11" x14ac:dyDescent="0.3">
      <c r="A341" s="28">
        <v>0.24309500000000001</v>
      </c>
      <c r="B341" s="3">
        <v>0.1164</v>
      </c>
      <c r="C341" s="3" t="s">
        <v>5</v>
      </c>
      <c r="D341" s="3">
        <v>-1</v>
      </c>
      <c r="E341" s="3">
        <v>99.677999999999997</v>
      </c>
      <c r="F341" s="2">
        <v>340</v>
      </c>
      <c r="G341" s="2">
        <f t="shared" si="26"/>
        <v>-8.5999999999998522E-2</v>
      </c>
      <c r="H341" s="2">
        <f t="shared" si="27"/>
        <v>-0.73883161512026219</v>
      </c>
      <c r="I341" s="2">
        <f t="shared" si="28"/>
        <v>8.5999999999998522E-2</v>
      </c>
      <c r="J341" s="2">
        <f t="shared" si="25"/>
        <v>108.25547445255475</v>
      </c>
      <c r="K341" s="27">
        <f t="shared" si="29"/>
        <v>4.6844939379138379</v>
      </c>
    </row>
    <row r="342" spans="1:11" x14ac:dyDescent="0.3">
      <c r="A342" s="26">
        <v>0.24482599999999999</v>
      </c>
      <c r="B342" s="2">
        <v>0.1014</v>
      </c>
      <c r="C342" s="2" t="s">
        <v>5</v>
      </c>
      <c r="D342" s="2">
        <v>1</v>
      </c>
      <c r="E342" s="2">
        <v>99.591999999999999</v>
      </c>
      <c r="F342" s="2">
        <v>341</v>
      </c>
      <c r="G342" s="2">
        <f t="shared" si="26"/>
        <v>1.300000000000523E-2</v>
      </c>
      <c r="H342" s="2">
        <f t="shared" si="27"/>
        <v>0.12820512820517976</v>
      </c>
      <c r="I342" s="2">
        <f t="shared" si="28"/>
        <v>1.300000000000523E-2</v>
      </c>
      <c r="J342" s="2">
        <f t="shared" si="25"/>
        <v>108.25547445255475</v>
      </c>
      <c r="K342" s="27">
        <f t="shared" si="29"/>
        <v>4.6844939379138379</v>
      </c>
    </row>
    <row r="343" spans="1:11" x14ac:dyDescent="0.3">
      <c r="A343" s="28">
        <v>0.245117</v>
      </c>
      <c r="B343" s="3">
        <v>9.3899999999999997E-2</v>
      </c>
      <c r="C343" s="3">
        <v>70</v>
      </c>
      <c r="D343" s="3">
        <v>-1</v>
      </c>
      <c r="E343" s="3">
        <v>99.605000000000004</v>
      </c>
      <c r="F343" s="3">
        <v>342</v>
      </c>
      <c r="G343" s="3">
        <f t="shared" si="26"/>
        <v>-5.2999999999997272E-2</v>
      </c>
      <c r="H343" s="3">
        <f t="shared" si="27"/>
        <v>-0.56443024494139804</v>
      </c>
      <c r="I343" s="3">
        <f t="shared" si="28"/>
        <v>5.2999999999997272E-2</v>
      </c>
      <c r="J343" s="3">
        <f t="shared" si="25"/>
        <v>70</v>
      </c>
      <c r="K343" s="29">
        <f t="shared" si="29"/>
        <v>4.2484952420493594</v>
      </c>
    </row>
    <row r="344" spans="1:11" x14ac:dyDescent="0.3">
      <c r="A344" s="26">
        <v>0.245612</v>
      </c>
      <c r="B344" s="2">
        <v>7.8600000000000003E-2</v>
      </c>
      <c r="C344" s="2" t="s">
        <v>5</v>
      </c>
      <c r="D344" s="2">
        <v>1</v>
      </c>
      <c r="E344" s="2">
        <v>99.552000000000007</v>
      </c>
      <c r="F344" s="2">
        <v>343</v>
      </c>
      <c r="G344" s="2">
        <f t="shared" si="26"/>
        <v>3.5999999999987153E-2</v>
      </c>
      <c r="H344" s="2">
        <f t="shared" si="27"/>
        <v>0.45801526717540908</v>
      </c>
      <c r="I344" s="2">
        <f t="shared" si="28"/>
        <v>3.5999999999987153E-2</v>
      </c>
      <c r="J344" s="2">
        <f t="shared" si="25"/>
        <v>108.25547445255475</v>
      </c>
      <c r="K344" s="27">
        <f t="shared" si="29"/>
        <v>4.6844939379138379</v>
      </c>
    </row>
    <row r="345" spans="1:11" x14ac:dyDescent="0.3">
      <c r="A345" s="28">
        <v>0.246201</v>
      </c>
      <c r="B345" s="3">
        <v>0.11650000000000001</v>
      </c>
      <c r="C345" s="3" t="s">
        <v>5</v>
      </c>
      <c r="D345" s="3">
        <v>-1</v>
      </c>
      <c r="E345" s="3">
        <v>99.587999999999994</v>
      </c>
      <c r="F345" s="3">
        <v>344</v>
      </c>
      <c r="G345" s="3">
        <f t="shared" si="26"/>
        <v>-5.1999999999992497E-2</v>
      </c>
      <c r="H345" s="3">
        <f t="shared" si="27"/>
        <v>-0.44635193133040768</v>
      </c>
      <c r="I345" s="3">
        <f t="shared" si="28"/>
        <v>5.1999999999992497E-2</v>
      </c>
      <c r="J345" s="3">
        <f t="shared" si="25"/>
        <v>108.25547445255475</v>
      </c>
      <c r="K345" s="29">
        <f t="shared" si="29"/>
        <v>4.6844939379138379</v>
      </c>
    </row>
    <row r="346" spans="1:11" x14ac:dyDescent="0.3">
      <c r="A346" s="26">
        <v>0.24644199999999999</v>
      </c>
      <c r="B346" s="2">
        <v>8.9399999999999993E-2</v>
      </c>
      <c r="C346" s="2" t="s">
        <v>5</v>
      </c>
      <c r="D346" s="2">
        <v>-1</v>
      </c>
      <c r="E346" s="2">
        <v>99.536000000000001</v>
      </c>
      <c r="F346" s="2">
        <v>345</v>
      </c>
      <c r="G346" s="2">
        <f t="shared" si="26"/>
        <v>-3.0000000000001137E-2</v>
      </c>
      <c r="H346" s="2">
        <f t="shared" si="27"/>
        <v>-0.33557046979867045</v>
      </c>
      <c r="I346" s="2">
        <f t="shared" si="28"/>
        <v>3.0000000000001137E-2</v>
      </c>
      <c r="J346" s="2">
        <f t="shared" si="25"/>
        <v>108.25547445255475</v>
      </c>
      <c r="K346" s="27">
        <f t="shared" si="29"/>
        <v>4.6844939379138379</v>
      </c>
    </row>
    <row r="347" spans="1:11" x14ac:dyDescent="0.3">
      <c r="A347" s="28">
        <v>0.24648900000000001</v>
      </c>
      <c r="B347" s="3">
        <v>7.7200000000000005E-2</v>
      </c>
      <c r="C347" s="3" t="s">
        <v>5</v>
      </c>
      <c r="D347" s="3">
        <v>-1</v>
      </c>
      <c r="E347" s="3">
        <v>99.506</v>
      </c>
      <c r="F347" s="3">
        <v>346</v>
      </c>
      <c r="G347" s="3">
        <f t="shared" si="26"/>
        <v>-1.6000000000005343E-2</v>
      </c>
      <c r="H347" s="3">
        <f t="shared" si="27"/>
        <v>-0.2072538860104319</v>
      </c>
      <c r="I347" s="3">
        <f t="shared" si="28"/>
        <v>1.6000000000005343E-2</v>
      </c>
      <c r="J347" s="3">
        <f t="shared" si="25"/>
        <v>108.25547445255475</v>
      </c>
      <c r="K347" s="29">
        <f t="shared" si="29"/>
        <v>4.6844939379138379</v>
      </c>
    </row>
    <row r="348" spans="1:11" x14ac:dyDescent="0.3">
      <c r="A348" s="26">
        <v>0.24817900000000001</v>
      </c>
      <c r="B348" s="2">
        <v>9.7600000000000006E-2</v>
      </c>
      <c r="C348" s="2" t="s">
        <v>5</v>
      </c>
      <c r="D348" s="2">
        <v>-1</v>
      </c>
      <c r="E348" s="2">
        <v>99.49</v>
      </c>
      <c r="F348" s="2">
        <v>347</v>
      </c>
      <c r="G348" s="2">
        <f t="shared" si="26"/>
        <v>-3.4999999999996589E-2</v>
      </c>
      <c r="H348" s="2">
        <f t="shared" si="27"/>
        <v>-0.35860655737701419</v>
      </c>
      <c r="I348" s="2">
        <f t="shared" si="28"/>
        <v>3.4999999999996589E-2</v>
      </c>
      <c r="J348" s="2">
        <f t="shared" si="25"/>
        <v>108.25547445255475</v>
      </c>
      <c r="K348" s="27">
        <f t="shared" si="29"/>
        <v>4.6844939379138379</v>
      </c>
    </row>
    <row r="349" spans="1:11" x14ac:dyDescent="0.3">
      <c r="A349" s="28">
        <v>0.24818599999999999</v>
      </c>
      <c r="B349" s="3">
        <v>9.9500000000000005E-2</v>
      </c>
      <c r="C349" s="3" t="s">
        <v>5</v>
      </c>
      <c r="D349" s="3">
        <v>1</v>
      </c>
      <c r="E349" s="3">
        <v>99.454999999999998</v>
      </c>
      <c r="F349" s="3">
        <v>348</v>
      </c>
      <c r="G349" s="3">
        <f t="shared" si="26"/>
        <v>3.7999999999996703E-2</v>
      </c>
      <c r="H349" s="3">
        <f t="shared" si="27"/>
        <v>0.38190954773866032</v>
      </c>
      <c r="I349" s="3">
        <f t="shared" si="28"/>
        <v>3.7999999999996703E-2</v>
      </c>
      <c r="J349" s="3">
        <f t="shared" si="25"/>
        <v>108.25547445255475</v>
      </c>
      <c r="K349" s="29">
        <f t="shared" si="29"/>
        <v>4.6844939379138379</v>
      </c>
    </row>
    <row r="350" spans="1:11" x14ac:dyDescent="0.3">
      <c r="A350" s="26">
        <v>0.248331</v>
      </c>
      <c r="B350" s="2">
        <v>0.1062</v>
      </c>
      <c r="C350" s="2" t="s">
        <v>5</v>
      </c>
      <c r="D350" s="2">
        <v>-1</v>
      </c>
      <c r="E350" s="2">
        <v>99.492999999999995</v>
      </c>
      <c r="F350" s="2">
        <v>349</v>
      </c>
      <c r="G350" s="2">
        <f t="shared" si="26"/>
        <v>-7.899999999999352E-2</v>
      </c>
      <c r="H350" s="2">
        <f t="shared" si="27"/>
        <v>-0.74387947269297094</v>
      </c>
      <c r="I350" s="2">
        <f t="shared" si="28"/>
        <v>7.899999999999352E-2</v>
      </c>
      <c r="J350" s="2">
        <f t="shared" si="25"/>
        <v>108.25547445255475</v>
      </c>
      <c r="K350" s="27">
        <f t="shared" si="29"/>
        <v>4.6844939379138379</v>
      </c>
    </row>
    <row r="351" spans="1:11" x14ac:dyDescent="0.3">
      <c r="A351" s="28">
        <v>0.25008799999999998</v>
      </c>
      <c r="B351" s="3">
        <v>0.1012</v>
      </c>
      <c r="C351" s="3" t="s">
        <v>5</v>
      </c>
      <c r="D351" s="3">
        <v>1</v>
      </c>
      <c r="E351" s="3">
        <v>99.414000000000001</v>
      </c>
      <c r="F351" s="3">
        <v>350</v>
      </c>
      <c r="G351" s="3">
        <f t="shared" si="26"/>
        <v>7.8000000000002956E-2</v>
      </c>
      <c r="H351" s="3">
        <f t="shared" si="27"/>
        <v>0.77075098814232168</v>
      </c>
      <c r="I351" s="3">
        <f t="shared" si="28"/>
        <v>7.8000000000002956E-2</v>
      </c>
      <c r="J351" s="3">
        <f t="shared" si="25"/>
        <v>108.25547445255475</v>
      </c>
      <c r="K351" s="29">
        <f t="shared" si="29"/>
        <v>4.6844939379138379</v>
      </c>
    </row>
    <row r="352" spans="1:11" x14ac:dyDescent="0.3">
      <c r="A352" s="26">
        <v>0.25120700000000001</v>
      </c>
      <c r="B352" s="2">
        <v>0.10580000000000001</v>
      </c>
      <c r="C352" s="2" t="s">
        <v>5</v>
      </c>
      <c r="D352" s="2">
        <v>-1</v>
      </c>
      <c r="E352" s="2">
        <v>99.492000000000004</v>
      </c>
      <c r="F352" s="2">
        <v>351</v>
      </c>
      <c r="G352" s="2">
        <f t="shared" si="26"/>
        <v>-4.0000000000048885E-3</v>
      </c>
      <c r="H352" s="2">
        <f t="shared" si="27"/>
        <v>-3.7807183364885526E-2</v>
      </c>
      <c r="I352" s="2">
        <f t="shared" si="28"/>
        <v>4.0000000000048885E-3</v>
      </c>
      <c r="J352" s="2">
        <f t="shared" si="25"/>
        <v>108.25547445255475</v>
      </c>
      <c r="K352" s="27">
        <f t="shared" si="29"/>
        <v>4.6844939379138379</v>
      </c>
    </row>
    <row r="353" spans="1:11" x14ac:dyDescent="0.3">
      <c r="A353" s="28">
        <v>0.25210100000000002</v>
      </c>
      <c r="B353" s="3">
        <v>0.1135</v>
      </c>
      <c r="C353" s="3" t="s">
        <v>5</v>
      </c>
      <c r="D353" s="3">
        <v>1</v>
      </c>
      <c r="E353" s="3">
        <v>99.488</v>
      </c>
      <c r="F353" s="3">
        <v>352</v>
      </c>
      <c r="G353" s="3">
        <f t="shared" si="26"/>
        <v>0.13100000000000023</v>
      </c>
      <c r="H353" s="3">
        <f t="shared" si="27"/>
        <v>1.1541850220264336</v>
      </c>
      <c r="I353" s="3">
        <f t="shared" si="28"/>
        <v>0.13100000000000023</v>
      </c>
      <c r="J353" s="3">
        <f t="shared" si="25"/>
        <v>108.25547445255475</v>
      </c>
      <c r="K353" s="29">
        <f t="shared" si="29"/>
        <v>4.6844939379138379</v>
      </c>
    </row>
    <row r="354" spans="1:11" x14ac:dyDescent="0.3">
      <c r="A354" s="26">
        <v>0.25220300000000001</v>
      </c>
      <c r="B354" s="2">
        <v>8.09E-2</v>
      </c>
      <c r="C354" s="2" t="s">
        <v>5</v>
      </c>
      <c r="D354" s="2">
        <v>-1</v>
      </c>
      <c r="E354" s="2">
        <v>99.619</v>
      </c>
      <c r="F354" s="2">
        <v>353</v>
      </c>
      <c r="G354" s="2">
        <f t="shared" si="26"/>
        <v>-1.0000000000005116E-2</v>
      </c>
      <c r="H354" s="2">
        <f t="shared" si="27"/>
        <v>-0.1236093943140311</v>
      </c>
      <c r="I354" s="2">
        <f t="shared" si="28"/>
        <v>1.0000000000005116E-2</v>
      </c>
      <c r="J354" s="2">
        <f t="shared" si="25"/>
        <v>108.25547445255475</v>
      </c>
      <c r="K354" s="27">
        <f t="shared" si="29"/>
        <v>4.6844939379138379</v>
      </c>
    </row>
    <row r="355" spans="1:11" x14ac:dyDescent="0.3">
      <c r="A355" s="28">
        <v>0.25234400000000001</v>
      </c>
      <c r="B355" s="3">
        <v>9.8500000000000004E-2</v>
      </c>
      <c r="C355" s="3" t="s">
        <v>5</v>
      </c>
      <c r="D355" s="3">
        <v>1</v>
      </c>
      <c r="E355" s="3">
        <v>99.608999999999995</v>
      </c>
      <c r="F355" s="3">
        <v>354</v>
      </c>
      <c r="G355" s="3">
        <f t="shared" si="26"/>
        <v>5.2000000000006708E-2</v>
      </c>
      <c r="H355" s="3">
        <f t="shared" si="27"/>
        <v>0.52791878172595641</v>
      </c>
      <c r="I355" s="3">
        <f t="shared" si="28"/>
        <v>5.2000000000006708E-2</v>
      </c>
      <c r="J355" s="3">
        <f t="shared" si="25"/>
        <v>108.25547445255475</v>
      </c>
      <c r="K355" s="29">
        <f t="shared" si="29"/>
        <v>4.6844939379138379</v>
      </c>
    </row>
    <row r="356" spans="1:11" x14ac:dyDescent="0.3">
      <c r="A356" s="26">
        <v>0.25236500000000001</v>
      </c>
      <c r="B356" s="2">
        <v>0.1138</v>
      </c>
      <c r="C356" s="2" t="s">
        <v>5</v>
      </c>
      <c r="D356" s="2">
        <v>1</v>
      </c>
      <c r="E356" s="2">
        <v>99.661000000000001</v>
      </c>
      <c r="F356" s="2">
        <v>355</v>
      </c>
      <c r="G356" s="2">
        <f t="shared" si="26"/>
        <v>-1.0000000000047748E-3</v>
      </c>
      <c r="H356" s="2">
        <f t="shared" si="27"/>
        <v>-8.7873462214830833E-3</v>
      </c>
      <c r="I356" s="2">
        <f t="shared" si="28"/>
        <v>-1.0000000000047748E-3</v>
      </c>
      <c r="J356" s="2">
        <f t="shared" si="25"/>
        <v>108.25547445255475</v>
      </c>
      <c r="K356" s="27">
        <f t="shared" si="29"/>
        <v>4.6844939379138379</v>
      </c>
    </row>
    <row r="357" spans="1:11" x14ac:dyDescent="0.3">
      <c r="A357" s="28">
        <v>0.25262000000000001</v>
      </c>
      <c r="B357" s="3">
        <v>9.8799999999999999E-2</v>
      </c>
      <c r="C357" s="3" t="s">
        <v>5</v>
      </c>
      <c r="D357" s="3">
        <v>1</v>
      </c>
      <c r="E357" s="3">
        <v>99.66</v>
      </c>
      <c r="F357" s="3">
        <v>356</v>
      </c>
      <c r="G357" s="3">
        <f t="shared" si="26"/>
        <v>6.6000000000002501E-2</v>
      </c>
      <c r="H357" s="3">
        <f t="shared" si="27"/>
        <v>0.66801619433200909</v>
      </c>
      <c r="I357" s="3">
        <f t="shared" si="28"/>
        <v>6.6000000000002501E-2</v>
      </c>
      <c r="J357" s="3">
        <f t="shared" si="25"/>
        <v>108.25547445255475</v>
      </c>
      <c r="K357" s="29">
        <f t="shared" si="29"/>
        <v>4.6844939379138379</v>
      </c>
    </row>
    <row r="358" spans="1:11" x14ac:dyDescent="0.3">
      <c r="A358" s="26">
        <v>0.25380000000000003</v>
      </c>
      <c r="B358" s="2">
        <v>0.1009</v>
      </c>
      <c r="C358" s="2" t="s">
        <v>5</v>
      </c>
      <c r="D358" s="2">
        <v>-1</v>
      </c>
      <c r="E358" s="2">
        <v>99.725999999999999</v>
      </c>
      <c r="F358" s="2">
        <v>357</v>
      </c>
      <c r="G358" s="2">
        <f t="shared" si="26"/>
        <v>-4.9999999999997158E-2</v>
      </c>
      <c r="H358" s="2">
        <f t="shared" si="27"/>
        <v>-0.49554013875121067</v>
      </c>
      <c r="I358" s="2">
        <f t="shared" si="28"/>
        <v>4.9999999999997158E-2</v>
      </c>
      <c r="J358" s="2">
        <f t="shared" si="25"/>
        <v>108.25547445255475</v>
      </c>
      <c r="K358" s="27">
        <f t="shared" si="29"/>
        <v>4.6844939379138379</v>
      </c>
    </row>
    <row r="359" spans="1:11" x14ac:dyDescent="0.3">
      <c r="A359" s="28">
        <v>0.25512800000000002</v>
      </c>
      <c r="B359" s="3">
        <v>9.2200000000000004E-2</v>
      </c>
      <c r="C359" s="3" t="s">
        <v>5</v>
      </c>
      <c r="D359" s="3">
        <v>1</v>
      </c>
      <c r="E359" s="3">
        <v>99.676000000000002</v>
      </c>
      <c r="F359" s="2">
        <v>358</v>
      </c>
      <c r="G359" s="2">
        <f t="shared" si="26"/>
        <v>6.1999999999997613E-2</v>
      </c>
      <c r="H359" s="2">
        <f t="shared" si="27"/>
        <v>0.6724511930585424</v>
      </c>
      <c r="I359" s="2">
        <f t="shared" si="28"/>
        <v>6.1999999999997613E-2</v>
      </c>
      <c r="J359" s="2">
        <f t="shared" si="25"/>
        <v>108.25547445255475</v>
      </c>
      <c r="K359" s="27">
        <f t="shared" si="29"/>
        <v>4.6844939379138379</v>
      </c>
    </row>
    <row r="360" spans="1:11" x14ac:dyDescent="0.3">
      <c r="A360" s="26">
        <v>0.255413</v>
      </c>
      <c r="B360" s="2">
        <v>0.10199999999999999</v>
      </c>
      <c r="C360" s="2" t="s">
        <v>5</v>
      </c>
      <c r="D360" s="2">
        <v>-1</v>
      </c>
      <c r="E360" s="2">
        <v>99.738</v>
      </c>
      <c r="F360" s="3">
        <v>359</v>
      </c>
      <c r="G360" s="3">
        <f t="shared" si="26"/>
        <v>-2.2000000000005571E-2</v>
      </c>
      <c r="H360" s="3">
        <f t="shared" si="27"/>
        <v>-0.21568627450985856</v>
      </c>
      <c r="I360" s="3">
        <f t="shared" si="28"/>
        <v>2.2000000000005571E-2</v>
      </c>
      <c r="J360" s="3">
        <f t="shared" si="25"/>
        <v>108.25547445255475</v>
      </c>
      <c r="K360" s="29">
        <f t="shared" si="29"/>
        <v>4.6844939379138379</v>
      </c>
    </row>
    <row r="361" spans="1:11" x14ac:dyDescent="0.3">
      <c r="A361" s="28">
        <v>0.25605</v>
      </c>
      <c r="B361" s="3">
        <v>9.6600000000000005E-2</v>
      </c>
      <c r="C361" s="3" t="s">
        <v>5</v>
      </c>
      <c r="D361" s="3">
        <v>1</v>
      </c>
      <c r="E361" s="3">
        <v>99.715999999999994</v>
      </c>
      <c r="F361" s="2">
        <v>360</v>
      </c>
      <c r="G361" s="2">
        <f t="shared" si="26"/>
        <v>3.9000000000001478E-2</v>
      </c>
      <c r="H361" s="2">
        <f t="shared" si="27"/>
        <v>0.40372670807454941</v>
      </c>
      <c r="I361" s="2">
        <f t="shared" si="28"/>
        <v>3.9000000000001478E-2</v>
      </c>
      <c r="J361" s="2">
        <f t="shared" si="25"/>
        <v>108.25547445255475</v>
      </c>
      <c r="K361" s="27">
        <f t="shared" si="29"/>
        <v>4.6844939379138379</v>
      </c>
    </row>
    <row r="362" spans="1:11" x14ac:dyDescent="0.3">
      <c r="A362" s="26">
        <v>0.25635599999999997</v>
      </c>
      <c r="B362" s="2">
        <v>0.1033</v>
      </c>
      <c r="C362" s="2" t="s">
        <v>5</v>
      </c>
      <c r="D362" s="2">
        <v>-1</v>
      </c>
      <c r="E362" s="2">
        <v>99.754999999999995</v>
      </c>
      <c r="F362" s="3">
        <v>361</v>
      </c>
      <c r="G362" s="3">
        <f t="shared" si="26"/>
        <v>-3.1999999999996476E-2</v>
      </c>
      <c r="H362" s="3">
        <f t="shared" si="27"/>
        <v>-0.30977734753142766</v>
      </c>
      <c r="I362" s="3">
        <f t="shared" si="28"/>
        <v>3.1999999999996476E-2</v>
      </c>
      <c r="J362" s="3">
        <f t="shared" si="25"/>
        <v>108.25547445255475</v>
      </c>
      <c r="K362" s="29">
        <f t="shared" si="29"/>
        <v>4.6844939379138379</v>
      </c>
    </row>
    <row r="363" spans="1:11" x14ac:dyDescent="0.3">
      <c r="A363" s="28">
        <v>0.25675399999999998</v>
      </c>
      <c r="B363" s="3">
        <v>9.64E-2</v>
      </c>
      <c r="C363" s="3">
        <v>140</v>
      </c>
      <c r="D363" s="3">
        <v>1</v>
      </c>
      <c r="E363" s="3">
        <v>99.722999999999999</v>
      </c>
      <c r="F363" s="2">
        <v>362</v>
      </c>
      <c r="G363" s="2">
        <f t="shared" si="26"/>
        <v>7.9000000000007731E-2</v>
      </c>
      <c r="H363" s="2">
        <f t="shared" si="27"/>
        <v>0.81950207468887692</v>
      </c>
      <c r="I363" s="2">
        <f t="shared" si="28"/>
        <v>7.9000000000007731E-2</v>
      </c>
      <c r="J363" s="2">
        <f t="shared" si="25"/>
        <v>140</v>
      </c>
      <c r="K363" s="27">
        <f t="shared" si="29"/>
        <v>4.9416424226093039</v>
      </c>
    </row>
    <row r="364" spans="1:11" x14ac:dyDescent="0.3">
      <c r="A364" s="26">
        <v>0.257378</v>
      </c>
      <c r="B364" s="2">
        <v>9.8900000000000002E-2</v>
      </c>
      <c r="C364" s="2" t="s">
        <v>5</v>
      </c>
      <c r="D364" s="2">
        <v>-1</v>
      </c>
      <c r="E364" s="2">
        <v>99.802000000000007</v>
      </c>
      <c r="F364" s="3">
        <v>363</v>
      </c>
      <c r="G364" s="3">
        <f t="shared" si="26"/>
        <v>-8.7000000000003297E-2</v>
      </c>
      <c r="H364" s="3">
        <f t="shared" si="27"/>
        <v>-0.87967644084937613</v>
      </c>
      <c r="I364" s="3">
        <f t="shared" si="28"/>
        <v>8.7000000000003297E-2</v>
      </c>
      <c r="J364" s="3">
        <f t="shared" si="25"/>
        <v>108.25547445255475</v>
      </c>
      <c r="K364" s="29">
        <f t="shared" si="29"/>
        <v>4.6844939379138379</v>
      </c>
    </row>
    <row r="365" spans="1:11" x14ac:dyDescent="0.3">
      <c r="A365" s="28">
        <v>0.258963</v>
      </c>
      <c r="B365" s="3">
        <v>0.1002</v>
      </c>
      <c r="C365" s="3" t="s">
        <v>5</v>
      </c>
      <c r="D365" s="3">
        <v>1</v>
      </c>
      <c r="E365" s="3">
        <v>99.715000000000003</v>
      </c>
      <c r="F365" s="2">
        <v>364</v>
      </c>
      <c r="G365" s="2">
        <f t="shared" si="26"/>
        <v>9.6999999999994202E-2</v>
      </c>
      <c r="H365" s="2">
        <f t="shared" si="27"/>
        <v>0.96806387225543122</v>
      </c>
      <c r="I365" s="2">
        <f t="shared" si="28"/>
        <v>9.6999999999994202E-2</v>
      </c>
      <c r="J365" s="2">
        <f t="shared" si="25"/>
        <v>108.25547445255475</v>
      </c>
      <c r="K365" s="27">
        <f t="shared" si="29"/>
        <v>4.6844939379138379</v>
      </c>
    </row>
    <row r="366" spans="1:11" x14ac:dyDescent="0.3">
      <c r="A366" s="26">
        <v>0.25989699999999999</v>
      </c>
      <c r="B366" s="2">
        <v>9.9500000000000005E-2</v>
      </c>
      <c r="C366" s="2">
        <v>25</v>
      </c>
      <c r="D366" s="2">
        <v>-1</v>
      </c>
      <c r="E366" s="2">
        <v>99.811999999999998</v>
      </c>
      <c r="F366" s="3">
        <v>365</v>
      </c>
      <c r="G366" s="3">
        <f t="shared" si="26"/>
        <v>-3.1999999999996476E-2</v>
      </c>
      <c r="H366" s="3">
        <f t="shared" si="27"/>
        <v>-0.32160804020096961</v>
      </c>
      <c r="I366" s="3">
        <f t="shared" si="28"/>
        <v>3.1999999999996476E-2</v>
      </c>
      <c r="J366" s="3">
        <f t="shared" si="25"/>
        <v>25</v>
      </c>
      <c r="K366" s="29">
        <f t="shared" si="29"/>
        <v>3.2188758248682006</v>
      </c>
    </row>
    <row r="367" spans="1:11" x14ac:dyDescent="0.3">
      <c r="A367" s="28">
        <v>0.26035799999999998</v>
      </c>
      <c r="B367" s="3">
        <v>0.10299999999999999</v>
      </c>
      <c r="C367" s="3" t="s">
        <v>5</v>
      </c>
      <c r="D367" s="3">
        <v>1</v>
      </c>
      <c r="E367" s="3">
        <v>99.78</v>
      </c>
      <c r="F367" s="2">
        <v>366</v>
      </c>
      <c r="G367" s="2">
        <f t="shared" si="26"/>
        <v>1.9999999999996021E-2</v>
      </c>
      <c r="H367" s="2">
        <f t="shared" si="27"/>
        <v>0.19417475728151479</v>
      </c>
      <c r="I367" s="2">
        <f t="shared" si="28"/>
        <v>1.9999999999996021E-2</v>
      </c>
      <c r="J367" s="2">
        <f t="shared" si="25"/>
        <v>108.25547445255475</v>
      </c>
      <c r="K367" s="27">
        <f t="shared" si="29"/>
        <v>4.6844939379138379</v>
      </c>
    </row>
    <row r="368" spans="1:11" x14ac:dyDescent="0.3">
      <c r="A368" s="26">
        <v>0.26116699999999998</v>
      </c>
      <c r="B368" s="2">
        <v>9.6799999999999997E-2</v>
      </c>
      <c r="C368" s="2">
        <v>261</v>
      </c>
      <c r="D368" s="2">
        <v>1</v>
      </c>
      <c r="E368" s="2">
        <v>99.8</v>
      </c>
      <c r="F368" s="3">
        <v>367</v>
      </c>
      <c r="G368" s="3">
        <f t="shared" si="26"/>
        <v>0.11599999999999966</v>
      </c>
      <c r="H368" s="3">
        <f t="shared" si="27"/>
        <v>1.198347107438013</v>
      </c>
      <c r="I368" s="3">
        <f t="shared" si="28"/>
        <v>0.11599999999999966</v>
      </c>
      <c r="J368" s="3">
        <f t="shared" si="25"/>
        <v>261</v>
      </c>
      <c r="K368" s="29">
        <f t="shared" si="29"/>
        <v>5.5645204073226937</v>
      </c>
    </row>
    <row r="369" spans="1:11" x14ac:dyDescent="0.3">
      <c r="A369" s="28">
        <v>0.26182100000000003</v>
      </c>
      <c r="B369" s="3">
        <v>9.5399999999999999E-2</v>
      </c>
      <c r="C369" s="3" t="s">
        <v>5</v>
      </c>
      <c r="D369" s="3">
        <v>1</v>
      </c>
      <c r="E369" s="3">
        <v>99.915999999999997</v>
      </c>
      <c r="F369" s="2">
        <v>368</v>
      </c>
      <c r="G369" s="2">
        <f t="shared" si="26"/>
        <v>2.1000000000000796E-2</v>
      </c>
      <c r="H369" s="2">
        <f t="shared" si="27"/>
        <v>0.22012578616353035</v>
      </c>
      <c r="I369" s="2">
        <f t="shared" si="28"/>
        <v>2.1000000000000796E-2</v>
      </c>
      <c r="J369" s="2">
        <f t="shared" si="25"/>
        <v>108.25547445255475</v>
      </c>
      <c r="K369" s="27">
        <f t="shared" si="29"/>
        <v>4.6844939379138379</v>
      </c>
    </row>
    <row r="370" spans="1:11" x14ac:dyDescent="0.3">
      <c r="A370" s="26">
        <v>0.262131</v>
      </c>
      <c r="B370" s="2">
        <v>8.4599999999999995E-2</v>
      </c>
      <c r="C370" s="2" t="s">
        <v>5</v>
      </c>
      <c r="D370" s="2">
        <v>1</v>
      </c>
      <c r="E370" s="2">
        <v>99.936999999999998</v>
      </c>
      <c r="F370" s="3">
        <v>369</v>
      </c>
      <c r="G370" s="3">
        <f t="shared" si="26"/>
        <v>3.6000000000001364E-2</v>
      </c>
      <c r="H370" s="3">
        <f t="shared" si="27"/>
        <v>0.42553191489363318</v>
      </c>
      <c r="I370" s="3">
        <f t="shared" si="28"/>
        <v>3.6000000000001364E-2</v>
      </c>
      <c r="J370" s="3">
        <f t="shared" si="25"/>
        <v>108.25547445255475</v>
      </c>
      <c r="K370" s="29">
        <f t="shared" si="29"/>
        <v>4.6844939379138379</v>
      </c>
    </row>
    <row r="371" spans="1:11" x14ac:dyDescent="0.3">
      <c r="A371" s="28">
        <v>0.26268399999999997</v>
      </c>
      <c r="B371" s="3">
        <v>8.4099999999999994E-2</v>
      </c>
      <c r="C371" s="3" t="s">
        <v>5</v>
      </c>
      <c r="D371" s="3">
        <v>1</v>
      </c>
      <c r="E371" s="3">
        <v>99.972999999999999</v>
      </c>
      <c r="F371" s="2">
        <v>370</v>
      </c>
      <c r="G371" s="2">
        <f t="shared" si="26"/>
        <v>-3.0000000000001137E-3</v>
      </c>
      <c r="H371" s="2">
        <f t="shared" si="27"/>
        <v>-3.5671819262783754E-2</v>
      </c>
      <c r="I371" s="2">
        <f t="shared" si="28"/>
        <v>-3.0000000000001137E-3</v>
      </c>
      <c r="J371" s="2">
        <f t="shared" si="25"/>
        <v>108.25547445255475</v>
      </c>
      <c r="K371" s="27">
        <f t="shared" si="29"/>
        <v>4.6844939379138379</v>
      </c>
    </row>
    <row r="372" spans="1:11" x14ac:dyDescent="0.3">
      <c r="A372" s="26">
        <v>0.26553700000000002</v>
      </c>
      <c r="B372" s="2">
        <v>9.7199999999999995E-2</v>
      </c>
      <c r="C372" s="2" t="s">
        <v>5</v>
      </c>
      <c r="D372" s="2">
        <v>-1</v>
      </c>
      <c r="E372" s="2">
        <v>99.97</v>
      </c>
      <c r="F372" s="3">
        <v>371</v>
      </c>
      <c r="G372" s="3">
        <f t="shared" si="26"/>
        <v>-0.11199999999999477</v>
      </c>
      <c r="H372" s="3">
        <f t="shared" si="27"/>
        <v>-1.1522633744855431</v>
      </c>
      <c r="I372" s="3">
        <f t="shared" si="28"/>
        <v>0.11199999999999477</v>
      </c>
      <c r="J372" s="3">
        <f t="shared" si="25"/>
        <v>108.25547445255475</v>
      </c>
      <c r="K372" s="29">
        <f t="shared" si="29"/>
        <v>4.6844939379138379</v>
      </c>
    </row>
    <row r="373" spans="1:11" x14ac:dyDescent="0.3">
      <c r="A373" s="28">
        <v>0.26679199999999997</v>
      </c>
      <c r="B373" s="3">
        <v>0.1115</v>
      </c>
      <c r="C373" s="3">
        <v>10</v>
      </c>
      <c r="D373" s="3">
        <v>-1</v>
      </c>
      <c r="E373" s="3">
        <v>99.858000000000004</v>
      </c>
      <c r="F373" s="2">
        <v>372</v>
      </c>
      <c r="G373" s="2">
        <f t="shared" si="26"/>
        <v>-1.9000000000005457E-2</v>
      </c>
      <c r="H373" s="2">
        <f t="shared" si="27"/>
        <v>-0.17040358744399511</v>
      </c>
      <c r="I373" s="2">
        <f t="shared" si="28"/>
        <v>1.9000000000005457E-2</v>
      </c>
      <c r="J373" s="2">
        <f t="shared" si="25"/>
        <v>10</v>
      </c>
      <c r="K373" s="27">
        <f t="shared" si="29"/>
        <v>2.3025850929940459</v>
      </c>
    </row>
    <row r="374" spans="1:11" x14ac:dyDescent="0.3">
      <c r="A374" s="26">
        <v>0.26741300000000001</v>
      </c>
      <c r="B374" s="2">
        <v>9.2700000000000005E-2</v>
      </c>
      <c r="C374" s="2" t="s">
        <v>5</v>
      </c>
      <c r="D374" s="2">
        <v>1</v>
      </c>
      <c r="E374" s="2">
        <v>99.838999999999999</v>
      </c>
      <c r="F374" s="3">
        <v>373</v>
      </c>
      <c r="G374" s="3">
        <f t="shared" si="26"/>
        <v>0.12099999999999511</v>
      </c>
      <c r="H374" s="3">
        <f t="shared" si="27"/>
        <v>1.3052858683926116</v>
      </c>
      <c r="I374" s="3">
        <f t="shared" si="28"/>
        <v>0.12099999999999511</v>
      </c>
      <c r="J374" s="3">
        <f t="shared" si="25"/>
        <v>108.25547445255475</v>
      </c>
      <c r="K374" s="29">
        <f t="shared" si="29"/>
        <v>4.6844939379138379</v>
      </c>
    </row>
    <row r="375" spans="1:11" x14ac:dyDescent="0.3">
      <c r="A375" s="28">
        <v>0.26793800000000001</v>
      </c>
      <c r="B375" s="3">
        <v>9.8900000000000002E-2</v>
      </c>
      <c r="C375" s="3" t="s">
        <v>5</v>
      </c>
      <c r="D375" s="3">
        <v>1</v>
      </c>
      <c r="E375" s="3">
        <v>99.96</v>
      </c>
      <c r="F375" s="2">
        <v>374</v>
      </c>
      <c r="G375" s="2">
        <f t="shared" si="26"/>
        <v>9.200000000001296E-2</v>
      </c>
      <c r="H375" s="2">
        <f t="shared" si="27"/>
        <v>0.93023255813966588</v>
      </c>
      <c r="I375" s="2">
        <f t="shared" si="28"/>
        <v>9.200000000001296E-2</v>
      </c>
      <c r="J375" s="2">
        <f t="shared" si="25"/>
        <v>108.25547445255475</v>
      </c>
      <c r="K375" s="27">
        <f t="shared" si="29"/>
        <v>4.6844939379138379</v>
      </c>
    </row>
    <row r="376" spans="1:11" x14ac:dyDescent="0.3">
      <c r="A376" s="26">
        <v>0.27000200000000002</v>
      </c>
      <c r="B376" s="2">
        <v>9.2999999999999999E-2</v>
      </c>
      <c r="C376" s="2" t="s">
        <v>5</v>
      </c>
      <c r="D376" s="2">
        <v>1</v>
      </c>
      <c r="E376" s="2">
        <v>100.05200000000001</v>
      </c>
      <c r="F376" s="2">
        <v>375</v>
      </c>
      <c r="G376" s="2">
        <f t="shared" si="26"/>
        <v>2.8999999999996362E-2</v>
      </c>
      <c r="H376" s="2">
        <f t="shared" si="27"/>
        <v>0.31182795698920818</v>
      </c>
      <c r="I376" s="2">
        <f t="shared" si="28"/>
        <v>2.8999999999996362E-2</v>
      </c>
      <c r="J376" s="2">
        <f t="shared" si="25"/>
        <v>108.25547445255475</v>
      </c>
      <c r="K376" s="27">
        <f t="shared" si="29"/>
        <v>4.6844939379138379</v>
      </c>
    </row>
    <row r="377" spans="1:11" x14ac:dyDescent="0.3">
      <c r="A377" s="28">
        <v>0.27004600000000001</v>
      </c>
      <c r="B377" s="3">
        <v>0.10249999999999999</v>
      </c>
      <c r="C377" s="3">
        <v>57</v>
      </c>
      <c r="D377" s="3">
        <v>1</v>
      </c>
      <c r="E377" s="3">
        <v>100.081</v>
      </c>
      <c r="F377" s="3">
        <v>376</v>
      </c>
      <c r="G377" s="3">
        <f t="shared" si="26"/>
        <v>3.0000000000001137E-2</v>
      </c>
      <c r="H377" s="3">
        <f t="shared" si="27"/>
        <v>0.29268292682927938</v>
      </c>
      <c r="I377" s="3">
        <f t="shared" si="28"/>
        <v>3.0000000000001137E-2</v>
      </c>
      <c r="J377" s="3">
        <f t="shared" si="25"/>
        <v>57</v>
      </c>
      <c r="K377" s="29">
        <f t="shared" si="29"/>
        <v>4.0430512678345503</v>
      </c>
    </row>
    <row r="378" spans="1:11" x14ac:dyDescent="0.3">
      <c r="A378" s="26">
        <v>0.27341399999999999</v>
      </c>
      <c r="B378" s="2">
        <v>0.1082</v>
      </c>
      <c r="C378" s="2" t="s">
        <v>5</v>
      </c>
      <c r="D378" s="2">
        <v>1</v>
      </c>
      <c r="E378" s="2">
        <v>100.111</v>
      </c>
      <c r="F378" s="2">
        <v>377</v>
      </c>
      <c r="G378" s="2">
        <f t="shared" si="26"/>
        <v>8.1999999999993634E-2</v>
      </c>
      <c r="H378" s="2">
        <f t="shared" si="27"/>
        <v>0.75785582255077288</v>
      </c>
      <c r="I378" s="2">
        <f t="shared" si="28"/>
        <v>8.1999999999993634E-2</v>
      </c>
      <c r="J378" s="2">
        <f t="shared" si="25"/>
        <v>108.25547445255475</v>
      </c>
      <c r="K378" s="27">
        <f t="shared" si="29"/>
        <v>4.6844939379138379</v>
      </c>
    </row>
    <row r="379" spans="1:11" x14ac:dyDescent="0.3">
      <c r="A379" s="28">
        <v>0.27443600000000001</v>
      </c>
      <c r="B379" s="3">
        <v>9.4899999999999998E-2</v>
      </c>
      <c r="C379" s="3" t="s">
        <v>5</v>
      </c>
      <c r="D379" s="3">
        <v>1</v>
      </c>
      <c r="E379" s="3">
        <v>100.193</v>
      </c>
      <c r="F379" s="3">
        <v>378</v>
      </c>
      <c r="G379" s="3">
        <f t="shared" si="26"/>
        <v>6.3000000000002387E-2</v>
      </c>
      <c r="H379" s="3">
        <f t="shared" si="27"/>
        <v>0.66385669125397673</v>
      </c>
      <c r="I379" s="3">
        <f t="shared" si="28"/>
        <v>6.3000000000002387E-2</v>
      </c>
      <c r="J379" s="3">
        <f t="shared" si="25"/>
        <v>108.25547445255475</v>
      </c>
      <c r="K379" s="29">
        <f t="shared" si="29"/>
        <v>4.6844939379138379</v>
      </c>
    </row>
    <row r="380" spans="1:11" x14ac:dyDescent="0.3">
      <c r="A380" s="26">
        <v>0.27556700000000001</v>
      </c>
      <c r="B380" s="2">
        <v>9.1700000000000004E-2</v>
      </c>
      <c r="C380" s="2" t="s">
        <v>5</v>
      </c>
      <c r="D380" s="2">
        <v>-1</v>
      </c>
      <c r="E380" s="2">
        <v>100.256</v>
      </c>
      <c r="F380" s="2">
        <v>379</v>
      </c>
      <c r="G380" s="2">
        <f t="shared" si="26"/>
        <v>-4.8000000000001819E-2</v>
      </c>
      <c r="H380" s="2">
        <f t="shared" si="27"/>
        <v>-0.52344601962924553</v>
      </c>
      <c r="I380" s="2">
        <f t="shared" si="28"/>
        <v>4.8000000000001819E-2</v>
      </c>
      <c r="J380" s="2">
        <f t="shared" si="25"/>
        <v>108.25547445255475</v>
      </c>
      <c r="K380" s="27">
        <f t="shared" si="29"/>
        <v>4.6844939379138379</v>
      </c>
    </row>
    <row r="381" spans="1:11" x14ac:dyDescent="0.3">
      <c r="A381" s="28">
        <v>0.27761799999999998</v>
      </c>
      <c r="B381" s="3">
        <v>8.77E-2</v>
      </c>
      <c r="C381" s="3" t="s">
        <v>5</v>
      </c>
      <c r="D381" s="3">
        <v>-1</v>
      </c>
      <c r="E381" s="3">
        <v>100.208</v>
      </c>
      <c r="F381" s="3">
        <v>380</v>
      </c>
      <c r="G381" s="3">
        <f t="shared" si="26"/>
        <v>-7.2999999999993292E-2</v>
      </c>
      <c r="H381" s="3">
        <f t="shared" si="27"/>
        <v>-0.83238312428726668</v>
      </c>
      <c r="I381" s="3">
        <f t="shared" si="28"/>
        <v>7.2999999999993292E-2</v>
      </c>
      <c r="J381" s="3">
        <f t="shared" si="25"/>
        <v>108.25547445255475</v>
      </c>
      <c r="K381" s="29">
        <f t="shared" si="29"/>
        <v>4.6844939379138379</v>
      </c>
    </row>
    <row r="382" spans="1:11" x14ac:dyDescent="0.3">
      <c r="A382" s="26">
        <v>0.2782</v>
      </c>
      <c r="B382" s="2">
        <v>0.1011</v>
      </c>
      <c r="C382" s="2" t="s">
        <v>5</v>
      </c>
      <c r="D382" s="2">
        <v>-1</v>
      </c>
      <c r="E382" s="2">
        <v>100.13500000000001</v>
      </c>
      <c r="F382" s="2">
        <v>381</v>
      </c>
      <c r="G382" s="2">
        <f t="shared" si="26"/>
        <v>-1.8000000000000682E-2</v>
      </c>
      <c r="H382" s="2">
        <f t="shared" si="27"/>
        <v>-0.17804154302671299</v>
      </c>
      <c r="I382" s="2">
        <f t="shared" si="28"/>
        <v>1.8000000000000682E-2</v>
      </c>
      <c r="J382" s="2">
        <f t="shared" si="25"/>
        <v>108.25547445255475</v>
      </c>
      <c r="K382" s="27">
        <f t="shared" si="29"/>
        <v>4.6844939379138379</v>
      </c>
    </row>
    <row r="383" spans="1:11" x14ac:dyDescent="0.3">
      <c r="A383" s="28">
        <v>0.27840199999999998</v>
      </c>
      <c r="B383" s="3">
        <v>7.8E-2</v>
      </c>
      <c r="C383" s="3" t="s">
        <v>5</v>
      </c>
      <c r="D383" s="3">
        <v>1</v>
      </c>
      <c r="E383" s="3">
        <v>100.117</v>
      </c>
      <c r="F383" s="3">
        <v>382</v>
      </c>
      <c r="G383" s="3">
        <f t="shared" si="26"/>
        <v>6.3000000000002387E-2</v>
      </c>
      <c r="H383" s="3">
        <f t="shared" si="27"/>
        <v>0.80769230769233835</v>
      </c>
      <c r="I383" s="3">
        <f t="shared" si="28"/>
        <v>6.3000000000002387E-2</v>
      </c>
      <c r="J383" s="3">
        <f t="shared" si="25"/>
        <v>108.25547445255475</v>
      </c>
      <c r="K383" s="29">
        <f t="shared" si="29"/>
        <v>4.6844939379138379</v>
      </c>
    </row>
    <row r="384" spans="1:11" x14ac:dyDescent="0.3">
      <c r="A384" s="26">
        <v>0.27895900000000001</v>
      </c>
      <c r="B384" s="2">
        <v>9.8199999999999996E-2</v>
      </c>
      <c r="C384" s="2" t="s">
        <v>5</v>
      </c>
      <c r="D384" s="2">
        <v>1</v>
      </c>
      <c r="E384" s="2">
        <v>100.18</v>
      </c>
      <c r="F384" s="2">
        <v>383</v>
      </c>
      <c r="G384" s="2">
        <f t="shared" si="26"/>
        <v>2.2999999999996135E-2</v>
      </c>
      <c r="H384" s="2">
        <f t="shared" si="27"/>
        <v>0.23421588594700748</v>
      </c>
      <c r="I384" s="2">
        <f t="shared" si="28"/>
        <v>2.2999999999996135E-2</v>
      </c>
      <c r="J384" s="2">
        <f t="shared" si="25"/>
        <v>108.25547445255475</v>
      </c>
      <c r="K384" s="27">
        <f t="shared" si="29"/>
        <v>4.6844939379138379</v>
      </c>
    </row>
    <row r="385" spans="1:11" x14ac:dyDescent="0.3">
      <c r="A385" s="28">
        <v>0.27898200000000001</v>
      </c>
      <c r="B385" s="3">
        <v>0.1119</v>
      </c>
      <c r="C385" s="3" t="s">
        <v>5</v>
      </c>
      <c r="D385" s="3">
        <v>-1</v>
      </c>
      <c r="E385" s="3">
        <v>100.203</v>
      </c>
      <c r="F385" s="3">
        <v>384</v>
      </c>
      <c r="G385" s="3">
        <f t="shared" si="26"/>
        <v>-3.7999999999996703E-2</v>
      </c>
      <c r="H385" s="3">
        <f t="shared" si="27"/>
        <v>-0.33958891867736107</v>
      </c>
      <c r="I385" s="3">
        <f t="shared" si="28"/>
        <v>3.7999999999996703E-2</v>
      </c>
      <c r="J385" s="3">
        <f t="shared" si="25"/>
        <v>108.25547445255475</v>
      </c>
      <c r="K385" s="29">
        <f t="shared" si="29"/>
        <v>4.6844939379138379</v>
      </c>
    </row>
    <row r="386" spans="1:11" x14ac:dyDescent="0.3">
      <c r="A386" s="26">
        <v>0.27917799999999998</v>
      </c>
      <c r="B386" s="2">
        <v>0.1052</v>
      </c>
      <c r="C386" s="2" t="s">
        <v>5</v>
      </c>
      <c r="D386" s="2">
        <v>1</v>
      </c>
      <c r="E386" s="2">
        <v>100.16500000000001</v>
      </c>
      <c r="F386" s="2">
        <v>385</v>
      </c>
      <c r="G386" s="2">
        <f t="shared" si="26"/>
        <v>8.7999999999993861E-2</v>
      </c>
      <c r="H386" s="2">
        <f t="shared" si="27"/>
        <v>0.83650190114062606</v>
      </c>
      <c r="I386" s="2">
        <f t="shared" si="28"/>
        <v>8.7999999999993861E-2</v>
      </c>
      <c r="J386" s="2">
        <f t="shared" ref="J386:J449" si="30">IF(C386="",$AA$1,C386)</f>
        <v>108.25547445255475</v>
      </c>
      <c r="K386" s="27">
        <f t="shared" si="29"/>
        <v>4.6844939379138379</v>
      </c>
    </row>
    <row r="387" spans="1:11" x14ac:dyDescent="0.3">
      <c r="A387" s="28">
        <v>0.27994000000000002</v>
      </c>
      <c r="B387" s="3">
        <v>0.1123</v>
      </c>
      <c r="C387" s="3" t="s">
        <v>5</v>
      </c>
      <c r="D387" s="3">
        <v>-1</v>
      </c>
      <c r="E387" s="3">
        <v>100.253</v>
      </c>
      <c r="F387" s="3">
        <v>386</v>
      </c>
      <c r="G387" s="3">
        <f t="shared" ref="G387:G450" si="31">E388-E387</f>
        <v>-1.9000000000005457E-2</v>
      </c>
      <c r="H387" s="3">
        <f t="shared" ref="H387:H450" si="32">IF(B387&lt;&gt;0,G387/B387,"")</f>
        <v>-0.16918967052542705</v>
      </c>
      <c r="I387" s="3">
        <f t="shared" ref="I387:I450" si="33">D387*G387</f>
        <v>1.9000000000005457E-2</v>
      </c>
      <c r="J387" s="3">
        <f t="shared" si="30"/>
        <v>108.25547445255475</v>
      </c>
      <c r="K387" s="29">
        <f t="shared" ref="K387:K450" si="34">LN(J387)</f>
        <v>4.6844939379138379</v>
      </c>
    </row>
    <row r="388" spans="1:11" x14ac:dyDescent="0.3">
      <c r="A388" s="26">
        <v>0.280111</v>
      </c>
      <c r="B388" s="2">
        <v>0.1071</v>
      </c>
      <c r="C388" s="2" t="s">
        <v>5</v>
      </c>
      <c r="D388" s="2">
        <v>1</v>
      </c>
      <c r="E388" s="2">
        <v>100.23399999999999</v>
      </c>
      <c r="F388" s="2">
        <v>387</v>
      </c>
      <c r="G388" s="2">
        <f t="shared" si="31"/>
        <v>4.4000000000011141E-2</v>
      </c>
      <c r="H388" s="2">
        <f t="shared" si="32"/>
        <v>0.4108309990663972</v>
      </c>
      <c r="I388" s="2">
        <f t="shared" si="33"/>
        <v>4.4000000000011141E-2</v>
      </c>
      <c r="J388" s="2">
        <f t="shared" si="30"/>
        <v>108.25547445255475</v>
      </c>
      <c r="K388" s="27">
        <f t="shared" si="34"/>
        <v>4.6844939379138379</v>
      </c>
    </row>
    <row r="389" spans="1:11" x14ac:dyDescent="0.3">
      <c r="A389" s="28">
        <v>0.28095300000000001</v>
      </c>
      <c r="B389" s="3">
        <v>9.0899999999999995E-2</v>
      </c>
      <c r="C389" s="3" t="s">
        <v>5</v>
      </c>
      <c r="D389" s="3">
        <v>-1</v>
      </c>
      <c r="E389" s="3">
        <v>100.27800000000001</v>
      </c>
      <c r="F389" s="3">
        <v>388</v>
      </c>
      <c r="G389" s="3">
        <f t="shared" si="31"/>
        <v>-1.6000000000005343E-2</v>
      </c>
      <c r="H389" s="3">
        <f t="shared" si="32"/>
        <v>-0.17601760176023482</v>
      </c>
      <c r="I389" s="3">
        <f t="shared" si="33"/>
        <v>1.6000000000005343E-2</v>
      </c>
      <c r="J389" s="3">
        <f t="shared" si="30"/>
        <v>108.25547445255475</v>
      </c>
      <c r="K389" s="29">
        <f t="shared" si="34"/>
        <v>4.6844939379138379</v>
      </c>
    </row>
    <row r="390" spans="1:11" x14ac:dyDescent="0.3">
      <c r="A390" s="26">
        <v>0.28150900000000001</v>
      </c>
      <c r="B390" s="2">
        <v>9.3700000000000006E-2</v>
      </c>
      <c r="C390" s="2" t="s">
        <v>5</v>
      </c>
      <c r="D390" s="2">
        <v>-1</v>
      </c>
      <c r="E390" s="2">
        <v>100.262</v>
      </c>
      <c r="F390" s="2">
        <v>389</v>
      </c>
      <c r="G390" s="2">
        <f t="shared" si="31"/>
        <v>-3.0000000000001137E-2</v>
      </c>
      <c r="H390" s="2">
        <f t="shared" si="32"/>
        <v>-0.32017075773747211</v>
      </c>
      <c r="I390" s="2">
        <f t="shared" si="33"/>
        <v>3.0000000000001137E-2</v>
      </c>
      <c r="J390" s="2">
        <f t="shared" si="30"/>
        <v>108.25547445255475</v>
      </c>
      <c r="K390" s="27">
        <f t="shared" si="34"/>
        <v>4.6844939379138379</v>
      </c>
    </row>
    <row r="391" spans="1:11" x14ac:dyDescent="0.3">
      <c r="A391" s="28">
        <v>0.28338799999999997</v>
      </c>
      <c r="B391" s="3">
        <v>9.9099999999999994E-2</v>
      </c>
      <c r="C391" s="3" t="s">
        <v>5</v>
      </c>
      <c r="D391" s="3">
        <v>-1</v>
      </c>
      <c r="E391" s="3">
        <v>100.232</v>
      </c>
      <c r="F391" s="3">
        <v>390</v>
      </c>
      <c r="G391" s="3">
        <f t="shared" si="31"/>
        <v>-8.2999999999998408E-2</v>
      </c>
      <c r="H391" s="3">
        <f t="shared" si="32"/>
        <v>-0.83753784056506975</v>
      </c>
      <c r="I391" s="3">
        <f t="shared" si="33"/>
        <v>8.2999999999998408E-2</v>
      </c>
      <c r="J391" s="3">
        <f t="shared" si="30"/>
        <v>108.25547445255475</v>
      </c>
      <c r="K391" s="29">
        <f t="shared" si="34"/>
        <v>4.6844939379138379</v>
      </c>
    </row>
    <row r="392" spans="1:11" x14ac:dyDescent="0.3">
      <c r="A392" s="26">
        <v>0.283827</v>
      </c>
      <c r="B392" s="2">
        <v>0.1096</v>
      </c>
      <c r="C392" s="2" t="s">
        <v>5</v>
      </c>
      <c r="D392" s="2">
        <v>1</v>
      </c>
      <c r="E392" s="2">
        <v>100.149</v>
      </c>
      <c r="F392" s="2">
        <v>391</v>
      </c>
      <c r="G392" s="2">
        <f t="shared" si="31"/>
        <v>0.12800000000000011</v>
      </c>
      <c r="H392" s="2">
        <f t="shared" si="32"/>
        <v>1.1678832116788331</v>
      </c>
      <c r="I392" s="2">
        <f t="shared" si="33"/>
        <v>0.12800000000000011</v>
      </c>
      <c r="J392" s="2">
        <f t="shared" si="30"/>
        <v>108.25547445255475</v>
      </c>
      <c r="K392" s="27">
        <f t="shared" si="34"/>
        <v>4.6844939379138379</v>
      </c>
    </row>
    <row r="393" spans="1:11" x14ac:dyDescent="0.3">
      <c r="A393" s="28">
        <v>0.28436699999999998</v>
      </c>
      <c r="B393" s="3">
        <v>8.3799999999999999E-2</v>
      </c>
      <c r="C393" s="3" t="s">
        <v>5</v>
      </c>
      <c r="D393" s="3">
        <v>1</v>
      </c>
      <c r="E393" s="3">
        <v>100.277</v>
      </c>
      <c r="F393" s="2">
        <v>392</v>
      </c>
      <c r="G393" s="2">
        <f t="shared" si="31"/>
        <v>2.8999999999996362E-2</v>
      </c>
      <c r="H393" s="2">
        <f t="shared" si="32"/>
        <v>0.3460620525059232</v>
      </c>
      <c r="I393" s="2">
        <f t="shared" si="33"/>
        <v>2.8999999999996362E-2</v>
      </c>
      <c r="J393" s="2">
        <f t="shared" si="30"/>
        <v>108.25547445255475</v>
      </c>
      <c r="K393" s="27">
        <f t="shared" si="34"/>
        <v>4.6844939379138379</v>
      </c>
    </row>
    <row r="394" spans="1:11" x14ac:dyDescent="0.3">
      <c r="A394" s="26">
        <v>0.28554000000000002</v>
      </c>
      <c r="B394" s="2">
        <v>0.10680000000000001</v>
      </c>
      <c r="C394" s="2" t="s">
        <v>5</v>
      </c>
      <c r="D394" s="2">
        <v>1</v>
      </c>
      <c r="E394" s="2">
        <v>100.306</v>
      </c>
      <c r="F394" s="3">
        <v>393</v>
      </c>
      <c r="G394" s="3">
        <f t="shared" si="31"/>
        <v>2.7000000000001023E-2</v>
      </c>
      <c r="H394" s="3">
        <f t="shared" si="32"/>
        <v>0.2528089887640545</v>
      </c>
      <c r="I394" s="3">
        <f t="shared" si="33"/>
        <v>2.7000000000001023E-2</v>
      </c>
      <c r="J394" s="3">
        <f t="shared" si="30"/>
        <v>108.25547445255475</v>
      </c>
      <c r="K394" s="29">
        <f t="shared" si="34"/>
        <v>4.6844939379138379</v>
      </c>
    </row>
    <row r="395" spans="1:11" x14ac:dyDescent="0.3">
      <c r="A395" s="28">
        <v>0.285717</v>
      </c>
      <c r="B395" s="3">
        <v>8.8200000000000001E-2</v>
      </c>
      <c r="C395" s="3">
        <v>18</v>
      </c>
      <c r="D395" s="3">
        <v>-1</v>
      </c>
      <c r="E395" s="3">
        <v>100.333</v>
      </c>
      <c r="F395" s="2">
        <v>394</v>
      </c>
      <c r="G395" s="2">
        <f t="shared" si="31"/>
        <v>-3.6999999999991928E-2</v>
      </c>
      <c r="H395" s="2">
        <f t="shared" si="32"/>
        <v>-0.41950113378675657</v>
      </c>
      <c r="I395" s="2">
        <f t="shared" si="33"/>
        <v>3.6999999999991928E-2</v>
      </c>
      <c r="J395" s="2">
        <f t="shared" si="30"/>
        <v>18</v>
      </c>
      <c r="K395" s="27">
        <f t="shared" si="34"/>
        <v>2.8903717578961645</v>
      </c>
    </row>
    <row r="396" spans="1:11" x14ac:dyDescent="0.3">
      <c r="A396" s="26">
        <v>0.290657</v>
      </c>
      <c r="B396" s="2">
        <v>7.51E-2</v>
      </c>
      <c r="C396" s="2" t="s">
        <v>5</v>
      </c>
      <c r="D396" s="2">
        <v>1</v>
      </c>
      <c r="E396" s="2">
        <v>100.29600000000001</v>
      </c>
      <c r="F396" s="3">
        <v>395</v>
      </c>
      <c r="G396" s="3">
        <f t="shared" si="31"/>
        <v>6.8999999999988404E-2</v>
      </c>
      <c r="H396" s="3">
        <f t="shared" si="32"/>
        <v>0.91877496671089753</v>
      </c>
      <c r="I396" s="3">
        <f t="shared" si="33"/>
        <v>6.8999999999988404E-2</v>
      </c>
      <c r="J396" s="3">
        <f t="shared" si="30"/>
        <v>108.25547445255475</v>
      </c>
      <c r="K396" s="29">
        <f t="shared" si="34"/>
        <v>4.6844939379138379</v>
      </c>
    </row>
    <row r="397" spans="1:11" x14ac:dyDescent="0.3">
      <c r="A397" s="28">
        <v>0.293244</v>
      </c>
      <c r="B397" s="3">
        <v>0.1053</v>
      </c>
      <c r="C397" s="3" t="s">
        <v>5</v>
      </c>
      <c r="D397" s="3">
        <v>-1</v>
      </c>
      <c r="E397" s="3">
        <v>100.36499999999999</v>
      </c>
      <c r="F397" s="2">
        <v>396</v>
      </c>
      <c r="G397" s="2">
        <f t="shared" si="31"/>
        <v>-4.8999999999992383E-2</v>
      </c>
      <c r="H397" s="2">
        <f t="shared" si="32"/>
        <v>-0.46533713200372634</v>
      </c>
      <c r="I397" s="2">
        <f t="shared" si="33"/>
        <v>4.8999999999992383E-2</v>
      </c>
      <c r="J397" s="2">
        <f t="shared" si="30"/>
        <v>108.25547445255475</v>
      </c>
      <c r="K397" s="27">
        <f t="shared" si="34"/>
        <v>4.6844939379138379</v>
      </c>
    </row>
    <row r="398" spans="1:11" x14ac:dyDescent="0.3">
      <c r="A398" s="26">
        <v>0.293379</v>
      </c>
      <c r="B398" s="2">
        <v>9.4299999999999995E-2</v>
      </c>
      <c r="C398" s="2" t="s">
        <v>5</v>
      </c>
      <c r="D398" s="2">
        <v>-1</v>
      </c>
      <c r="E398" s="2">
        <v>100.316</v>
      </c>
      <c r="F398" s="3">
        <v>397</v>
      </c>
      <c r="G398" s="3">
        <f t="shared" si="31"/>
        <v>-7.0999999999997954E-2</v>
      </c>
      <c r="H398" s="3">
        <f t="shared" si="32"/>
        <v>-0.75291622481440035</v>
      </c>
      <c r="I398" s="3">
        <f t="shared" si="33"/>
        <v>7.0999999999997954E-2</v>
      </c>
      <c r="J398" s="3">
        <f t="shared" si="30"/>
        <v>108.25547445255475</v>
      </c>
      <c r="K398" s="29">
        <f t="shared" si="34"/>
        <v>4.6844939379138379</v>
      </c>
    </row>
    <row r="399" spans="1:11" x14ac:dyDescent="0.3">
      <c r="A399" s="28">
        <v>0.29355399999999998</v>
      </c>
      <c r="B399" s="3">
        <v>8.7800000000000003E-2</v>
      </c>
      <c r="C399" s="3" t="s">
        <v>5</v>
      </c>
      <c r="D399" s="3">
        <v>-1</v>
      </c>
      <c r="E399" s="3">
        <v>100.245</v>
      </c>
      <c r="F399" s="2">
        <v>398</v>
      </c>
      <c r="G399" s="2">
        <f t="shared" si="31"/>
        <v>-9.1000000000008185E-2</v>
      </c>
      <c r="H399" s="2">
        <f t="shared" si="32"/>
        <v>-1.0364464692483848</v>
      </c>
      <c r="I399" s="2">
        <f t="shared" si="33"/>
        <v>9.1000000000008185E-2</v>
      </c>
      <c r="J399" s="2">
        <f t="shared" si="30"/>
        <v>108.25547445255475</v>
      </c>
      <c r="K399" s="27">
        <f t="shared" si="34"/>
        <v>4.6844939379138379</v>
      </c>
    </row>
    <row r="400" spans="1:11" x14ac:dyDescent="0.3">
      <c r="A400" s="26">
        <v>0.29497000000000001</v>
      </c>
      <c r="B400" s="2">
        <v>8.7300000000000003E-2</v>
      </c>
      <c r="C400" s="2" t="s">
        <v>5</v>
      </c>
      <c r="D400" s="2">
        <v>1</v>
      </c>
      <c r="E400" s="2">
        <v>100.154</v>
      </c>
      <c r="F400" s="3">
        <v>399</v>
      </c>
      <c r="G400" s="3">
        <f t="shared" si="31"/>
        <v>7.0999999999997954E-2</v>
      </c>
      <c r="H400" s="3">
        <f t="shared" si="32"/>
        <v>0.81328751431841872</v>
      </c>
      <c r="I400" s="3">
        <f t="shared" si="33"/>
        <v>7.0999999999997954E-2</v>
      </c>
      <c r="J400" s="3">
        <f t="shared" si="30"/>
        <v>108.25547445255475</v>
      </c>
      <c r="K400" s="29">
        <f t="shared" si="34"/>
        <v>4.6844939379138379</v>
      </c>
    </row>
    <row r="401" spans="1:11" x14ac:dyDescent="0.3">
      <c r="A401" s="28">
        <v>0.29554900000000001</v>
      </c>
      <c r="B401" s="3">
        <v>9.4899999999999998E-2</v>
      </c>
      <c r="C401" s="3" t="s">
        <v>5</v>
      </c>
      <c r="D401" s="3">
        <v>1</v>
      </c>
      <c r="E401" s="3">
        <v>100.22499999999999</v>
      </c>
      <c r="F401" s="2">
        <v>400</v>
      </c>
      <c r="G401" s="2">
        <f t="shared" si="31"/>
        <v>6.4000000000007162E-2</v>
      </c>
      <c r="H401" s="2">
        <f t="shared" si="32"/>
        <v>0.67439409905170877</v>
      </c>
      <c r="I401" s="2">
        <f t="shared" si="33"/>
        <v>6.4000000000007162E-2</v>
      </c>
      <c r="J401" s="2">
        <f t="shared" si="30"/>
        <v>108.25547445255475</v>
      </c>
      <c r="K401" s="27">
        <f t="shared" si="34"/>
        <v>4.6844939379138379</v>
      </c>
    </row>
    <row r="402" spans="1:11" x14ac:dyDescent="0.3">
      <c r="A402" s="26">
        <v>0.29582999999999998</v>
      </c>
      <c r="B402" s="2">
        <v>0.10639999999999999</v>
      </c>
      <c r="C402" s="2" t="s">
        <v>5</v>
      </c>
      <c r="D402" s="2">
        <v>-1</v>
      </c>
      <c r="E402" s="2">
        <v>100.289</v>
      </c>
      <c r="F402" s="3">
        <v>401</v>
      </c>
      <c r="G402" s="3">
        <f t="shared" si="31"/>
        <v>-0.13700000000000045</v>
      </c>
      <c r="H402" s="3">
        <f t="shared" si="32"/>
        <v>-1.2875939849624103</v>
      </c>
      <c r="I402" s="3">
        <f t="shared" si="33"/>
        <v>0.13700000000000045</v>
      </c>
      <c r="J402" s="3">
        <f t="shared" si="30"/>
        <v>108.25547445255475</v>
      </c>
      <c r="K402" s="29">
        <f t="shared" si="34"/>
        <v>4.6844939379138379</v>
      </c>
    </row>
    <row r="403" spans="1:11" x14ac:dyDescent="0.3">
      <c r="A403" s="28">
        <v>0.29718299999999997</v>
      </c>
      <c r="B403" s="3">
        <v>0.1055</v>
      </c>
      <c r="C403" s="3" t="s">
        <v>5</v>
      </c>
      <c r="D403" s="3">
        <v>-1</v>
      </c>
      <c r="E403" s="3">
        <v>100.152</v>
      </c>
      <c r="F403" s="2">
        <v>402</v>
      </c>
      <c r="G403" s="2">
        <f t="shared" si="31"/>
        <v>-9.6000000000003638E-2</v>
      </c>
      <c r="H403" s="2">
        <f t="shared" si="32"/>
        <v>-0.90995260663510558</v>
      </c>
      <c r="I403" s="2">
        <f t="shared" si="33"/>
        <v>9.6000000000003638E-2</v>
      </c>
      <c r="J403" s="2">
        <f t="shared" si="30"/>
        <v>108.25547445255475</v>
      </c>
      <c r="K403" s="27">
        <f t="shared" si="34"/>
        <v>4.6844939379138379</v>
      </c>
    </row>
    <row r="404" spans="1:11" x14ac:dyDescent="0.3">
      <c r="A404" s="26">
        <v>0.29780099999999998</v>
      </c>
      <c r="B404" s="2">
        <v>9.5399999999999999E-2</v>
      </c>
      <c r="C404" s="2" t="s">
        <v>5</v>
      </c>
      <c r="D404" s="2">
        <v>1</v>
      </c>
      <c r="E404" s="2">
        <v>100.056</v>
      </c>
      <c r="F404" s="3">
        <v>403</v>
      </c>
      <c r="G404" s="3">
        <f t="shared" si="31"/>
        <v>7.2000000000002728E-2</v>
      </c>
      <c r="H404" s="3">
        <f t="shared" si="32"/>
        <v>0.75471698113210406</v>
      </c>
      <c r="I404" s="3">
        <f t="shared" si="33"/>
        <v>7.2000000000002728E-2</v>
      </c>
      <c r="J404" s="3">
        <f t="shared" si="30"/>
        <v>108.25547445255475</v>
      </c>
      <c r="K404" s="29">
        <f t="shared" si="34"/>
        <v>4.6844939379138379</v>
      </c>
    </row>
    <row r="405" spans="1:11" x14ac:dyDescent="0.3">
      <c r="A405" s="28">
        <v>0.29792800000000003</v>
      </c>
      <c r="B405" s="3">
        <v>9.5100000000000004E-2</v>
      </c>
      <c r="C405" s="3" t="s">
        <v>5</v>
      </c>
      <c r="D405" s="3">
        <v>-1</v>
      </c>
      <c r="E405" s="3">
        <v>100.128</v>
      </c>
      <c r="F405" s="2">
        <v>404</v>
      </c>
      <c r="G405" s="2">
        <f t="shared" si="31"/>
        <v>-5.2000000000006708E-2</v>
      </c>
      <c r="H405" s="2">
        <f t="shared" si="32"/>
        <v>-0.54679284963203689</v>
      </c>
      <c r="I405" s="2">
        <f t="shared" si="33"/>
        <v>5.2000000000006708E-2</v>
      </c>
      <c r="J405" s="2">
        <f t="shared" si="30"/>
        <v>108.25547445255475</v>
      </c>
      <c r="K405" s="27">
        <f t="shared" si="34"/>
        <v>4.6844939379138379</v>
      </c>
    </row>
    <row r="406" spans="1:11" x14ac:dyDescent="0.3">
      <c r="A406" s="26">
        <v>0.298203</v>
      </c>
      <c r="B406" s="2">
        <v>9.3200000000000005E-2</v>
      </c>
      <c r="C406" s="2">
        <v>156</v>
      </c>
      <c r="D406" s="2">
        <v>-1</v>
      </c>
      <c r="E406" s="2">
        <v>100.07599999999999</v>
      </c>
      <c r="F406" s="3">
        <v>405</v>
      </c>
      <c r="G406" s="3">
        <f t="shared" si="31"/>
        <v>-8.5999999999998522E-2</v>
      </c>
      <c r="H406" s="3">
        <f t="shared" si="32"/>
        <v>-0.92274678111586395</v>
      </c>
      <c r="I406" s="3">
        <f t="shared" si="33"/>
        <v>8.5999999999998522E-2</v>
      </c>
      <c r="J406" s="3">
        <f t="shared" si="30"/>
        <v>156</v>
      </c>
      <c r="K406" s="29">
        <f t="shared" si="34"/>
        <v>5.0498560072495371</v>
      </c>
    </row>
    <row r="407" spans="1:11" x14ac:dyDescent="0.3">
      <c r="A407" s="28">
        <v>0.298454</v>
      </c>
      <c r="B407" s="3">
        <v>0.1255</v>
      </c>
      <c r="C407" s="3" t="s">
        <v>5</v>
      </c>
      <c r="D407" s="3">
        <v>-1</v>
      </c>
      <c r="E407" s="3">
        <v>99.99</v>
      </c>
      <c r="F407" s="2">
        <v>406</v>
      </c>
      <c r="G407" s="2">
        <f t="shared" si="31"/>
        <v>-3.0999999999991701E-2</v>
      </c>
      <c r="H407" s="2">
        <f t="shared" si="32"/>
        <v>-0.24701195219116892</v>
      </c>
      <c r="I407" s="2">
        <f t="shared" si="33"/>
        <v>3.0999999999991701E-2</v>
      </c>
      <c r="J407" s="2">
        <f t="shared" si="30"/>
        <v>108.25547445255475</v>
      </c>
      <c r="K407" s="27">
        <f t="shared" si="34"/>
        <v>4.6844939379138379</v>
      </c>
    </row>
    <row r="408" spans="1:11" x14ac:dyDescent="0.3">
      <c r="A408" s="26">
        <v>0.30110900000000002</v>
      </c>
      <c r="B408" s="2">
        <v>0.1075</v>
      </c>
      <c r="C408" s="2" t="s">
        <v>5</v>
      </c>
      <c r="D408" s="2">
        <v>1</v>
      </c>
      <c r="E408" s="2">
        <v>99.959000000000003</v>
      </c>
      <c r="F408" s="3">
        <v>407</v>
      </c>
      <c r="G408" s="3">
        <f t="shared" si="31"/>
        <v>0.11099999999999</v>
      </c>
      <c r="H408" s="3">
        <f t="shared" si="32"/>
        <v>1.0325581395347907</v>
      </c>
      <c r="I408" s="3">
        <f t="shared" si="33"/>
        <v>0.11099999999999</v>
      </c>
      <c r="J408" s="3">
        <f t="shared" si="30"/>
        <v>108.25547445255475</v>
      </c>
      <c r="K408" s="29">
        <f t="shared" si="34"/>
        <v>4.6844939379138379</v>
      </c>
    </row>
    <row r="409" spans="1:11" x14ac:dyDescent="0.3">
      <c r="A409" s="28">
        <v>0.30182700000000001</v>
      </c>
      <c r="B409" s="3">
        <v>0.10929999999999999</v>
      </c>
      <c r="C409" s="3" t="s">
        <v>5</v>
      </c>
      <c r="D409" s="3">
        <v>-1</v>
      </c>
      <c r="E409" s="3">
        <v>100.07</v>
      </c>
      <c r="F409" s="2">
        <v>408</v>
      </c>
      <c r="G409" s="2">
        <f t="shared" si="31"/>
        <v>-7.5999999999993406E-2</v>
      </c>
      <c r="H409" s="2">
        <f t="shared" si="32"/>
        <v>-0.69533394327532849</v>
      </c>
      <c r="I409" s="2">
        <f t="shared" si="33"/>
        <v>7.5999999999993406E-2</v>
      </c>
      <c r="J409" s="2">
        <f t="shared" si="30"/>
        <v>108.25547445255475</v>
      </c>
      <c r="K409" s="27">
        <f t="shared" si="34"/>
        <v>4.6844939379138379</v>
      </c>
    </row>
    <row r="410" spans="1:11" x14ac:dyDescent="0.3">
      <c r="A410" s="26">
        <v>0.30230000000000001</v>
      </c>
      <c r="B410" s="2">
        <v>8.6499999999999994E-2</v>
      </c>
      <c r="C410" s="2" t="s">
        <v>5</v>
      </c>
      <c r="D410" s="2">
        <v>1</v>
      </c>
      <c r="E410" s="2">
        <v>99.994</v>
      </c>
      <c r="F410" s="2">
        <v>409</v>
      </c>
      <c r="G410" s="2">
        <f t="shared" si="31"/>
        <v>3.3000000000001251E-2</v>
      </c>
      <c r="H410" s="2">
        <f t="shared" si="32"/>
        <v>0.38150289017342487</v>
      </c>
      <c r="I410" s="2">
        <f t="shared" si="33"/>
        <v>3.3000000000001251E-2</v>
      </c>
      <c r="J410" s="2">
        <f t="shared" si="30"/>
        <v>108.25547445255475</v>
      </c>
      <c r="K410" s="27">
        <f t="shared" si="34"/>
        <v>4.6844939379138379</v>
      </c>
    </row>
    <row r="411" spans="1:11" x14ac:dyDescent="0.3">
      <c r="A411" s="28">
        <v>0.30233100000000002</v>
      </c>
      <c r="B411" s="3">
        <v>0.1052</v>
      </c>
      <c r="C411" s="3" t="s">
        <v>5</v>
      </c>
      <c r="D411" s="3">
        <v>-1</v>
      </c>
      <c r="E411" s="3">
        <v>100.027</v>
      </c>
      <c r="F411" s="3">
        <v>410</v>
      </c>
      <c r="G411" s="3">
        <f t="shared" si="31"/>
        <v>-3.7000000000006139E-2</v>
      </c>
      <c r="H411" s="3">
        <f t="shared" si="32"/>
        <v>-0.35171102661602793</v>
      </c>
      <c r="I411" s="3">
        <f t="shared" si="33"/>
        <v>3.7000000000006139E-2</v>
      </c>
      <c r="J411" s="3">
        <f t="shared" si="30"/>
        <v>108.25547445255475</v>
      </c>
      <c r="K411" s="29">
        <f t="shared" si="34"/>
        <v>4.6844939379138379</v>
      </c>
    </row>
    <row r="412" spans="1:11" x14ac:dyDescent="0.3">
      <c r="A412" s="26">
        <v>0.30386999999999997</v>
      </c>
      <c r="B412" s="2">
        <v>0.1119</v>
      </c>
      <c r="C412" s="2" t="s">
        <v>5</v>
      </c>
      <c r="D412" s="2">
        <v>-1</v>
      </c>
      <c r="E412" s="2">
        <v>99.99</v>
      </c>
      <c r="F412" s="2">
        <v>411</v>
      </c>
      <c r="G412" s="2">
        <f t="shared" si="31"/>
        <v>-2.4000000000000909E-2</v>
      </c>
      <c r="H412" s="2">
        <f t="shared" si="32"/>
        <v>-0.21447721179625479</v>
      </c>
      <c r="I412" s="2">
        <f t="shared" si="33"/>
        <v>2.4000000000000909E-2</v>
      </c>
      <c r="J412" s="2">
        <f t="shared" si="30"/>
        <v>108.25547445255475</v>
      </c>
      <c r="K412" s="27">
        <f t="shared" si="34"/>
        <v>4.6844939379138379</v>
      </c>
    </row>
    <row r="413" spans="1:11" x14ac:dyDescent="0.3">
      <c r="A413" s="28">
        <v>0.30424200000000001</v>
      </c>
      <c r="B413" s="3">
        <v>0.1128</v>
      </c>
      <c r="C413" s="3" t="s">
        <v>5</v>
      </c>
      <c r="D413" s="3">
        <v>-1</v>
      </c>
      <c r="E413" s="3">
        <v>99.965999999999994</v>
      </c>
      <c r="F413" s="3">
        <v>412</v>
      </c>
      <c r="G413" s="3">
        <f t="shared" si="31"/>
        <v>-2.7000000000001023E-2</v>
      </c>
      <c r="H413" s="3">
        <f t="shared" si="32"/>
        <v>-0.23936170212766866</v>
      </c>
      <c r="I413" s="3">
        <f t="shared" si="33"/>
        <v>2.7000000000001023E-2</v>
      </c>
      <c r="J413" s="3">
        <f t="shared" si="30"/>
        <v>108.25547445255475</v>
      </c>
      <c r="K413" s="29">
        <f t="shared" si="34"/>
        <v>4.6844939379138379</v>
      </c>
    </row>
    <row r="414" spans="1:11" x14ac:dyDescent="0.3">
      <c r="A414" s="26">
        <v>0.304483</v>
      </c>
      <c r="B414" s="2">
        <v>0.09</v>
      </c>
      <c r="C414" s="2">
        <v>172</v>
      </c>
      <c r="D414" s="2">
        <v>1</v>
      </c>
      <c r="E414" s="2">
        <v>99.938999999999993</v>
      </c>
      <c r="F414" s="2">
        <v>413</v>
      </c>
      <c r="G414" s="2">
        <f t="shared" si="31"/>
        <v>9.4000000000008299E-2</v>
      </c>
      <c r="H414" s="2">
        <f t="shared" si="32"/>
        <v>1.0444444444445367</v>
      </c>
      <c r="I414" s="2">
        <f t="shared" si="33"/>
        <v>9.4000000000008299E-2</v>
      </c>
      <c r="J414" s="2">
        <f t="shared" si="30"/>
        <v>172</v>
      </c>
      <c r="K414" s="27">
        <f t="shared" si="34"/>
        <v>5.1474944768134527</v>
      </c>
    </row>
    <row r="415" spans="1:11" x14ac:dyDescent="0.3">
      <c r="A415" s="28">
        <v>0.30461100000000002</v>
      </c>
      <c r="B415" s="3">
        <v>9.5000000000000001E-2</v>
      </c>
      <c r="C415" s="3" t="s">
        <v>5</v>
      </c>
      <c r="D415" s="3">
        <v>1</v>
      </c>
      <c r="E415" s="3">
        <v>100.033</v>
      </c>
      <c r="F415" s="3">
        <v>414</v>
      </c>
      <c r="G415" s="3">
        <f t="shared" si="31"/>
        <v>3.0999999999991701E-2</v>
      </c>
      <c r="H415" s="3">
        <f t="shared" si="32"/>
        <v>0.32631578947359685</v>
      </c>
      <c r="I415" s="3">
        <f t="shared" si="33"/>
        <v>3.0999999999991701E-2</v>
      </c>
      <c r="J415" s="3">
        <f t="shared" si="30"/>
        <v>108.25547445255475</v>
      </c>
      <c r="K415" s="29">
        <f t="shared" si="34"/>
        <v>4.6844939379138379</v>
      </c>
    </row>
    <row r="416" spans="1:11" x14ac:dyDescent="0.3">
      <c r="A416" s="26">
        <v>0.30550899999999998</v>
      </c>
      <c r="B416" s="2">
        <v>9.5799999999999996E-2</v>
      </c>
      <c r="C416" s="2">
        <v>167</v>
      </c>
      <c r="D416" s="2">
        <v>-1</v>
      </c>
      <c r="E416" s="2">
        <v>100.06399999999999</v>
      </c>
      <c r="F416" s="2">
        <v>415</v>
      </c>
      <c r="G416" s="2">
        <f t="shared" si="31"/>
        <v>-8.4999999999993747E-2</v>
      </c>
      <c r="H416" s="2">
        <f t="shared" si="32"/>
        <v>-0.88726513569930843</v>
      </c>
      <c r="I416" s="2">
        <f t="shared" si="33"/>
        <v>8.4999999999993747E-2</v>
      </c>
      <c r="J416" s="2">
        <f t="shared" si="30"/>
        <v>167</v>
      </c>
      <c r="K416" s="27">
        <f t="shared" si="34"/>
        <v>5.1179938124167554</v>
      </c>
    </row>
    <row r="417" spans="1:11" x14ac:dyDescent="0.3">
      <c r="A417" s="28">
        <v>0.310502</v>
      </c>
      <c r="B417" s="3">
        <v>9.4600000000000004E-2</v>
      </c>
      <c r="C417" s="3">
        <v>149</v>
      </c>
      <c r="D417" s="3">
        <v>-1</v>
      </c>
      <c r="E417" s="3">
        <v>99.978999999999999</v>
      </c>
      <c r="F417" s="3">
        <v>416</v>
      </c>
      <c r="G417" s="3">
        <f t="shared" si="31"/>
        <v>-7.5000000000002842E-2</v>
      </c>
      <c r="H417" s="3">
        <f t="shared" si="32"/>
        <v>-0.79281183932349719</v>
      </c>
      <c r="I417" s="3">
        <f t="shared" si="33"/>
        <v>7.5000000000002842E-2</v>
      </c>
      <c r="J417" s="3">
        <f t="shared" si="30"/>
        <v>149</v>
      </c>
      <c r="K417" s="29">
        <f t="shared" si="34"/>
        <v>5.0039463059454592</v>
      </c>
    </row>
    <row r="418" spans="1:11" x14ac:dyDescent="0.3">
      <c r="A418" s="26">
        <v>0.31365700000000002</v>
      </c>
      <c r="B418" s="2">
        <v>0.1013</v>
      </c>
      <c r="C418" s="2" t="s">
        <v>5</v>
      </c>
      <c r="D418" s="2">
        <v>-1</v>
      </c>
      <c r="E418" s="2">
        <v>99.903999999999996</v>
      </c>
      <c r="F418" s="2">
        <v>417</v>
      </c>
      <c r="G418" s="2">
        <f t="shared" si="31"/>
        <v>-4.8000000000001819E-2</v>
      </c>
      <c r="H418" s="2">
        <f t="shared" si="32"/>
        <v>-0.47384007897336444</v>
      </c>
      <c r="I418" s="2">
        <f t="shared" si="33"/>
        <v>4.8000000000001819E-2</v>
      </c>
      <c r="J418" s="2">
        <f t="shared" si="30"/>
        <v>108.25547445255475</v>
      </c>
      <c r="K418" s="27">
        <f t="shared" si="34"/>
        <v>4.6844939379138379</v>
      </c>
    </row>
    <row r="419" spans="1:11" x14ac:dyDescent="0.3">
      <c r="A419" s="28">
        <v>0.315548</v>
      </c>
      <c r="B419" s="3">
        <v>8.9800000000000005E-2</v>
      </c>
      <c r="C419" s="3" t="s">
        <v>5</v>
      </c>
      <c r="D419" s="3">
        <v>1</v>
      </c>
      <c r="E419" s="3">
        <v>99.855999999999995</v>
      </c>
      <c r="F419" s="3">
        <v>418</v>
      </c>
      <c r="G419" s="3">
        <f t="shared" si="31"/>
        <v>2.7000000000001023E-2</v>
      </c>
      <c r="H419" s="3">
        <f t="shared" si="32"/>
        <v>0.30066815144767284</v>
      </c>
      <c r="I419" s="3">
        <f t="shared" si="33"/>
        <v>2.7000000000001023E-2</v>
      </c>
      <c r="J419" s="3">
        <f t="shared" si="30"/>
        <v>108.25547445255475</v>
      </c>
      <c r="K419" s="29">
        <f t="shared" si="34"/>
        <v>4.6844939379138379</v>
      </c>
    </row>
    <row r="420" spans="1:11" x14ac:dyDescent="0.3">
      <c r="A420" s="26">
        <v>0.31572800000000001</v>
      </c>
      <c r="B420" s="2">
        <v>8.6199999999999999E-2</v>
      </c>
      <c r="C420" s="2" t="s">
        <v>5</v>
      </c>
      <c r="D420" s="2">
        <v>-1</v>
      </c>
      <c r="E420" s="2">
        <v>99.882999999999996</v>
      </c>
      <c r="F420" s="2">
        <v>419</v>
      </c>
      <c r="G420" s="2">
        <f t="shared" si="31"/>
        <v>-7.2999999999993292E-2</v>
      </c>
      <c r="H420" s="2">
        <f t="shared" si="32"/>
        <v>-0.84686774941987575</v>
      </c>
      <c r="I420" s="2">
        <f t="shared" si="33"/>
        <v>7.2999999999993292E-2</v>
      </c>
      <c r="J420" s="2">
        <f t="shared" si="30"/>
        <v>108.25547445255475</v>
      </c>
      <c r="K420" s="27">
        <f t="shared" si="34"/>
        <v>4.6844939379138379</v>
      </c>
    </row>
    <row r="421" spans="1:11" x14ac:dyDescent="0.3">
      <c r="A421" s="28">
        <v>0.31623000000000001</v>
      </c>
      <c r="B421" s="3">
        <v>9.9199999999999997E-2</v>
      </c>
      <c r="C421" s="3" t="s">
        <v>5</v>
      </c>
      <c r="D421" s="3">
        <v>-1</v>
      </c>
      <c r="E421" s="3">
        <v>99.81</v>
      </c>
      <c r="F421" s="3">
        <v>420</v>
      </c>
      <c r="G421" s="3">
        <f t="shared" si="31"/>
        <v>-7.2000000000002728E-2</v>
      </c>
      <c r="H421" s="3">
        <f t="shared" si="32"/>
        <v>-0.72580645161293078</v>
      </c>
      <c r="I421" s="3">
        <f t="shared" si="33"/>
        <v>7.2000000000002728E-2</v>
      </c>
      <c r="J421" s="3">
        <f t="shared" si="30"/>
        <v>108.25547445255475</v>
      </c>
      <c r="K421" s="29">
        <f t="shared" si="34"/>
        <v>4.6844939379138379</v>
      </c>
    </row>
    <row r="422" spans="1:11" x14ac:dyDescent="0.3">
      <c r="A422" s="26">
        <v>0.31785400000000003</v>
      </c>
      <c r="B422" s="2">
        <v>0.10249999999999999</v>
      </c>
      <c r="C422" s="2" t="s">
        <v>5</v>
      </c>
      <c r="D422" s="2">
        <v>-1</v>
      </c>
      <c r="E422" s="2">
        <v>99.738</v>
      </c>
      <c r="F422" s="2">
        <v>421</v>
      </c>
      <c r="G422" s="2">
        <f t="shared" si="31"/>
        <v>-0.10999999999999943</v>
      </c>
      <c r="H422" s="2">
        <f t="shared" si="32"/>
        <v>-1.0731707317073116</v>
      </c>
      <c r="I422" s="2">
        <f t="shared" si="33"/>
        <v>0.10999999999999943</v>
      </c>
      <c r="J422" s="2">
        <f t="shared" si="30"/>
        <v>108.25547445255475</v>
      </c>
      <c r="K422" s="27">
        <f t="shared" si="34"/>
        <v>4.6844939379138379</v>
      </c>
    </row>
    <row r="423" spans="1:11" x14ac:dyDescent="0.3">
      <c r="A423" s="28">
        <v>0.31794299999999998</v>
      </c>
      <c r="B423" s="3">
        <v>0.1069</v>
      </c>
      <c r="C423" s="3">
        <v>132</v>
      </c>
      <c r="D423" s="3">
        <v>1</v>
      </c>
      <c r="E423" s="3">
        <v>99.628</v>
      </c>
      <c r="F423" s="3">
        <v>422</v>
      </c>
      <c r="G423" s="3">
        <f t="shared" si="31"/>
        <v>9.9999999999994316E-2</v>
      </c>
      <c r="H423" s="3">
        <f t="shared" si="32"/>
        <v>0.93545369504204223</v>
      </c>
      <c r="I423" s="3">
        <f t="shared" si="33"/>
        <v>9.9999999999994316E-2</v>
      </c>
      <c r="J423" s="3">
        <f t="shared" si="30"/>
        <v>132</v>
      </c>
      <c r="K423" s="29">
        <f t="shared" si="34"/>
        <v>4.8828019225863706</v>
      </c>
    </row>
    <row r="424" spans="1:11" x14ac:dyDescent="0.3">
      <c r="A424" s="26">
        <v>0.318052</v>
      </c>
      <c r="B424" s="2">
        <v>0.1062</v>
      </c>
      <c r="C424" s="2" t="s">
        <v>5</v>
      </c>
      <c r="D424" s="2">
        <v>-1</v>
      </c>
      <c r="E424" s="2">
        <v>99.727999999999994</v>
      </c>
      <c r="F424" s="2">
        <v>423</v>
      </c>
      <c r="G424" s="2">
        <f t="shared" si="31"/>
        <v>-9.4999999999998863E-2</v>
      </c>
      <c r="H424" s="2">
        <f t="shared" si="32"/>
        <v>-0.89453860640300242</v>
      </c>
      <c r="I424" s="2">
        <f t="shared" si="33"/>
        <v>9.4999999999998863E-2</v>
      </c>
      <c r="J424" s="2">
        <f t="shared" si="30"/>
        <v>108.25547445255475</v>
      </c>
      <c r="K424" s="27">
        <f t="shared" si="34"/>
        <v>4.6844939379138379</v>
      </c>
    </row>
    <row r="425" spans="1:11" x14ac:dyDescent="0.3">
      <c r="A425" s="28">
        <v>0.31834899999999999</v>
      </c>
      <c r="B425" s="3">
        <v>9.9500000000000005E-2</v>
      </c>
      <c r="C425" s="3" t="s">
        <v>5</v>
      </c>
      <c r="D425" s="3">
        <v>-1</v>
      </c>
      <c r="E425" s="3">
        <v>99.632999999999996</v>
      </c>
      <c r="F425" s="3">
        <v>424</v>
      </c>
      <c r="G425" s="3">
        <f t="shared" si="31"/>
        <v>-9.5999999999989427E-2</v>
      </c>
      <c r="H425" s="3">
        <f t="shared" si="32"/>
        <v>-0.96482412060290879</v>
      </c>
      <c r="I425" s="3">
        <f t="shared" si="33"/>
        <v>9.5999999999989427E-2</v>
      </c>
      <c r="J425" s="3">
        <f t="shared" si="30"/>
        <v>108.25547445255475</v>
      </c>
      <c r="K425" s="29">
        <f t="shared" si="34"/>
        <v>4.6844939379138379</v>
      </c>
    </row>
    <row r="426" spans="1:11" x14ac:dyDescent="0.3">
      <c r="A426" s="26">
        <v>0.31861</v>
      </c>
      <c r="B426" s="2">
        <v>9.7600000000000006E-2</v>
      </c>
      <c r="C426" s="2" t="s">
        <v>5</v>
      </c>
      <c r="D426" s="2">
        <v>-1</v>
      </c>
      <c r="E426" s="2">
        <v>99.537000000000006</v>
      </c>
      <c r="F426" s="2">
        <v>425</v>
      </c>
      <c r="G426" s="2">
        <f t="shared" si="31"/>
        <v>-4.7000000000011255E-2</v>
      </c>
      <c r="H426" s="2">
        <f t="shared" si="32"/>
        <v>-0.48155737704929563</v>
      </c>
      <c r="I426" s="2">
        <f t="shared" si="33"/>
        <v>4.7000000000011255E-2</v>
      </c>
      <c r="J426" s="2">
        <f t="shared" si="30"/>
        <v>108.25547445255475</v>
      </c>
      <c r="K426" s="27">
        <f t="shared" si="34"/>
        <v>4.6844939379138379</v>
      </c>
    </row>
    <row r="427" spans="1:11" x14ac:dyDescent="0.3">
      <c r="A427" s="28">
        <v>0.31995299999999999</v>
      </c>
      <c r="B427" s="3">
        <v>9.6199999999999994E-2</v>
      </c>
      <c r="C427" s="3" t="s">
        <v>5</v>
      </c>
      <c r="D427" s="3">
        <v>-1</v>
      </c>
      <c r="E427" s="3">
        <v>99.49</v>
      </c>
      <c r="F427" s="2">
        <v>426</v>
      </c>
      <c r="G427" s="2">
        <f t="shared" si="31"/>
        <v>-6.6999999999993065E-2</v>
      </c>
      <c r="H427" s="2">
        <f t="shared" si="32"/>
        <v>-0.6964656964656244</v>
      </c>
      <c r="I427" s="2">
        <f t="shared" si="33"/>
        <v>6.6999999999993065E-2</v>
      </c>
      <c r="J427" s="2">
        <f t="shared" si="30"/>
        <v>108.25547445255475</v>
      </c>
      <c r="K427" s="27">
        <f t="shared" si="34"/>
        <v>4.6844939379138379</v>
      </c>
    </row>
    <row r="428" spans="1:11" x14ac:dyDescent="0.3">
      <c r="A428" s="26">
        <v>0.32050800000000002</v>
      </c>
      <c r="B428" s="2">
        <v>0.10199999999999999</v>
      </c>
      <c r="C428" s="2" t="s">
        <v>5</v>
      </c>
      <c r="D428" s="2">
        <v>-1</v>
      </c>
      <c r="E428" s="2">
        <v>99.423000000000002</v>
      </c>
      <c r="F428" s="3">
        <v>427</v>
      </c>
      <c r="G428" s="3">
        <f t="shared" si="31"/>
        <v>-4.0000000000006253E-2</v>
      </c>
      <c r="H428" s="3">
        <f t="shared" si="32"/>
        <v>-0.39215686274515937</v>
      </c>
      <c r="I428" s="3">
        <f t="shared" si="33"/>
        <v>4.0000000000006253E-2</v>
      </c>
      <c r="J428" s="3">
        <f t="shared" si="30"/>
        <v>108.25547445255475</v>
      </c>
      <c r="K428" s="29">
        <f t="shared" si="34"/>
        <v>4.6844939379138379</v>
      </c>
    </row>
    <row r="429" spans="1:11" x14ac:dyDescent="0.3">
      <c r="A429" s="28">
        <v>0.32062099999999999</v>
      </c>
      <c r="B429" s="3">
        <v>9.7299999999999998E-2</v>
      </c>
      <c r="C429" s="3" t="s">
        <v>5</v>
      </c>
      <c r="D429" s="3">
        <v>-1</v>
      </c>
      <c r="E429" s="3">
        <v>99.382999999999996</v>
      </c>
      <c r="F429" s="2">
        <v>428</v>
      </c>
      <c r="G429" s="2">
        <f t="shared" si="31"/>
        <v>-5.499999999999261E-2</v>
      </c>
      <c r="H429" s="2">
        <f t="shared" si="32"/>
        <v>-0.56526207605336698</v>
      </c>
      <c r="I429" s="2">
        <f t="shared" si="33"/>
        <v>5.499999999999261E-2</v>
      </c>
      <c r="J429" s="2">
        <f t="shared" si="30"/>
        <v>108.25547445255475</v>
      </c>
      <c r="K429" s="27">
        <f t="shared" si="34"/>
        <v>4.6844939379138379</v>
      </c>
    </row>
    <row r="430" spans="1:11" x14ac:dyDescent="0.3">
      <c r="A430" s="26">
        <v>0.32118099999999999</v>
      </c>
      <c r="B430" s="2">
        <v>8.77E-2</v>
      </c>
      <c r="C430" s="2" t="s">
        <v>5</v>
      </c>
      <c r="D430" s="2">
        <v>-1</v>
      </c>
      <c r="E430" s="2">
        <v>99.328000000000003</v>
      </c>
      <c r="F430" s="3">
        <v>429</v>
      </c>
      <c r="G430" s="3">
        <f t="shared" si="31"/>
        <v>-0.12300000000000466</v>
      </c>
      <c r="H430" s="3">
        <f t="shared" si="32"/>
        <v>-1.4025085518814671</v>
      </c>
      <c r="I430" s="3">
        <f t="shared" si="33"/>
        <v>0.12300000000000466</v>
      </c>
      <c r="J430" s="3">
        <f t="shared" si="30"/>
        <v>108.25547445255475</v>
      </c>
      <c r="K430" s="29">
        <f t="shared" si="34"/>
        <v>4.6844939379138379</v>
      </c>
    </row>
    <row r="431" spans="1:11" x14ac:dyDescent="0.3">
      <c r="A431" s="28">
        <v>0.32133499999999998</v>
      </c>
      <c r="B431" s="3">
        <v>9.6000000000000002E-2</v>
      </c>
      <c r="C431" s="3" t="s">
        <v>5</v>
      </c>
      <c r="D431" s="3">
        <v>-1</v>
      </c>
      <c r="E431" s="3">
        <v>99.204999999999998</v>
      </c>
      <c r="F431" s="2">
        <v>430</v>
      </c>
      <c r="G431" s="2">
        <f t="shared" si="31"/>
        <v>-4.5000000000001705E-2</v>
      </c>
      <c r="H431" s="2">
        <f t="shared" si="32"/>
        <v>-0.46875000000001776</v>
      </c>
      <c r="I431" s="2">
        <f t="shared" si="33"/>
        <v>4.5000000000001705E-2</v>
      </c>
      <c r="J431" s="2">
        <f t="shared" si="30"/>
        <v>108.25547445255475</v>
      </c>
      <c r="K431" s="27">
        <f t="shared" si="34"/>
        <v>4.6844939379138379</v>
      </c>
    </row>
    <row r="432" spans="1:11" x14ac:dyDescent="0.3">
      <c r="A432" s="26">
        <v>0.32226100000000002</v>
      </c>
      <c r="B432" s="2">
        <v>0.10970000000000001</v>
      </c>
      <c r="C432" s="2" t="s">
        <v>5</v>
      </c>
      <c r="D432" s="2">
        <v>1</v>
      </c>
      <c r="E432" s="2">
        <v>99.16</v>
      </c>
      <c r="F432" s="3">
        <v>431</v>
      </c>
      <c r="G432" s="3">
        <f t="shared" si="31"/>
        <v>0.13700000000000045</v>
      </c>
      <c r="H432" s="3">
        <f t="shared" si="32"/>
        <v>1.2488605287146806</v>
      </c>
      <c r="I432" s="3">
        <f t="shared" si="33"/>
        <v>0.13700000000000045</v>
      </c>
      <c r="J432" s="3">
        <f t="shared" si="30"/>
        <v>108.25547445255475</v>
      </c>
      <c r="K432" s="29">
        <f t="shared" si="34"/>
        <v>4.6844939379138379</v>
      </c>
    </row>
    <row r="433" spans="1:11" x14ac:dyDescent="0.3">
      <c r="A433" s="28">
        <v>0.32235900000000001</v>
      </c>
      <c r="B433" s="3">
        <v>0.1011</v>
      </c>
      <c r="C433" s="3" t="s">
        <v>5</v>
      </c>
      <c r="D433" s="3">
        <v>1</v>
      </c>
      <c r="E433" s="3">
        <v>99.296999999999997</v>
      </c>
      <c r="F433" s="2">
        <v>432</v>
      </c>
      <c r="G433" s="2">
        <f t="shared" si="31"/>
        <v>2.0000000000095497E-3</v>
      </c>
      <c r="H433" s="2">
        <f t="shared" si="32"/>
        <v>1.9782393669728483E-2</v>
      </c>
      <c r="I433" s="2">
        <f t="shared" si="33"/>
        <v>2.0000000000095497E-3</v>
      </c>
      <c r="J433" s="2">
        <f t="shared" si="30"/>
        <v>108.25547445255475</v>
      </c>
      <c r="K433" s="27">
        <f t="shared" si="34"/>
        <v>4.6844939379138379</v>
      </c>
    </row>
    <row r="434" spans="1:11" x14ac:dyDescent="0.3">
      <c r="A434" s="26">
        <v>0.32242700000000002</v>
      </c>
      <c r="B434" s="2">
        <v>8.9200000000000002E-2</v>
      </c>
      <c r="C434" s="2" t="s">
        <v>5</v>
      </c>
      <c r="D434" s="2">
        <v>1</v>
      </c>
      <c r="E434" s="2">
        <v>99.299000000000007</v>
      </c>
      <c r="F434" s="3">
        <v>433</v>
      </c>
      <c r="G434" s="3">
        <f t="shared" si="31"/>
        <v>9.1999999999998749E-2</v>
      </c>
      <c r="H434" s="3">
        <f t="shared" si="32"/>
        <v>1.0313901345291339</v>
      </c>
      <c r="I434" s="3">
        <f t="shared" si="33"/>
        <v>9.1999999999998749E-2</v>
      </c>
      <c r="J434" s="3">
        <f t="shared" si="30"/>
        <v>108.25547445255475</v>
      </c>
      <c r="K434" s="29">
        <f t="shared" si="34"/>
        <v>4.6844939379138379</v>
      </c>
    </row>
    <row r="435" spans="1:11" x14ac:dyDescent="0.3">
      <c r="A435" s="28">
        <v>0.32285900000000001</v>
      </c>
      <c r="B435" s="3">
        <v>0.111</v>
      </c>
      <c r="C435" s="3" t="s">
        <v>5</v>
      </c>
      <c r="D435" s="3">
        <v>-1</v>
      </c>
      <c r="E435" s="3">
        <v>99.391000000000005</v>
      </c>
      <c r="F435" s="2">
        <v>434</v>
      </c>
      <c r="G435" s="2">
        <f t="shared" si="31"/>
        <v>-0.12300000000000466</v>
      </c>
      <c r="H435" s="2">
        <f t="shared" si="32"/>
        <v>-1.1081081081081501</v>
      </c>
      <c r="I435" s="2">
        <f t="shared" si="33"/>
        <v>0.12300000000000466</v>
      </c>
      <c r="J435" s="2">
        <f t="shared" si="30"/>
        <v>108.25547445255475</v>
      </c>
      <c r="K435" s="27">
        <f t="shared" si="34"/>
        <v>4.6844939379138379</v>
      </c>
    </row>
    <row r="436" spans="1:11" x14ac:dyDescent="0.3">
      <c r="A436" s="26">
        <v>0.32330900000000001</v>
      </c>
      <c r="B436" s="2">
        <v>0.1011</v>
      </c>
      <c r="C436" s="2" t="s">
        <v>5</v>
      </c>
      <c r="D436" s="2">
        <v>-1</v>
      </c>
      <c r="E436" s="2">
        <v>99.268000000000001</v>
      </c>
      <c r="F436" s="3">
        <v>435</v>
      </c>
      <c r="G436" s="3">
        <f t="shared" si="31"/>
        <v>-6.7000000000007276E-2</v>
      </c>
      <c r="H436" s="3">
        <f t="shared" si="32"/>
        <v>-0.66271018793281189</v>
      </c>
      <c r="I436" s="3">
        <f t="shared" si="33"/>
        <v>6.7000000000007276E-2</v>
      </c>
      <c r="J436" s="3">
        <f t="shared" si="30"/>
        <v>108.25547445255475</v>
      </c>
      <c r="K436" s="29">
        <f t="shared" si="34"/>
        <v>4.6844939379138379</v>
      </c>
    </row>
    <row r="437" spans="1:11" x14ac:dyDescent="0.3">
      <c r="A437" s="28">
        <v>0.32345099999999999</v>
      </c>
      <c r="B437" s="3">
        <v>0.1116</v>
      </c>
      <c r="C437" s="3" t="s">
        <v>5</v>
      </c>
      <c r="D437" s="3">
        <v>-1</v>
      </c>
      <c r="E437" s="3">
        <v>99.200999999999993</v>
      </c>
      <c r="F437" s="2">
        <v>436</v>
      </c>
      <c r="G437" s="2">
        <f t="shared" si="31"/>
        <v>-4.9999999999954525E-3</v>
      </c>
      <c r="H437" s="2">
        <f t="shared" si="32"/>
        <v>-4.4802867383471792E-2</v>
      </c>
      <c r="I437" s="2">
        <f t="shared" si="33"/>
        <v>4.9999999999954525E-3</v>
      </c>
      <c r="J437" s="2">
        <f t="shared" si="30"/>
        <v>108.25547445255475</v>
      </c>
      <c r="K437" s="27">
        <f t="shared" si="34"/>
        <v>4.6844939379138379</v>
      </c>
    </row>
    <row r="438" spans="1:11" x14ac:dyDescent="0.3">
      <c r="A438" s="26">
        <v>0.32356200000000002</v>
      </c>
      <c r="B438" s="2">
        <v>0.10199999999999999</v>
      </c>
      <c r="C438" s="2">
        <v>50</v>
      </c>
      <c r="D438" s="2">
        <v>1</v>
      </c>
      <c r="E438" s="2">
        <v>99.195999999999998</v>
      </c>
      <c r="F438" s="3">
        <v>437</v>
      </c>
      <c r="G438" s="3">
        <f t="shared" si="31"/>
        <v>5.2999999999997272E-2</v>
      </c>
      <c r="H438" s="3">
        <f t="shared" si="32"/>
        <v>0.51960784313722819</v>
      </c>
      <c r="I438" s="3">
        <f t="shared" si="33"/>
        <v>5.2999999999997272E-2</v>
      </c>
      <c r="J438" s="3">
        <f t="shared" si="30"/>
        <v>50</v>
      </c>
      <c r="K438" s="29">
        <f t="shared" si="34"/>
        <v>3.912023005428146</v>
      </c>
    </row>
    <row r="439" spans="1:11" x14ac:dyDescent="0.3">
      <c r="A439" s="28">
        <v>0.32371800000000001</v>
      </c>
      <c r="B439" s="3">
        <v>9.5399999999999999E-2</v>
      </c>
      <c r="C439" s="3" t="s">
        <v>5</v>
      </c>
      <c r="D439" s="3">
        <v>-1</v>
      </c>
      <c r="E439" s="3">
        <v>99.248999999999995</v>
      </c>
      <c r="F439" s="2">
        <v>438</v>
      </c>
      <c r="G439" s="2">
        <f t="shared" si="31"/>
        <v>-5.700000000000216E-2</v>
      </c>
      <c r="H439" s="2">
        <f t="shared" si="32"/>
        <v>-0.59748427672958238</v>
      </c>
      <c r="I439" s="2">
        <f t="shared" si="33"/>
        <v>5.700000000000216E-2</v>
      </c>
      <c r="J439" s="2">
        <f t="shared" si="30"/>
        <v>108.25547445255475</v>
      </c>
      <c r="K439" s="27">
        <f t="shared" si="34"/>
        <v>4.6844939379138379</v>
      </c>
    </row>
    <row r="440" spans="1:11" x14ac:dyDescent="0.3">
      <c r="A440" s="26">
        <v>0.32386399999999999</v>
      </c>
      <c r="B440" s="2">
        <v>0.125</v>
      </c>
      <c r="C440" s="2">
        <v>404</v>
      </c>
      <c r="D440" s="2">
        <v>-1</v>
      </c>
      <c r="E440" s="2">
        <v>99.191999999999993</v>
      </c>
      <c r="F440" s="3">
        <v>439</v>
      </c>
      <c r="G440" s="3">
        <f t="shared" si="31"/>
        <v>-0.17099999999999227</v>
      </c>
      <c r="H440" s="3">
        <f t="shared" si="32"/>
        <v>-1.3679999999999382</v>
      </c>
      <c r="I440" s="3">
        <f t="shared" si="33"/>
        <v>0.17099999999999227</v>
      </c>
      <c r="J440" s="3">
        <f t="shared" si="30"/>
        <v>404</v>
      </c>
      <c r="K440" s="29">
        <f t="shared" si="34"/>
        <v>6.0014148779611505</v>
      </c>
    </row>
    <row r="441" spans="1:11" x14ac:dyDescent="0.3">
      <c r="A441" s="28">
        <v>0.32561899999999999</v>
      </c>
      <c r="B441" s="3">
        <v>0.11210000000000001</v>
      </c>
      <c r="C441" s="3" t="s">
        <v>5</v>
      </c>
      <c r="D441" s="3">
        <v>1</v>
      </c>
      <c r="E441" s="3">
        <v>99.021000000000001</v>
      </c>
      <c r="F441" s="2">
        <v>440</v>
      </c>
      <c r="G441" s="2">
        <f t="shared" si="31"/>
        <v>5.1000000000001933E-2</v>
      </c>
      <c r="H441" s="2">
        <f t="shared" si="32"/>
        <v>0.45495093666371034</v>
      </c>
      <c r="I441" s="2">
        <f t="shared" si="33"/>
        <v>5.1000000000001933E-2</v>
      </c>
      <c r="J441" s="2">
        <f t="shared" si="30"/>
        <v>108.25547445255475</v>
      </c>
      <c r="K441" s="27">
        <f t="shared" si="34"/>
        <v>4.6844939379138379</v>
      </c>
    </row>
    <row r="442" spans="1:11" x14ac:dyDescent="0.3">
      <c r="A442" s="26">
        <v>0.32564799999999999</v>
      </c>
      <c r="B442" s="2">
        <v>0.11310000000000001</v>
      </c>
      <c r="C442" s="2" t="s">
        <v>5</v>
      </c>
      <c r="D442" s="2">
        <v>-1</v>
      </c>
      <c r="E442" s="2">
        <v>99.072000000000003</v>
      </c>
      <c r="F442" s="3">
        <v>441</v>
      </c>
      <c r="G442" s="3">
        <f t="shared" si="31"/>
        <v>-4.9999999999997158E-2</v>
      </c>
      <c r="H442" s="3">
        <f t="shared" si="32"/>
        <v>-0.44208664898317557</v>
      </c>
      <c r="I442" s="3">
        <f t="shared" si="33"/>
        <v>4.9999999999997158E-2</v>
      </c>
      <c r="J442" s="3">
        <f t="shared" si="30"/>
        <v>108.25547445255475</v>
      </c>
      <c r="K442" s="29">
        <f t="shared" si="34"/>
        <v>4.6844939379138379</v>
      </c>
    </row>
    <row r="443" spans="1:11" x14ac:dyDescent="0.3">
      <c r="A443" s="28">
        <v>0.32627099999999998</v>
      </c>
      <c r="B443" s="3">
        <v>0.1074</v>
      </c>
      <c r="C443" s="3" t="s">
        <v>5</v>
      </c>
      <c r="D443" s="3">
        <v>-1</v>
      </c>
      <c r="E443" s="3">
        <v>99.022000000000006</v>
      </c>
      <c r="F443" s="2">
        <v>442</v>
      </c>
      <c r="G443" s="2">
        <f t="shared" si="31"/>
        <v>-2.3000000000010346E-2</v>
      </c>
      <c r="H443" s="2">
        <f t="shared" si="32"/>
        <v>-0.21415270018631608</v>
      </c>
      <c r="I443" s="2">
        <f t="shared" si="33"/>
        <v>2.3000000000010346E-2</v>
      </c>
      <c r="J443" s="2">
        <f t="shared" si="30"/>
        <v>108.25547445255475</v>
      </c>
      <c r="K443" s="27">
        <f t="shared" si="34"/>
        <v>4.6844939379138379</v>
      </c>
    </row>
    <row r="444" spans="1:11" x14ac:dyDescent="0.3">
      <c r="A444" s="26">
        <v>0.32666800000000001</v>
      </c>
      <c r="B444" s="2">
        <v>0.10979999999999999</v>
      </c>
      <c r="C444" s="2" t="s">
        <v>5</v>
      </c>
      <c r="D444" s="2">
        <v>-1</v>
      </c>
      <c r="E444" s="2">
        <v>98.998999999999995</v>
      </c>
      <c r="F444" s="2">
        <v>443</v>
      </c>
      <c r="G444" s="2">
        <f t="shared" si="31"/>
        <v>-2.7000000000001023E-2</v>
      </c>
      <c r="H444" s="2">
        <f t="shared" si="32"/>
        <v>-0.24590163934427162</v>
      </c>
      <c r="I444" s="2">
        <f t="shared" si="33"/>
        <v>2.7000000000001023E-2</v>
      </c>
      <c r="J444" s="2">
        <f t="shared" si="30"/>
        <v>108.25547445255475</v>
      </c>
      <c r="K444" s="27">
        <f t="shared" si="34"/>
        <v>4.6844939379138379</v>
      </c>
    </row>
    <row r="445" spans="1:11" x14ac:dyDescent="0.3">
      <c r="A445" s="28">
        <v>0.32834600000000003</v>
      </c>
      <c r="B445" s="3">
        <v>0.1164</v>
      </c>
      <c r="C445" s="3" t="s">
        <v>5</v>
      </c>
      <c r="D445" s="3">
        <v>1</v>
      </c>
      <c r="E445" s="3">
        <v>98.971999999999994</v>
      </c>
      <c r="F445" s="3">
        <v>444</v>
      </c>
      <c r="G445" s="3">
        <f t="shared" si="31"/>
        <v>0.10600000000000875</v>
      </c>
      <c r="H445" s="3">
        <f t="shared" si="32"/>
        <v>0.91065292096227446</v>
      </c>
      <c r="I445" s="3">
        <f t="shared" si="33"/>
        <v>0.10600000000000875</v>
      </c>
      <c r="J445" s="3">
        <f t="shared" si="30"/>
        <v>108.25547445255475</v>
      </c>
      <c r="K445" s="29">
        <f t="shared" si="34"/>
        <v>4.6844939379138379</v>
      </c>
    </row>
    <row r="446" spans="1:11" x14ac:dyDescent="0.3">
      <c r="A446" s="26">
        <v>0.32841799999999999</v>
      </c>
      <c r="B446" s="2">
        <v>0.10970000000000001</v>
      </c>
      <c r="C446" s="2" t="s">
        <v>5</v>
      </c>
      <c r="D446" s="2">
        <v>1</v>
      </c>
      <c r="E446" s="2">
        <v>99.078000000000003</v>
      </c>
      <c r="F446" s="2">
        <v>445</v>
      </c>
      <c r="G446" s="2">
        <f t="shared" si="31"/>
        <v>0.16899999999999693</v>
      </c>
      <c r="H446" s="2">
        <f t="shared" si="32"/>
        <v>1.5405651777574925</v>
      </c>
      <c r="I446" s="2">
        <f t="shared" si="33"/>
        <v>0.16899999999999693</v>
      </c>
      <c r="J446" s="2">
        <f t="shared" si="30"/>
        <v>108.25547445255475</v>
      </c>
      <c r="K446" s="27">
        <f t="shared" si="34"/>
        <v>4.6844939379138379</v>
      </c>
    </row>
    <row r="447" spans="1:11" x14ac:dyDescent="0.3">
      <c r="A447" s="28">
        <v>0.32900499999999999</v>
      </c>
      <c r="B447" s="3">
        <v>8.8599999999999998E-2</v>
      </c>
      <c r="C447" s="3" t="s">
        <v>5</v>
      </c>
      <c r="D447" s="3">
        <v>1</v>
      </c>
      <c r="E447" s="3">
        <v>99.247</v>
      </c>
      <c r="F447" s="3">
        <v>446</v>
      </c>
      <c r="G447" s="3">
        <f t="shared" si="31"/>
        <v>2.1000000000000796E-2</v>
      </c>
      <c r="H447" s="3">
        <f t="shared" si="32"/>
        <v>0.23702031602709703</v>
      </c>
      <c r="I447" s="3">
        <f t="shared" si="33"/>
        <v>2.1000000000000796E-2</v>
      </c>
      <c r="J447" s="3">
        <f t="shared" si="30"/>
        <v>108.25547445255475</v>
      </c>
      <c r="K447" s="29">
        <f t="shared" si="34"/>
        <v>4.6844939379138379</v>
      </c>
    </row>
    <row r="448" spans="1:11" x14ac:dyDescent="0.3">
      <c r="A448" s="26">
        <v>0.33143699999999998</v>
      </c>
      <c r="B448" s="2">
        <v>8.7999999999999995E-2</v>
      </c>
      <c r="C448" s="2" t="s">
        <v>5</v>
      </c>
      <c r="D448" s="2">
        <v>-1</v>
      </c>
      <c r="E448" s="2">
        <v>99.268000000000001</v>
      </c>
      <c r="F448" s="2">
        <v>447</v>
      </c>
      <c r="G448" s="2">
        <f t="shared" si="31"/>
        <v>-8.100000000000307E-2</v>
      </c>
      <c r="H448" s="2">
        <f t="shared" si="32"/>
        <v>-0.92045454545458039</v>
      </c>
      <c r="I448" s="2">
        <f t="shared" si="33"/>
        <v>8.100000000000307E-2</v>
      </c>
      <c r="J448" s="2">
        <f t="shared" si="30"/>
        <v>108.25547445255475</v>
      </c>
      <c r="K448" s="27">
        <f t="shared" si="34"/>
        <v>4.6844939379138379</v>
      </c>
    </row>
    <row r="449" spans="1:11" x14ac:dyDescent="0.3">
      <c r="A449" s="28">
        <v>0.33325199999999999</v>
      </c>
      <c r="B449" s="3">
        <v>0.1043</v>
      </c>
      <c r="C449" s="3" t="s">
        <v>5</v>
      </c>
      <c r="D449" s="3">
        <v>-1</v>
      </c>
      <c r="E449" s="3">
        <v>99.186999999999998</v>
      </c>
      <c r="F449" s="3">
        <v>448</v>
      </c>
      <c r="G449" s="3">
        <f t="shared" si="31"/>
        <v>-7.3999999999998067E-2</v>
      </c>
      <c r="H449" s="3">
        <f t="shared" si="32"/>
        <v>-0.70949185043142915</v>
      </c>
      <c r="I449" s="3">
        <f t="shared" si="33"/>
        <v>7.3999999999998067E-2</v>
      </c>
      <c r="J449" s="3">
        <f t="shared" si="30"/>
        <v>108.25547445255475</v>
      </c>
      <c r="K449" s="29">
        <f t="shared" si="34"/>
        <v>4.6844939379138379</v>
      </c>
    </row>
    <row r="450" spans="1:11" x14ac:dyDescent="0.3">
      <c r="A450" s="26">
        <v>0.33332299999999998</v>
      </c>
      <c r="B450" s="2">
        <v>0.1094</v>
      </c>
      <c r="C450" s="2">
        <v>191</v>
      </c>
      <c r="D450" s="2">
        <v>-1</v>
      </c>
      <c r="E450" s="2">
        <v>99.113</v>
      </c>
      <c r="F450" s="2">
        <v>449</v>
      </c>
      <c r="G450" s="2">
        <f t="shared" si="31"/>
        <v>-0.10099999999999909</v>
      </c>
      <c r="H450" s="2">
        <f t="shared" si="32"/>
        <v>-0.9232175502742147</v>
      </c>
      <c r="I450" s="2">
        <f t="shared" si="33"/>
        <v>0.10099999999999909</v>
      </c>
      <c r="J450" s="2">
        <f t="shared" ref="J450:J513" si="35">IF(C450="",$AA$1,C450)</f>
        <v>191</v>
      </c>
      <c r="K450" s="27">
        <f t="shared" si="34"/>
        <v>5.2522734280466299</v>
      </c>
    </row>
    <row r="451" spans="1:11" x14ac:dyDescent="0.3">
      <c r="A451" s="28">
        <v>0.33398600000000001</v>
      </c>
      <c r="B451" s="3">
        <v>8.43E-2</v>
      </c>
      <c r="C451" s="3" t="s">
        <v>5</v>
      </c>
      <c r="D451" s="3">
        <v>1</v>
      </c>
      <c r="E451" s="3">
        <v>99.012</v>
      </c>
      <c r="F451" s="3">
        <v>450</v>
      </c>
      <c r="G451" s="3">
        <f t="shared" ref="G451:G514" si="36">E452-E451</f>
        <v>7.8000000000002956E-2</v>
      </c>
      <c r="H451" s="3">
        <f t="shared" ref="H451:H514" si="37">IF(B451&lt;&gt;0,G451/B451,"")</f>
        <v>0.92526690391462585</v>
      </c>
      <c r="I451" s="3">
        <f t="shared" ref="I451:I514" si="38">D451*G451</f>
        <v>7.8000000000002956E-2</v>
      </c>
      <c r="J451" s="3">
        <f t="shared" si="35"/>
        <v>108.25547445255475</v>
      </c>
      <c r="K451" s="29">
        <f t="shared" ref="K451:K514" si="39">LN(J451)</f>
        <v>4.6844939379138379</v>
      </c>
    </row>
    <row r="452" spans="1:11" x14ac:dyDescent="0.3">
      <c r="A452" s="26">
        <v>0.33521499999999999</v>
      </c>
      <c r="B452" s="2">
        <v>9.3399999999999997E-2</v>
      </c>
      <c r="C452" s="2" t="s">
        <v>5</v>
      </c>
      <c r="D452" s="2">
        <v>-1</v>
      </c>
      <c r="E452" s="2">
        <v>99.09</v>
      </c>
      <c r="F452" s="2">
        <v>451</v>
      </c>
      <c r="G452" s="2">
        <f t="shared" si="36"/>
        <v>-0.10699999999999932</v>
      </c>
      <c r="H452" s="2">
        <f t="shared" si="37"/>
        <v>-1.1456102783725837</v>
      </c>
      <c r="I452" s="2">
        <f t="shared" si="38"/>
        <v>0.10699999999999932</v>
      </c>
      <c r="J452" s="2">
        <f t="shared" si="35"/>
        <v>108.25547445255475</v>
      </c>
      <c r="K452" s="27">
        <f t="shared" si="39"/>
        <v>4.6844939379138379</v>
      </c>
    </row>
    <row r="453" spans="1:11" x14ac:dyDescent="0.3">
      <c r="A453" s="28">
        <v>0.33609299999999998</v>
      </c>
      <c r="B453" s="3">
        <v>9.9900000000000003E-2</v>
      </c>
      <c r="C453" s="3" t="s">
        <v>5</v>
      </c>
      <c r="D453" s="3">
        <v>1</v>
      </c>
      <c r="E453" s="3">
        <v>98.983000000000004</v>
      </c>
      <c r="F453" s="3">
        <v>452</v>
      </c>
      <c r="G453" s="3">
        <f t="shared" si="36"/>
        <v>5.1999999999992497E-2</v>
      </c>
      <c r="H453" s="3">
        <f t="shared" si="37"/>
        <v>0.5205205205204454</v>
      </c>
      <c r="I453" s="3">
        <f t="shared" si="38"/>
        <v>5.1999999999992497E-2</v>
      </c>
      <c r="J453" s="3">
        <f t="shared" si="35"/>
        <v>108.25547445255475</v>
      </c>
      <c r="K453" s="29">
        <f t="shared" si="39"/>
        <v>4.6844939379138379</v>
      </c>
    </row>
    <row r="454" spans="1:11" x14ac:dyDescent="0.3">
      <c r="A454" s="26">
        <v>0.33665200000000001</v>
      </c>
      <c r="B454" s="2">
        <v>0.10299999999999999</v>
      </c>
      <c r="C454" s="2" t="s">
        <v>5</v>
      </c>
      <c r="D454" s="2">
        <v>1</v>
      </c>
      <c r="E454" s="2">
        <v>99.034999999999997</v>
      </c>
      <c r="F454" s="2">
        <v>453</v>
      </c>
      <c r="G454" s="2">
        <f t="shared" si="36"/>
        <v>7.5000000000002842E-2</v>
      </c>
      <c r="H454" s="2">
        <f t="shared" si="37"/>
        <v>0.7281553398058529</v>
      </c>
      <c r="I454" s="2">
        <f t="shared" si="38"/>
        <v>7.5000000000002842E-2</v>
      </c>
      <c r="J454" s="2">
        <f t="shared" si="35"/>
        <v>108.25547445255475</v>
      </c>
      <c r="K454" s="27">
        <f t="shared" si="39"/>
        <v>4.6844939379138379</v>
      </c>
    </row>
    <row r="455" spans="1:11" x14ac:dyDescent="0.3">
      <c r="A455" s="28">
        <v>0.33718599999999999</v>
      </c>
      <c r="B455" s="3">
        <v>0.1162</v>
      </c>
      <c r="C455" s="3" t="s">
        <v>5</v>
      </c>
      <c r="D455" s="3">
        <v>1</v>
      </c>
      <c r="E455" s="3">
        <v>99.11</v>
      </c>
      <c r="F455" s="3">
        <v>454</v>
      </c>
      <c r="G455" s="3">
        <f t="shared" si="36"/>
        <v>0</v>
      </c>
      <c r="H455" s="3">
        <f t="shared" si="37"/>
        <v>0</v>
      </c>
      <c r="I455" s="3">
        <f t="shared" si="38"/>
        <v>0</v>
      </c>
      <c r="J455" s="3">
        <f t="shared" si="35"/>
        <v>108.25547445255475</v>
      </c>
      <c r="K455" s="29">
        <f t="shared" si="39"/>
        <v>4.6844939379138379</v>
      </c>
    </row>
    <row r="456" spans="1:11" x14ac:dyDescent="0.3">
      <c r="A456" s="26">
        <v>0.33720499999999998</v>
      </c>
      <c r="B456" s="2">
        <v>8.6999999999999994E-2</v>
      </c>
      <c r="C456" s="2" t="s">
        <v>5</v>
      </c>
      <c r="D456" s="2">
        <v>1</v>
      </c>
      <c r="E456" s="2">
        <v>99.11</v>
      </c>
      <c r="F456" s="2">
        <v>455</v>
      </c>
      <c r="G456" s="2">
        <f t="shared" si="36"/>
        <v>4.0000000000006253E-2</v>
      </c>
      <c r="H456" s="2">
        <f t="shared" si="37"/>
        <v>0.45977011494260062</v>
      </c>
      <c r="I456" s="2">
        <f t="shared" si="38"/>
        <v>4.0000000000006253E-2</v>
      </c>
      <c r="J456" s="2">
        <f t="shared" si="35"/>
        <v>108.25547445255475</v>
      </c>
      <c r="K456" s="27">
        <f t="shared" si="39"/>
        <v>4.6844939379138379</v>
      </c>
    </row>
    <row r="457" spans="1:11" x14ac:dyDescent="0.3">
      <c r="A457" s="28">
        <v>0.33995300000000001</v>
      </c>
      <c r="B457" s="3">
        <v>0.115</v>
      </c>
      <c r="C457" s="3" t="s">
        <v>5</v>
      </c>
      <c r="D457" s="3">
        <v>1</v>
      </c>
      <c r="E457" s="3">
        <v>99.15</v>
      </c>
      <c r="F457" s="3">
        <v>456</v>
      </c>
      <c r="G457" s="3">
        <f t="shared" si="36"/>
        <v>7.3999999999998067E-2</v>
      </c>
      <c r="H457" s="3">
        <f t="shared" si="37"/>
        <v>0.6434782608695484</v>
      </c>
      <c r="I457" s="3">
        <f t="shared" si="38"/>
        <v>7.3999999999998067E-2</v>
      </c>
      <c r="J457" s="3">
        <f t="shared" si="35"/>
        <v>108.25547445255475</v>
      </c>
      <c r="K457" s="29">
        <f t="shared" si="39"/>
        <v>4.6844939379138379</v>
      </c>
    </row>
    <row r="458" spans="1:11" x14ac:dyDescent="0.3">
      <c r="A458" s="26">
        <v>0.34002900000000003</v>
      </c>
      <c r="B458" s="2">
        <v>9.6000000000000002E-2</v>
      </c>
      <c r="C458" s="2">
        <v>51</v>
      </c>
      <c r="D458" s="2">
        <v>-1</v>
      </c>
      <c r="E458" s="2">
        <v>99.224000000000004</v>
      </c>
      <c r="F458" s="2">
        <v>457</v>
      </c>
      <c r="G458" s="2">
        <f t="shared" si="36"/>
        <v>-5.1000000000001933E-2</v>
      </c>
      <c r="H458" s="2">
        <f t="shared" si="37"/>
        <v>-0.5312500000000201</v>
      </c>
      <c r="I458" s="2">
        <f t="shared" si="38"/>
        <v>5.1000000000001933E-2</v>
      </c>
      <c r="J458" s="2">
        <f t="shared" si="35"/>
        <v>51</v>
      </c>
      <c r="K458" s="27">
        <f t="shared" si="39"/>
        <v>3.9318256327243257</v>
      </c>
    </row>
    <row r="459" spans="1:11" x14ac:dyDescent="0.3">
      <c r="A459" s="28">
        <v>0.34050900000000001</v>
      </c>
      <c r="B459" s="3">
        <v>0.1041</v>
      </c>
      <c r="C459" s="3" t="s">
        <v>5</v>
      </c>
      <c r="D459" s="3">
        <v>-1</v>
      </c>
      <c r="E459" s="3">
        <v>99.173000000000002</v>
      </c>
      <c r="F459" s="3">
        <v>458</v>
      </c>
      <c r="G459" s="3">
        <f t="shared" si="36"/>
        <v>-2.5999999999996248E-2</v>
      </c>
      <c r="H459" s="3">
        <f t="shared" si="37"/>
        <v>-0.249759846301597</v>
      </c>
      <c r="I459" s="3">
        <f t="shared" si="38"/>
        <v>2.5999999999996248E-2</v>
      </c>
      <c r="J459" s="3">
        <f t="shared" si="35"/>
        <v>108.25547445255475</v>
      </c>
      <c r="K459" s="29">
        <f t="shared" si="39"/>
        <v>4.6844939379138379</v>
      </c>
    </row>
    <row r="460" spans="1:11" x14ac:dyDescent="0.3">
      <c r="A460" s="26">
        <v>0.342254</v>
      </c>
      <c r="B460" s="2">
        <v>0.1099</v>
      </c>
      <c r="C460" s="2" t="s">
        <v>5</v>
      </c>
      <c r="D460" s="2">
        <v>-1</v>
      </c>
      <c r="E460" s="2">
        <v>99.147000000000006</v>
      </c>
      <c r="F460" s="2">
        <v>459</v>
      </c>
      <c r="G460" s="2">
        <f t="shared" si="36"/>
        <v>-5.6000000000011596E-2</v>
      </c>
      <c r="H460" s="2">
        <f t="shared" si="37"/>
        <v>-0.50955414012749412</v>
      </c>
      <c r="I460" s="2">
        <f t="shared" si="38"/>
        <v>5.6000000000011596E-2</v>
      </c>
      <c r="J460" s="2">
        <f t="shared" si="35"/>
        <v>108.25547445255475</v>
      </c>
      <c r="K460" s="27">
        <f t="shared" si="39"/>
        <v>4.6844939379138379</v>
      </c>
    </row>
    <row r="461" spans="1:11" x14ac:dyDescent="0.3">
      <c r="A461" s="28">
        <v>0.34298000000000001</v>
      </c>
      <c r="B461" s="3">
        <v>9.9599999999999994E-2</v>
      </c>
      <c r="C461" s="3" t="s">
        <v>5</v>
      </c>
      <c r="D461" s="3">
        <v>-1</v>
      </c>
      <c r="E461" s="3">
        <v>99.090999999999994</v>
      </c>
      <c r="F461" s="2">
        <v>460</v>
      </c>
      <c r="G461" s="2">
        <f t="shared" si="36"/>
        <v>-2.7999999999991587E-2</v>
      </c>
      <c r="H461" s="2">
        <f t="shared" si="37"/>
        <v>-0.28112449799188344</v>
      </c>
      <c r="I461" s="2">
        <f t="shared" si="38"/>
        <v>2.7999999999991587E-2</v>
      </c>
      <c r="J461" s="2">
        <f t="shared" si="35"/>
        <v>108.25547445255475</v>
      </c>
      <c r="K461" s="27">
        <f t="shared" si="39"/>
        <v>4.6844939379138379</v>
      </c>
    </row>
    <row r="462" spans="1:11" x14ac:dyDescent="0.3">
      <c r="A462" s="26">
        <v>0.34314499999999998</v>
      </c>
      <c r="B462" s="2">
        <v>0.1162</v>
      </c>
      <c r="C462" s="2" t="s">
        <v>5</v>
      </c>
      <c r="D462" s="2">
        <v>1</v>
      </c>
      <c r="E462" s="2">
        <v>99.063000000000002</v>
      </c>
      <c r="F462" s="3">
        <v>461</v>
      </c>
      <c r="G462" s="3">
        <f t="shared" si="36"/>
        <v>0.11899999999999977</v>
      </c>
      <c r="H462" s="3">
        <f t="shared" si="37"/>
        <v>1.0240963855421668</v>
      </c>
      <c r="I462" s="3">
        <f t="shared" si="38"/>
        <v>0.11899999999999977</v>
      </c>
      <c r="J462" s="3">
        <f t="shared" si="35"/>
        <v>108.25547445255475</v>
      </c>
      <c r="K462" s="29">
        <f t="shared" si="39"/>
        <v>4.6844939379138379</v>
      </c>
    </row>
    <row r="463" spans="1:11" x14ac:dyDescent="0.3">
      <c r="A463" s="28">
        <v>0.34340500000000002</v>
      </c>
      <c r="B463" s="3">
        <v>9.1200000000000003E-2</v>
      </c>
      <c r="C463" s="3" t="s">
        <v>5</v>
      </c>
      <c r="D463" s="3">
        <v>-1</v>
      </c>
      <c r="E463" s="3">
        <v>99.182000000000002</v>
      </c>
      <c r="F463" s="2">
        <v>462</v>
      </c>
      <c r="G463" s="2">
        <f t="shared" si="36"/>
        <v>-4.2000000000001592E-2</v>
      </c>
      <c r="H463" s="2">
        <f t="shared" si="37"/>
        <v>-0.4605263157894911</v>
      </c>
      <c r="I463" s="2">
        <f t="shared" si="38"/>
        <v>4.2000000000001592E-2</v>
      </c>
      <c r="J463" s="2">
        <f t="shared" si="35"/>
        <v>108.25547445255475</v>
      </c>
      <c r="K463" s="27">
        <f t="shared" si="39"/>
        <v>4.6844939379138379</v>
      </c>
    </row>
    <row r="464" spans="1:11" x14ac:dyDescent="0.3">
      <c r="A464" s="26">
        <v>0.34368900000000002</v>
      </c>
      <c r="B464" s="2">
        <v>0.1004</v>
      </c>
      <c r="C464" s="2" t="s">
        <v>5</v>
      </c>
      <c r="D464" s="2">
        <v>1</v>
      </c>
      <c r="E464" s="2">
        <v>99.14</v>
      </c>
      <c r="F464" s="3">
        <v>463</v>
      </c>
      <c r="G464" s="3">
        <f t="shared" si="36"/>
        <v>5.2999999999997272E-2</v>
      </c>
      <c r="H464" s="3">
        <f t="shared" si="37"/>
        <v>0.52788844621511222</v>
      </c>
      <c r="I464" s="3">
        <f t="shared" si="38"/>
        <v>5.2999999999997272E-2</v>
      </c>
      <c r="J464" s="3">
        <f t="shared" si="35"/>
        <v>108.25547445255475</v>
      </c>
      <c r="K464" s="29">
        <f t="shared" si="39"/>
        <v>4.6844939379138379</v>
      </c>
    </row>
    <row r="465" spans="1:11" x14ac:dyDescent="0.3">
      <c r="A465" s="28">
        <v>0.34538600000000003</v>
      </c>
      <c r="B465" s="3">
        <v>8.0199999999999994E-2</v>
      </c>
      <c r="C465" s="3" t="s">
        <v>5</v>
      </c>
      <c r="D465" s="3">
        <v>-1</v>
      </c>
      <c r="E465" s="3">
        <v>99.192999999999998</v>
      </c>
      <c r="F465" s="2">
        <v>464</v>
      </c>
      <c r="G465" s="2">
        <f t="shared" si="36"/>
        <v>-5.2999999999997272E-2</v>
      </c>
      <c r="H465" s="2">
        <f t="shared" si="37"/>
        <v>-0.66084788029921793</v>
      </c>
      <c r="I465" s="2">
        <f t="shared" si="38"/>
        <v>5.2999999999997272E-2</v>
      </c>
      <c r="J465" s="2">
        <f t="shared" si="35"/>
        <v>108.25547445255475</v>
      </c>
      <c r="K465" s="27">
        <f t="shared" si="39"/>
        <v>4.6844939379138379</v>
      </c>
    </row>
    <row r="466" spans="1:11" x14ac:dyDescent="0.3">
      <c r="A466" s="26">
        <v>0.34587499999999999</v>
      </c>
      <c r="B466" s="2">
        <v>0.1101</v>
      </c>
      <c r="C466" s="2" t="s">
        <v>5</v>
      </c>
      <c r="D466" s="2">
        <v>1</v>
      </c>
      <c r="E466" s="2">
        <v>99.14</v>
      </c>
      <c r="F466" s="3">
        <v>465</v>
      </c>
      <c r="G466" s="3">
        <f t="shared" si="36"/>
        <v>6.3999999999992951E-2</v>
      </c>
      <c r="H466" s="3">
        <f t="shared" si="37"/>
        <v>0.58128973660302408</v>
      </c>
      <c r="I466" s="3">
        <f t="shared" si="38"/>
        <v>6.3999999999992951E-2</v>
      </c>
      <c r="J466" s="3">
        <f t="shared" si="35"/>
        <v>108.25547445255475</v>
      </c>
      <c r="K466" s="29">
        <f t="shared" si="39"/>
        <v>4.6844939379138379</v>
      </c>
    </row>
    <row r="467" spans="1:11" x14ac:dyDescent="0.3">
      <c r="A467" s="28">
        <v>0.34588200000000002</v>
      </c>
      <c r="B467" s="3">
        <v>0.11070000000000001</v>
      </c>
      <c r="C467" s="3" t="s">
        <v>5</v>
      </c>
      <c r="D467" s="3">
        <v>1</v>
      </c>
      <c r="E467" s="3">
        <v>99.203999999999994</v>
      </c>
      <c r="F467" s="2">
        <v>466</v>
      </c>
      <c r="G467" s="2">
        <f t="shared" si="36"/>
        <v>5.2000000000006708E-2</v>
      </c>
      <c r="H467" s="2">
        <f t="shared" si="37"/>
        <v>0.46973803071370102</v>
      </c>
      <c r="I467" s="2">
        <f t="shared" si="38"/>
        <v>5.2000000000006708E-2</v>
      </c>
      <c r="J467" s="2">
        <f t="shared" si="35"/>
        <v>108.25547445255475</v>
      </c>
      <c r="K467" s="27">
        <f t="shared" si="39"/>
        <v>4.6844939379138379</v>
      </c>
    </row>
    <row r="468" spans="1:11" x14ac:dyDescent="0.3">
      <c r="A468" s="26">
        <v>0.347607</v>
      </c>
      <c r="B468" s="2">
        <v>9.5500000000000002E-2</v>
      </c>
      <c r="C468" s="2" t="s">
        <v>5</v>
      </c>
      <c r="D468" s="2">
        <v>-1</v>
      </c>
      <c r="E468" s="2">
        <v>99.256</v>
      </c>
      <c r="F468" s="3">
        <v>467</v>
      </c>
      <c r="G468" s="3">
        <f t="shared" si="36"/>
        <v>-4.9999999999997158E-2</v>
      </c>
      <c r="H468" s="3">
        <f t="shared" si="37"/>
        <v>-0.52356020942405401</v>
      </c>
      <c r="I468" s="3">
        <f t="shared" si="38"/>
        <v>4.9999999999997158E-2</v>
      </c>
      <c r="J468" s="3">
        <f t="shared" si="35"/>
        <v>108.25547445255475</v>
      </c>
      <c r="K468" s="29">
        <f t="shared" si="39"/>
        <v>4.6844939379138379</v>
      </c>
    </row>
    <row r="469" spans="1:11" x14ac:dyDescent="0.3">
      <c r="A469" s="28">
        <v>0.34890599999999999</v>
      </c>
      <c r="B469" s="3">
        <v>0.10249999999999999</v>
      </c>
      <c r="C469" s="3" t="s">
        <v>5</v>
      </c>
      <c r="D469" s="3">
        <v>1</v>
      </c>
      <c r="E469" s="3">
        <v>99.206000000000003</v>
      </c>
      <c r="F469" s="2">
        <v>468</v>
      </c>
      <c r="G469" s="2">
        <f t="shared" si="36"/>
        <v>5.8999999999997499E-2</v>
      </c>
      <c r="H469" s="2">
        <f t="shared" si="37"/>
        <v>0.57560975609753662</v>
      </c>
      <c r="I469" s="2">
        <f t="shared" si="38"/>
        <v>5.8999999999997499E-2</v>
      </c>
      <c r="J469" s="2">
        <f t="shared" si="35"/>
        <v>108.25547445255475</v>
      </c>
      <c r="K469" s="27">
        <f t="shared" si="39"/>
        <v>4.6844939379138379</v>
      </c>
    </row>
    <row r="470" spans="1:11" x14ac:dyDescent="0.3">
      <c r="A470" s="26">
        <v>0.35079100000000002</v>
      </c>
      <c r="B470" s="2">
        <v>0.10059999999999999</v>
      </c>
      <c r="C470" s="2" t="s">
        <v>5</v>
      </c>
      <c r="D470" s="2">
        <v>-1</v>
      </c>
      <c r="E470" s="2">
        <v>99.265000000000001</v>
      </c>
      <c r="F470" s="3">
        <v>469</v>
      </c>
      <c r="G470" s="3">
        <f t="shared" si="36"/>
        <v>-0.11400000000000432</v>
      </c>
      <c r="H470" s="3">
        <f t="shared" si="37"/>
        <v>-1.1332007952286711</v>
      </c>
      <c r="I470" s="3">
        <f t="shared" si="38"/>
        <v>0.11400000000000432</v>
      </c>
      <c r="J470" s="3">
        <f t="shared" si="35"/>
        <v>108.25547445255475</v>
      </c>
      <c r="K470" s="29">
        <f t="shared" si="39"/>
        <v>4.6844939379138379</v>
      </c>
    </row>
    <row r="471" spans="1:11" x14ac:dyDescent="0.3">
      <c r="A471" s="28">
        <v>0.35100799999999999</v>
      </c>
      <c r="B471" s="3">
        <v>0.1096</v>
      </c>
      <c r="C471" s="3" t="s">
        <v>5</v>
      </c>
      <c r="D471" s="3">
        <v>1</v>
      </c>
      <c r="E471" s="3">
        <v>99.150999999999996</v>
      </c>
      <c r="F471" s="2">
        <v>470</v>
      </c>
      <c r="G471" s="2">
        <f t="shared" si="36"/>
        <v>0.10600000000000875</v>
      </c>
      <c r="H471" s="2">
        <f t="shared" si="37"/>
        <v>0.96715328467161266</v>
      </c>
      <c r="I471" s="2">
        <f t="shared" si="38"/>
        <v>0.10600000000000875</v>
      </c>
      <c r="J471" s="2">
        <f t="shared" si="35"/>
        <v>108.25547445255475</v>
      </c>
      <c r="K471" s="27">
        <f t="shared" si="39"/>
        <v>4.6844939379138379</v>
      </c>
    </row>
    <row r="472" spans="1:11" x14ac:dyDescent="0.3">
      <c r="A472" s="26">
        <v>0.35362300000000002</v>
      </c>
      <c r="B472" s="2">
        <v>0.1037</v>
      </c>
      <c r="C472" s="2" t="s">
        <v>5</v>
      </c>
      <c r="D472" s="2">
        <v>1</v>
      </c>
      <c r="E472" s="2">
        <v>99.257000000000005</v>
      </c>
      <c r="F472" s="3">
        <v>471</v>
      </c>
      <c r="G472" s="3">
        <f t="shared" si="36"/>
        <v>0.10899999999999466</v>
      </c>
      <c r="H472" s="3">
        <f t="shared" si="37"/>
        <v>1.0511089681773833</v>
      </c>
      <c r="I472" s="3">
        <f t="shared" si="38"/>
        <v>0.10899999999999466</v>
      </c>
      <c r="J472" s="3">
        <f t="shared" si="35"/>
        <v>108.25547445255475</v>
      </c>
      <c r="K472" s="29">
        <f t="shared" si="39"/>
        <v>4.6844939379138379</v>
      </c>
    </row>
    <row r="473" spans="1:11" x14ac:dyDescent="0.3">
      <c r="A473" s="28">
        <v>0.354713</v>
      </c>
      <c r="B473" s="3">
        <v>9.5799999999999996E-2</v>
      </c>
      <c r="C473" s="3">
        <v>469</v>
      </c>
      <c r="D473" s="3">
        <v>1</v>
      </c>
      <c r="E473" s="3">
        <v>99.366</v>
      </c>
      <c r="F473" s="2">
        <v>472</v>
      </c>
      <c r="G473" s="2">
        <f t="shared" si="36"/>
        <v>0.15699999999999648</v>
      </c>
      <c r="H473" s="2">
        <f t="shared" si="37"/>
        <v>1.6388308977035124</v>
      </c>
      <c r="I473" s="2">
        <f t="shared" si="38"/>
        <v>0.15699999999999648</v>
      </c>
      <c r="J473" s="2">
        <f t="shared" si="35"/>
        <v>469</v>
      </c>
      <c r="K473" s="27">
        <f t="shared" si="39"/>
        <v>6.1506027684462792</v>
      </c>
    </row>
    <row r="474" spans="1:11" x14ac:dyDescent="0.3">
      <c r="A474" s="26">
        <v>0.355993</v>
      </c>
      <c r="B474" s="2">
        <v>9.1700000000000004E-2</v>
      </c>
      <c r="C474" s="2" t="s">
        <v>5</v>
      </c>
      <c r="D474" s="2">
        <v>1</v>
      </c>
      <c r="E474" s="2">
        <v>99.522999999999996</v>
      </c>
      <c r="F474" s="3">
        <v>473</v>
      </c>
      <c r="G474" s="3">
        <f t="shared" si="36"/>
        <v>2.0000000000010232E-2</v>
      </c>
      <c r="H474" s="3">
        <f t="shared" si="37"/>
        <v>0.21810250817895563</v>
      </c>
      <c r="I474" s="3">
        <f t="shared" si="38"/>
        <v>2.0000000000010232E-2</v>
      </c>
      <c r="J474" s="3">
        <f t="shared" si="35"/>
        <v>108.25547445255475</v>
      </c>
      <c r="K474" s="29">
        <f t="shared" si="39"/>
        <v>4.6844939379138379</v>
      </c>
    </row>
    <row r="475" spans="1:11" x14ac:dyDescent="0.3">
      <c r="A475" s="28">
        <v>0.35745399999999999</v>
      </c>
      <c r="B475" s="3">
        <v>0.109</v>
      </c>
      <c r="C475" s="3" t="s">
        <v>5</v>
      </c>
      <c r="D475" s="3">
        <v>-1</v>
      </c>
      <c r="E475" s="3">
        <v>99.543000000000006</v>
      </c>
      <c r="F475" s="2">
        <v>474</v>
      </c>
      <c r="G475" s="2">
        <f t="shared" si="36"/>
        <v>-6.0000000000002274E-2</v>
      </c>
      <c r="H475" s="2">
        <f t="shared" si="37"/>
        <v>-0.55045871559635118</v>
      </c>
      <c r="I475" s="2">
        <f t="shared" si="38"/>
        <v>6.0000000000002274E-2</v>
      </c>
      <c r="J475" s="2">
        <f t="shared" si="35"/>
        <v>108.25547445255475</v>
      </c>
      <c r="K475" s="27">
        <f t="shared" si="39"/>
        <v>4.6844939379138379</v>
      </c>
    </row>
    <row r="476" spans="1:11" x14ac:dyDescent="0.3">
      <c r="A476" s="26">
        <v>0.35905300000000001</v>
      </c>
      <c r="B476" s="2">
        <v>0.1326</v>
      </c>
      <c r="C476" s="2">
        <v>112</v>
      </c>
      <c r="D476" s="2">
        <v>-1</v>
      </c>
      <c r="E476" s="2">
        <v>99.483000000000004</v>
      </c>
      <c r="F476" s="3">
        <v>475</v>
      </c>
      <c r="G476" s="3">
        <f t="shared" si="36"/>
        <v>-9.4999999999998863E-2</v>
      </c>
      <c r="H476" s="3">
        <f t="shared" si="37"/>
        <v>-0.71644042232276672</v>
      </c>
      <c r="I476" s="3">
        <f t="shared" si="38"/>
        <v>9.4999999999998863E-2</v>
      </c>
      <c r="J476" s="3">
        <f t="shared" si="35"/>
        <v>112</v>
      </c>
      <c r="K476" s="29">
        <f t="shared" si="39"/>
        <v>4.7184988712950942</v>
      </c>
    </row>
    <row r="477" spans="1:11" x14ac:dyDescent="0.3">
      <c r="A477" s="28">
        <v>0.36021399999999998</v>
      </c>
      <c r="B477" s="3">
        <v>0.10299999999999999</v>
      </c>
      <c r="C477" s="3" t="s">
        <v>5</v>
      </c>
      <c r="D477" s="3">
        <v>-1</v>
      </c>
      <c r="E477" s="3">
        <v>99.388000000000005</v>
      </c>
      <c r="F477" s="2">
        <v>476</v>
      </c>
      <c r="G477" s="2">
        <f t="shared" si="36"/>
        <v>-7.9999999999998295E-2</v>
      </c>
      <c r="H477" s="2">
        <f t="shared" si="37"/>
        <v>-0.77669902912619704</v>
      </c>
      <c r="I477" s="2">
        <f t="shared" si="38"/>
        <v>7.9999999999998295E-2</v>
      </c>
      <c r="J477" s="2">
        <f t="shared" si="35"/>
        <v>108.25547445255475</v>
      </c>
      <c r="K477" s="27">
        <f t="shared" si="39"/>
        <v>4.6844939379138379</v>
      </c>
    </row>
    <row r="478" spans="1:11" x14ac:dyDescent="0.3">
      <c r="A478" s="26">
        <v>0.360821</v>
      </c>
      <c r="B478" s="2">
        <v>8.8800000000000004E-2</v>
      </c>
      <c r="C478" s="2" t="s">
        <v>5</v>
      </c>
      <c r="D478" s="2">
        <v>-1</v>
      </c>
      <c r="E478" s="2">
        <v>99.308000000000007</v>
      </c>
      <c r="F478" s="2">
        <v>477</v>
      </c>
      <c r="G478" s="2">
        <f t="shared" si="36"/>
        <v>-5.1000000000001933E-2</v>
      </c>
      <c r="H478" s="2">
        <f t="shared" si="37"/>
        <v>-0.5743243243243461</v>
      </c>
      <c r="I478" s="2">
        <f t="shared" si="38"/>
        <v>5.1000000000001933E-2</v>
      </c>
      <c r="J478" s="2">
        <f t="shared" si="35"/>
        <v>108.25547445255475</v>
      </c>
      <c r="K478" s="27">
        <f t="shared" si="39"/>
        <v>4.6844939379138379</v>
      </c>
    </row>
    <row r="479" spans="1:11" x14ac:dyDescent="0.3">
      <c r="A479" s="28">
        <v>0.36148999999999998</v>
      </c>
      <c r="B479" s="3">
        <v>8.5999999999999993E-2</v>
      </c>
      <c r="C479" s="3" t="s">
        <v>5</v>
      </c>
      <c r="D479" s="3">
        <v>-1</v>
      </c>
      <c r="E479" s="3">
        <v>99.257000000000005</v>
      </c>
      <c r="F479" s="3">
        <v>478</v>
      </c>
      <c r="G479" s="3">
        <f t="shared" si="36"/>
        <v>-4.1000000000011028E-2</v>
      </c>
      <c r="H479" s="3">
        <f t="shared" si="37"/>
        <v>-0.47674418604663987</v>
      </c>
      <c r="I479" s="3">
        <f t="shared" si="38"/>
        <v>4.1000000000011028E-2</v>
      </c>
      <c r="J479" s="3">
        <f t="shared" si="35"/>
        <v>108.25547445255475</v>
      </c>
      <c r="K479" s="29">
        <f t="shared" si="39"/>
        <v>4.6844939379138379</v>
      </c>
    </row>
    <row r="480" spans="1:11" x14ac:dyDescent="0.3">
      <c r="A480" s="26">
        <v>0.36260599999999998</v>
      </c>
      <c r="B480" s="2">
        <v>8.77E-2</v>
      </c>
      <c r="C480" s="2" t="s">
        <v>5</v>
      </c>
      <c r="D480" s="2">
        <v>1</v>
      </c>
      <c r="E480" s="2">
        <v>99.215999999999994</v>
      </c>
      <c r="F480" s="2">
        <v>479</v>
      </c>
      <c r="G480" s="2">
        <f t="shared" si="36"/>
        <v>6.7000000000007276E-2</v>
      </c>
      <c r="H480" s="2">
        <f t="shared" si="37"/>
        <v>0.76396807297613767</v>
      </c>
      <c r="I480" s="2">
        <f t="shared" si="38"/>
        <v>6.7000000000007276E-2</v>
      </c>
      <c r="J480" s="2">
        <f t="shared" si="35"/>
        <v>108.25547445255475</v>
      </c>
      <c r="K480" s="27">
        <f t="shared" si="39"/>
        <v>4.6844939379138379</v>
      </c>
    </row>
    <row r="481" spans="1:11" x14ac:dyDescent="0.3">
      <c r="A481" s="28">
        <v>0.36389199999999999</v>
      </c>
      <c r="B481" s="3">
        <v>9.7600000000000006E-2</v>
      </c>
      <c r="C481" s="3" t="s">
        <v>5</v>
      </c>
      <c r="D481" s="3">
        <v>1</v>
      </c>
      <c r="E481" s="3">
        <v>99.283000000000001</v>
      </c>
      <c r="F481" s="3">
        <v>480</v>
      </c>
      <c r="G481" s="3">
        <f t="shared" si="36"/>
        <v>5.1000000000001933E-2</v>
      </c>
      <c r="H481" s="3">
        <f t="shared" si="37"/>
        <v>0.52254098360657719</v>
      </c>
      <c r="I481" s="3">
        <f t="shared" si="38"/>
        <v>5.1000000000001933E-2</v>
      </c>
      <c r="J481" s="3">
        <f t="shared" si="35"/>
        <v>108.25547445255475</v>
      </c>
      <c r="K481" s="29">
        <f t="shared" si="39"/>
        <v>4.6844939379138379</v>
      </c>
    </row>
    <row r="482" spans="1:11" x14ac:dyDescent="0.3">
      <c r="A482" s="26">
        <v>0.36492999999999998</v>
      </c>
      <c r="B482" s="2">
        <v>0.1113</v>
      </c>
      <c r="C482" s="2" t="s">
        <v>5</v>
      </c>
      <c r="D482" s="2">
        <v>1</v>
      </c>
      <c r="E482" s="2">
        <v>99.334000000000003</v>
      </c>
      <c r="F482" s="2">
        <v>481</v>
      </c>
      <c r="G482" s="2">
        <f t="shared" si="36"/>
        <v>7.3999999999998067E-2</v>
      </c>
      <c r="H482" s="2">
        <f t="shared" si="37"/>
        <v>0.66486972147347767</v>
      </c>
      <c r="I482" s="2">
        <f t="shared" si="38"/>
        <v>7.3999999999998067E-2</v>
      </c>
      <c r="J482" s="2">
        <f t="shared" si="35"/>
        <v>108.25547445255475</v>
      </c>
      <c r="K482" s="27">
        <f t="shared" si="39"/>
        <v>4.6844939379138379</v>
      </c>
    </row>
    <row r="483" spans="1:11" x14ac:dyDescent="0.3">
      <c r="A483" s="28">
        <v>0.36734499999999998</v>
      </c>
      <c r="B483" s="3">
        <v>0.1032</v>
      </c>
      <c r="C483" s="3" t="s">
        <v>5</v>
      </c>
      <c r="D483" s="3">
        <v>-1</v>
      </c>
      <c r="E483" s="3">
        <v>99.408000000000001</v>
      </c>
      <c r="F483" s="3">
        <v>482</v>
      </c>
      <c r="G483" s="3">
        <f t="shared" si="36"/>
        <v>-4.600000000000648E-2</v>
      </c>
      <c r="H483" s="3">
        <f t="shared" si="37"/>
        <v>-0.44573643410858993</v>
      </c>
      <c r="I483" s="3">
        <f t="shared" si="38"/>
        <v>4.600000000000648E-2</v>
      </c>
      <c r="J483" s="3">
        <f t="shared" si="35"/>
        <v>108.25547445255475</v>
      </c>
      <c r="K483" s="29">
        <f t="shared" si="39"/>
        <v>4.6844939379138379</v>
      </c>
    </row>
    <row r="484" spans="1:11" x14ac:dyDescent="0.3">
      <c r="A484" s="26">
        <v>0.36904999999999999</v>
      </c>
      <c r="B484" s="2">
        <v>8.3400000000000002E-2</v>
      </c>
      <c r="C484" s="2" t="s">
        <v>5</v>
      </c>
      <c r="D484" s="2">
        <v>1</v>
      </c>
      <c r="E484" s="2">
        <v>99.361999999999995</v>
      </c>
      <c r="F484" s="2">
        <v>483</v>
      </c>
      <c r="G484" s="2">
        <f t="shared" si="36"/>
        <v>7.4000000000012278E-2</v>
      </c>
      <c r="H484" s="2">
        <f t="shared" si="37"/>
        <v>0.88729016786585468</v>
      </c>
      <c r="I484" s="2">
        <f t="shared" si="38"/>
        <v>7.4000000000012278E-2</v>
      </c>
      <c r="J484" s="2">
        <f t="shared" si="35"/>
        <v>108.25547445255475</v>
      </c>
      <c r="K484" s="27">
        <f t="shared" si="39"/>
        <v>4.6844939379138379</v>
      </c>
    </row>
    <row r="485" spans="1:11" x14ac:dyDescent="0.3">
      <c r="A485" s="28">
        <v>0.37050699999999998</v>
      </c>
      <c r="B485" s="3">
        <v>9.6699999999999994E-2</v>
      </c>
      <c r="C485" s="3" t="s">
        <v>5</v>
      </c>
      <c r="D485" s="3">
        <v>1</v>
      </c>
      <c r="E485" s="3">
        <v>99.436000000000007</v>
      </c>
      <c r="F485" s="3">
        <v>484</v>
      </c>
      <c r="G485" s="3">
        <f t="shared" si="36"/>
        <v>6.9999999999993179E-2</v>
      </c>
      <c r="H485" s="3">
        <f t="shared" si="37"/>
        <v>0.72388831437428314</v>
      </c>
      <c r="I485" s="3">
        <f t="shared" si="38"/>
        <v>6.9999999999993179E-2</v>
      </c>
      <c r="J485" s="3">
        <f t="shared" si="35"/>
        <v>108.25547445255475</v>
      </c>
      <c r="K485" s="29">
        <f t="shared" si="39"/>
        <v>4.6844939379138379</v>
      </c>
    </row>
    <row r="486" spans="1:11" x14ac:dyDescent="0.3">
      <c r="A486" s="26">
        <v>0.37412099999999998</v>
      </c>
      <c r="B486" s="2">
        <v>0.10299999999999999</v>
      </c>
      <c r="C486" s="2" t="s">
        <v>5</v>
      </c>
      <c r="D486" s="2">
        <v>1</v>
      </c>
      <c r="E486" s="2">
        <v>99.506</v>
      </c>
      <c r="F486" s="2">
        <v>485</v>
      </c>
      <c r="G486" s="2">
        <f t="shared" si="36"/>
        <v>7.0000000000050022E-3</v>
      </c>
      <c r="H486" s="2">
        <f t="shared" si="37"/>
        <v>6.7961165048592259E-2</v>
      </c>
      <c r="I486" s="2">
        <f t="shared" si="38"/>
        <v>7.0000000000050022E-3</v>
      </c>
      <c r="J486" s="2">
        <f t="shared" si="35"/>
        <v>108.25547445255475</v>
      </c>
      <c r="K486" s="27">
        <f t="shared" si="39"/>
        <v>4.6844939379138379</v>
      </c>
    </row>
    <row r="487" spans="1:11" x14ac:dyDescent="0.3">
      <c r="A487" s="28">
        <v>0.37445600000000001</v>
      </c>
      <c r="B487" s="3">
        <v>8.7800000000000003E-2</v>
      </c>
      <c r="C487" s="3" t="s">
        <v>5</v>
      </c>
      <c r="D487" s="3">
        <v>1</v>
      </c>
      <c r="E487" s="3">
        <v>99.513000000000005</v>
      </c>
      <c r="F487" s="3">
        <v>486</v>
      </c>
      <c r="G487" s="3">
        <f t="shared" si="36"/>
        <v>2.1000000000000796E-2</v>
      </c>
      <c r="H487" s="3">
        <f t="shared" si="37"/>
        <v>0.2391799544419225</v>
      </c>
      <c r="I487" s="3">
        <f t="shared" si="38"/>
        <v>2.1000000000000796E-2</v>
      </c>
      <c r="J487" s="3">
        <f t="shared" si="35"/>
        <v>108.25547445255475</v>
      </c>
      <c r="K487" s="29">
        <f t="shared" si="39"/>
        <v>4.6844939379138379</v>
      </c>
    </row>
    <row r="488" spans="1:11" x14ac:dyDescent="0.3">
      <c r="A488" s="26">
        <v>0.37468400000000002</v>
      </c>
      <c r="B488" s="2">
        <v>0.11509999999999999</v>
      </c>
      <c r="C488" s="2" t="s">
        <v>5</v>
      </c>
      <c r="D488" s="2">
        <v>1</v>
      </c>
      <c r="E488" s="2">
        <v>99.534000000000006</v>
      </c>
      <c r="F488" s="2">
        <v>487</v>
      </c>
      <c r="G488" s="2">
        <f t="shared" si="36"/>
        <v>6.6999999999993065E-2</v>
      </c>
      <c r="H488" s="2">
        <f t="shared" si="37"/>
        <v>0.58210251954815873</v>
      </c>
      <c r="I488" s="2">
        <f t="shared" si="38"/>
        <v>6.6999999999993065E-2</v>
      </c>
      <c r="J488" s="2">
        <f t="shared" si="35"/>
        <v>108.25547445255475</v>
      </c>
      <c r="K488" s="27">
        <f t="shared" si="39"/>
        <v>4.6844939379138379</v>
      </c>
    </row>
    <row r="489" spans="1:11" x14ac:dyDescent="0.3">
      <c r="A489" s="28">
        <v>0.37557800000000002</v>
      </c>
      <c r="B489" s="3">
        <v>9.4200000000000006E-2</v>
      </c>
      <c r="C489" s="3">
        <v>30</v>
      </c>
      <c r="D489" s="3">
        <v>1</v>
      </c>
      <c r="E489" s="3">
        <v>99.600999999999999</v>
      </c>
      <c r="F489" s="3">
        <v>488</v>
      </c>
      <c r="G489" s="3">
        <f t="shared" si="36"/>
        <v>2.5000000000005684E-2</v>
      </c>
      <c r="H489" s="3">
        <f t="shared" si="37"/>
        <v>0.26539278131640853</v>
      </c>
      <c r="I489" s="3">
        <f t="shared" si="38"/>
        <v>2.5000000000005684E-2</v>
      </c>
      <c r="J489" s="3">
        <f t="shared" si="35"/>
        <v>30</v>
      </c>
      <c r="K489" s="29">
        <f t="shared" si="39"/>
        <v>3.4011973816621555</v>
      </c>
    </row>
    <row r="490" spans="1:11" x14ac:dyDescent="0.3">
      <c r="A490" s="26">
        <v>0.377106</v>
      </c>
      <c r="B490" s="2">
        <v>0.10440000000000001</v>
      </c>
      <c r="C490" s="2" t="s">
        <v>5</v>
      </c>
      <c r="D490" s="2">
        <v>1</v>
      </c>
      <c r="E490" s="2">
        <v>99.626000000000005</v>
      </c>
      <c r="F490" s="2">
        <v>489</v>
      </c>
      <c r="G490" s="2">
        <f t="shared" si="36"/>
        <v>3.6000000000001364E-2</v>
      </c>
      <c r="H490" s="2">
        <f t="shared" si="37"/>
        <v>0.34482758620690962</v>
      </c>
      <c r="I490" s="2">
        <f t="shared" si="38"/>
        <v>3.6000000000001364E-2</v>
      </c>
      <c r="J490" s="2">
        <f t="shared" si="35"/>
        <v>108.25547445255475</v>
      </c>
      <c r="K490" s="27">
        <f t="shared" si="39"/>
        <v>4.6844939379138379</v>
      </c>
    </row>
    <row r="491" spans="1:11" x14ac:dyDescent="0.3">
      <c r="A491" s="28">
        <v>0.377606</v>
      </c>
      <c r="B491" s="3">
        <v>8.8499999999999995E-2</v>
      </c>
      <c r="C491" s="3" t="s">
        <v>5</v>
      </c>
      <c r="D491" s="3">
        <v>1</v>
      </c>
      <c r="E491" s="3">
        <v>99.662000000000006</v>
      </c>
      <c r="F491" s="3">
        <v>490</v>
      </c>
      <c r="G491" s="3">
        <f t="shared" si="36"/>
        <v>1.8000000000000682E-2</v>
      </c>
      <c r="H491" s="3">
        <f t="shared" si="37"/>
        <v>0.20338983050848231</v>
      </c>
      <c r="I491" s="3">
        <f t="shared" si="38"/>
        <v>1.8000000000000682E-2</v>
      </c>
      <c r="J491" s="3">
        <f t="shared" si="35"/>
        <v>108.25547445255475</v>
      </c>
      <c r="K491" s="29">
        <f t="shared" si="39"/>
        <v>4.6844939379138379</v>
      </c>
    </row>
    <row r="492" spans="1:11" x14ac:dyDescent="0.3">
      <c r="A492" s="26">
        <v>0.38033</v>
      </c>
      <c r="B492" s="2">
        <v>8.4199999999999997E-2</v>
      </c>
      <c r="C492" s="2" t="s">
        <v>5</v>
      </c>
      <c r="D492" s="2">
        <v>-1</v>
      </c>
      <c r="E492" s="2">
        <v>99.68</v>
      </c>
      <c r="F492" s="2">
        <v>491</v>
      </c>
      <c r="G492" s="2">
        <f t="shared" si="36"/>
        <v>-5.0000000000011369E-2</v>
      </c>
      <c r="H492" s="2">
        <f t="shared" si="37"/>
        <v>-0.59382422802863866</v>
      </c>
      <c r="I492" s="2">
        <f t="shared" si="38"/>
        <v>5.0000000000011369E-2</v>
      </c>
      <c r="J492" s="2">
        <f t="shared" si="35"/>
        <v>108.25547445255475</v>
      </c>
      <c r="K492" s="27">
        <f t="shared" si="39"/>
        <v>4.6844939379138379</v>
      </c>
    </row>
    <row r="493" spans="1:11" x14ac:dyDescent="0.3">
      <c r="A493" s="28">
        <v>0.38241999999999998</v>
      </c>
      <c r="B493" s="3">
        <v>0.1198</v>
      </c>
      <c r="C493" s="3" t="s">
        <v>5</v>
      </c>
      <c r="D493" s="3">
        <v>-1</v>
      </c>
      <c r="E493" s="3">
        <v>99.63</v>
      </c>
      <c r="F493" s="3">
        <v>492</v>
      </c>
      <c r="G493" s="3">
        <f t="shared" si="36"/>
        <v>-0.13100000000000023</v>
      </c>
      <c r="H493" s="3">
        <f t="shared" si="37"/>
        <v>-1.0934891485809701</v>
      </c>
      <c r="I493" s="3">
        <f t="shared" si="38"/>
        <v>0.13100000000000023</v>
      </c>
      <c r="J493" s="3">
        <f t="shared" si="35"/>
        <v>108.25547445255475</v>
      </c>
      <c r="K493" s="29">
        <f t="shared" si="39"/>
        <v>4.6844939379138379</v>
      </c>
    </row>
    <row r="494" spans="1:11" x14ac:dyDescent="0.3">
      <c r="A494" s="26">
        <v>0.38252599999999998</v>
      </c>
      <c r="B494" s="2">
        <v>0.11650000000000001</v>
      </c>
      <c r="C494" s="2" t="s">
        <v>5</v>
      </c>
      <c r="D494" s="2">
        <v>1</v>
      </c>
      <c r="E494" s="2">
        <v>99.498999999999995</v>
      </c>
      <c r="F494" s="2">
        <v>493</v>
      </c>
      <c r="G494" s="2">
        <f t="shared" si="36"/>
        <v>6.0000000000002274E-2</v>
      </c>
      <c r="H494" s="2">
        <f t="shared" si="37"/>
        <v>0.51502145922748732</v>
      </c>
      <c r="I494" s="2">
        <f t="shared" si="38"/>
        <v>6.0000000000002274E-2</v>
      </c>
      <c r="J494" s="2">
        <f t="shared" si="35"/>
        <v>108.25547445255475</v>
      </c>
      <c r="K494" s="27">
        <f t="shared" si="39"/>
        <v>4.6844939379138379</v>
      </c>
    </row>
    <row r="495" spans="1:11" x14ac:dyDescent="0.3">
      <c r="A495" s="28">
        <v>0.38388899999999998</v>
      </c>
      <c r="B495" s="3">
        <v>9.7600000000000006E-2</v>
      </c>
      <c r="C495" s="3" t="s">
        <v>5</v>
      </c>
      <c r="D495" s="3">
        <v>1</v>
      </c>
      <c r="E495" s="3">
        <v>99.558999999999997</v>
      </c>
      <c r="F495" s="2">
        <v>494</v>
      </c>
      <c r="G495" s="2">
        <f t="shared" si="36"/>
        <v>6.6000000000002501E-2</v>
      </c>
      <c r="H495" s="2">
        <f t="shared" si="37"/>
        <v>0.67622950819674688</v>
      </c>
      <c r="I495" s="2">
        <f t="shared" si="38"/>
        <v>6.6000000000002501E-2</v>
      </c>
      <c r="J495" s="2">
        <f t="shared" si="35"/>
        <v>108.25547445255475</v>
      </c>
      <c r="K495" s="27">
        <f t="shared" si="39"/>
        <v>4.6844939379138379</v>
      </c>
    </row>
    <row r="496" spans="1:11" x14ac:dyDescent="0.3">
      <c r="A496" s="26">
        <v>0.38394699999999998</v>
      </c>
      <c r="B496" s="2">
        <v>9.9500000000000005E-2</v>
      </c>
      <c r="C496" s="2" t="s">
        <v>5</v>
      </c>
      <c r="D496" s="2">
        <v>-1</v>
      </c>
      <c r="E496" s="2">
        <v>99.625</v>
      </c>
      <c r="F496" s="3">
        <v>495</v>
      </c>
      <c r="G496" s="3">
        <f t="shared" si="36"/>
        <v>-5.700000000000216E-2</v>
      </c>
      <c r="H496" s="3">
        <f t="shared" si="37"/>
        <v>-0.57286432160806189</v>
      </c>
      <c r="I496" s="3">
        <f t="shared" si="38"/>
        <v>5.700000000000216E-2</v>
      </c>
      <c r="J496" s="3">
        <f t="shared" si="35"/>
        <v>108.25547445255475</v>
      </c>
      <c r="K496" s="29">
        <f t="shared" si="39"/>
        <v>4.6844939379138379</v>
      </c>
    </row>
    <row r="497" spans="1:11" x14ac:dyDescent="0.3">
      <c r="A497" s="28">
        <v>0.38414100000000001</v>
      </c>
      <c r="B497" s="3">
        <v>0.1149</v>
      </c>
      <c r="C497" s="3" t="s">
        <v>5</v>
      </c>
      <c r="D497" s="3">
        <v>-1</v>
      </c>
      <c r="E497" s="3">
        <v>99.567999999999998</v>
      </c>
      <c r="F497" s="2">
        <v>496</v>
      </c>
      <c r="G497" s="2">
        <f t="shared" si="36"/>
        <v>-0.12199999999999989</v>
      </c>
      <c r="H497" s="2">
        <f t="shared" si="37"/>
        <v>-1.061792863359442</v>
      </c>
      <c r="I497" s="2">
        <f t="shared" si="38"/>
        <v>0.12199999999999989</v>
      </c>
      <c r="J497" s="2">
        <f t="shared" si="35"/>
        <v>108.25547445255475</v>
      </c>
      <c r="K497" s="27">
        <f t="shared" si="39"/>
        <v>4.6844939379138379</v>
      </c>
    </row>
    <row r="498" spans="1:11" x14ac:dyDescent="0.3">
      <c r="A498" s="26">
        <v>0.38417899999999999</v>
      </c>
      <c r="B498" s="2">
        <v>0.109</v>
      </c>
      <c r="C498" s="2">
        <v>150</v>
      </c>
      <c r="D498" s="2">
        <v>1</v>
      </c>
      <c r="E498" s="2">
        <v>99.445999999999998</v>
      </c>
      <c r="F498" s="3">
        <v>497</v>
      </c>
      <c r="G498" s="3">
        <f t="shared" si="36"/>
        <v>0.11299999999999955</v>
      </c>
      <c r="H498" s="3">
        <f t="shared" si="37"/>
        <v>1.0366972477064178</v>
      </c>
      <c r="I498" s="3">
        <f t="shared" si="38"/>
        <v>0.11299999999999955</v>
      </c>
      <c r="J498" s="3">
        <f t="shared" si="35"/>
        <v>150</v>
      </c>
      <c r="K498" s="29">
        <f t="shared" si="39"/>
        <v>5.0106352940962555</v>
      </c>
    </row>
    <row r="499" spans="1:11" x14ac:dyDescent="0.3">
      <c r="A499" s="28">
        <v>0.38581100000000002</v>
      </c>
      <c r="B499" s="3">
        <v>0.10249999999999999</v>
      </c>
      <c r="C499" s="3" t="s">
        <v>5</v>
      </c>
      <c r="D499" s="3">
        <v>1</v>
      </c>
      <c r="E499" s="3">
        <v>99.558999999999997</v>
      </c>
      <c r="F499" s="2">
        <v>498</v>
      </c>
      <c r="G499" s="2">
        <f t="shared" si="36"/>
        <v>1.2000000000000455E-2</v>
      </c>
      <c r="H499" s="2">
        <f t="shared" si="37"/>
        <v>0.11707317073171176</v>
      </c>
      <c r="I499" s="2">
        <f t="shared" si="38"/>
        <v>1.2000000000000455E-2</v>
      </c>
      <c r="J499" s="2">
        <f t="shared" si="35"/>
        <v>108.25547445255475</v>
      </c>
      <c r="K499" s="27">
        <f t="shared" si="39"/>
        <v>4.6844939379138379</v>
      </c>
    </row>
    <row r="500" spans="1:11" x14ac:dyDescent="0.3">
      <c r="A500" s="26">
        <v>0.386546</v>
      </c>
      <c r="B500" s="2">
        <v>9.2799999999999994E-2</v>
      </c>
      <c r="C500" s="2" t="s">
        <v>5</v>
      </c>
      <c r="D500" s="2">
        <v>1</v>
      </c>
      <c r="E500" s="2">
        <v>99.570999999999998</v>
      </c>
      <c r="F500" s="3">
        <v>499</v>
      </c>
      <c r="G500" s="3">
        <f t="shared" si="36"/>
        <v>0.11200000000000898</v>
      </c>
      <c r="H500" s="3">
        <f t="shared" si="37"/>
        <v>1.2068965517242347</v>
      </c>
      <c r="I500" s="3">
        <f t="shared" si="38"/>
        <v>0.11200000000000898</v>
      </c>
      <c r="J500" s="3">
        <f t="shared" si="35"/>
        <v>108.25547445255475</v>
      </c>
      <c r="K500" s="29">
        <f t="shared" si="39"/>
        <v>4.6844939379138379</v>
      </c>
    </row>
    <row r="501" spans="1:11" x14ac:dyDescent="0.3">
      <c r="A501" s="28">
        <v>0.38659300000000002</v>
      </c>
      <c r="B501" s="3">
        <v>9.2700000000000005E-2</v>
      </c>
      <c r="C501" s="3" t="s">
        <v>5</v>
      </c>
      <c r="D501" s="3">
        <v>1</v>
      </c>
      <c r="E501" s="3">
        <v>99.683000000000007</v>
      </c>
      <c r="F501" s="2">
        <v>500</v>
      </c>
      <c r="G501" s="2">
        <f t="shared" si="36"/>
        <v>5.7999999999992724E-2</v>
      </c>
      <c r="H501" s="2">
        <f t="shared" si="37"/>
        <v>0.62567421790714906</v>
      </c>
      <c r="I501" s="2">
        <f t="shared" si="38"/>
        <v>5.7999999999992724E-2</v>
      </c>
      <c r="J501" s="2">
        <f t="shared" si="35"/>
        <v>108.25547445255475</v>
      </c>
      <c r="K501" s="27">
        <f t="shared" si="39"/>
        <v>4.6844939379138379</v>
      </c>
    </row>
    <row r="502" spans="1:11" x14ac:dyDescent="0.3">
      <c r="A502" s="26">
        <v>0.38720100000000002</v>
      </c>
      <c r="B502" s="2">
        <v>0.1028</v>
      </c>
      <c r="C502" s="2"/>
      <c r="D502" s="2">
        <v>1</v>
      </c>
      <c r="E502" s="2">
        <v>99.741</v>
      </c>
      <c r="F502" s="3">
        <v>501</v>
      </c>
      <c r="G502" s="3">
        <f t="shared" si="36"/>
        <v>-4.0000000000048885E-3</v>
      </c>
      <c r="H502" s="3">
        <f t="shared" si="37"/>
        <v>-3.8910505836623428E-2</v>
      </c>
      <c r="I502" s="3">
        <f t="shared" si="38"/>
        <v>-4.0000000000048885E-3</v>
      </c>
      <c r="J502" s="3">
        <f t="shared" si="35"/>
        <v>108.25547445255475</v>
      </c>
      <c r="K502" s="29">
        <f t="shared" si="39"/>
        <v>4.6844939379138379</v>
      </c>
    </row>
    <row r="503" spans="1:11" x14ac:dyDescent="0.3">
      <c r="A503" s="28">
        <v>0.38766699999999998</v>
      </c>
      <c r="B503" s="3">
        <v>9.9199999999999997E-2</v>
      </c>
      <c r="C503" s="3" t="s">
        <v>5</v>
      </c>
      <c r="D503" s="3">
        <v>-1</v>
      </c>
      <c r="E503" s="3">
        <v>99.736999999999995</v>
      </c>
      <c r="F503" s="2">
        <v>502</v>
      </c>
      <c r="G503" s="2">
        <f t="shared" si="36"/>
        <v>-7.9999999999998295E-2</v>
      </c>
      <c r="H503" s="2">
        <f t="shared" si="37"/>
        <v>-0.80645161290320866</v>
      </c>
      <c r="I503" s="2">
        <f t="shared" si="38"/>
        <v>7.9999999999998295E-2</v>
      </c>
      <c r="J503" s="2">
        <f t="shared" si="35"/>
        <v>108.25547445255475</v>
      </c>
      <c r="K503" s="27">
        <f t="shared" si="39"/>
        <v>4.6844939379138379</v>
      </c>
    </row>
    <row r="504" spans="1:11" x14ac:dyDescent="0.3">
      <c r="A504" s="26">
        <v>0.38911600000000002</v>
      </c>
      <c r="B504" s="2">
        <v>0.1072</v>
      </c>
      <c r="C504" s="2" t="s">
        <v>5</v>
      </c>
      <c r="D504" s="2">
        <v>1</v>
      </c>
      <c r="E504" s="2">
        <v>99.656999999999996</v>
      </c>
      <c r="F504" s="3">
        <v>503</v>
      </c>
      <c r="G504" s="3">
        <f t="shared" si="36"/>
        <v>2.5000000000005684E-2</v>
      </c>
      <c r="H504" s="3">
        <f t="shared" si="37"/>
        <v>0.23320895522393362</v>
      </c>
      <c r="I504" s="3">
        <f t="shared" si="38"/>
        <v>2.5000000000005684E-2</v>
      </c>
      <c r="J504" s="3">
        <f t="shared" si="35"/>
        <v>108.25547445255475</v>
      </c>
      <c r="K504" s="29">
        <f t="shared" si="39"/>
        <v>4.6844939379138379</v>
      </c>
    </row>
    <row r="505" spans="1:11" x14ac:dyDescent="0.3">
      <c r="A505" s="28">
        <v>0.38972499999999999</v>
      </c>
      <c r="B505" s="3">
        <v>0.1125</v>
      </c>
      <c r="C505" s="3" t="s">
        <v>5</v>
      </c>
      <c r="D505" s="3">
        <v>-1</v>
      </c>
      <c r="E505" s="3">
        <v>99.682000000000002</v>
      </c>
      <c r="F505" s="2">
        <v>504</v>
      </c>
      <c r="G505" s="2">
        <f t="shared" si="36"/>
        <v>-6.7000000000007276E-2</v>
      </c>
      <c r="H505" s="2">
        <f t="shared" si="37"/>
        <v>-0.59555555555562023</v>
      </c>
      <c r="I505" s="2">
        <f t="shared" si="38"/>
        <v>6.7000000000007276E-2</v>
      </c>
      <c r="J505" s="2">
        <f t="shared" si="35"/>
        <v>108.25547445255475</v>
      </c>
      <c r="K505" s="27">
        <f t="shared" si="39"/>
        <v>4.6844939379138379</v>
      </c>
    </row>
    <row r="506" spans="1:11" x14ac:dyDescent="0.3">
      <c r="A506" s="26">
        <v>0.39180100000000001</v>
      </c>
      <c r="B506" s="2">
        <v>0.1232</v>
      </c>
      <c r="C506" s="2" t="s">
        <v>5</v>
      </c>
      <c r="D506" s="2">
        <v>-1</v>
      </c>
      <c r="E506" s="2">
        <v>99.614999999999995</v>
      </c>
      <c r="F506" s="3">
        <v>505</v>
      </c>
      <c r="G506" s="3">
        <f t="shared" si="36"/>
        <v>-3.9000000000001478E-2</v>
      </c>
      <c r="H506" s="3">
        <f t="shared" si="37"/>
        <v>-0.31655844155845353</v>
      </c>
      <c r="I506" s="3">
        <f t="shared" si="38"/>
        <v>3.9000000000001478E-2</v>
      </c>
      <c r="J506" s="3">
        <f t="shared" si="35"/>
        <v>108.25547445255475</v>
      </c>
      <c r="K506" s="29">
        <f t="shared" si="39"/>
        <v>4.6844939379138379</v>
      </c>
    </row>
    <row r="507" spans="1:11" x14ac:dyDescent="0.3">
      <c r="A507" s="28">
        <v>0.39187499999999997</v>
      </c>
      <c r="B507" s="3">
        <v>8.77E-2</v>
      </c>
      <c r="C507" s="3" t="s">
        <v>5</v>
      </c>
      <c r="D507" s="3">
        <v>1</v>
      </c>
      <c r="E507" s="3">
        <v>99.575999999999993</v>
      </c>
      <c r="F507" s="2">
        <v>506</v>
      </c>
      <c r="G507" s="2">
        <f t="shared" si="36"/>
        <v>6.5000000000011937E-2</v>
      </c>
      <c r="H507" s="2">
        <f t="shared" si="37"/>
        <v>0.74116305587242803</v>
      </c>
      <c r="I507" s="2">
        <f t="shared" si="38"/>
        <v>6.5000000000011937E-2</v>
      </c>
      <c r="J507" s="2">
        <f t="shared" si="35"/>
        <v>108.25547445255475</v>
      </c>
      <c r="K507" s="27">
        <f t="shared" si="39"/>
        <v>4.6844939379138379</v>
      </c>
    </row>
    <row r="508" spans="1:11" x14ac:dyDescent="0.3">
      <c r="A508" s="26">
        <v>0.39419900000000002</v>
      </c>
      <c r="B508" s="2">
        <v>9.8000000000000004E-2</v>
      </c>
      <c r="C508" s="2" t="s">
        <v>5</v>
      </c>
      <c r="D508" s="2">
        <v>1</v>
      </c>
      <c r="E508" s="2">
        <v>99.641000000000005</v>
      </c>
      <c r="F508" s="3">
        <v>507</v>
      </c>
      <c r="G508" s="3">
        <f t="shared" si="36"/>
        <v>7.7999999999988745E-2</v>
      </c>
      <c r="H508" s="3">
        <f t="shared" si="37"/>
        <v>0.79591836734682386</v>
      </c>
      <c r="I508" s="3">
        <f t="shared" si="38"/>
        <v>7.7999999999988745E-2</v>
      </c>
      <c r="J508" s="3">
        <f t="shared" si="35"/>
        <v>108.25547445255475</v>
      </c>
      <c r="K508" s="29">
        <f t="shared" si="39"/>
        <v>4.6844939379138379</v>
      </c>
    </row>
    <row r="509" spans="1:11" x14ac:dyDescent="0.3">
      <c r="A509" s="28">
        <v>0.395399</v>
      </c>
      <c r="B509" s="3">
        <v>6.93E-2</v>
      </c>
      <c r="C509" s="3" t="s">
        <v>5</v>
      </c>
      <c r="D509" s="3">
        <v>-1</v>
      </c>
      <c r="E509" s="3">
        <v>99.718999999999994</v>
      </c>
      <c r="F509" s="2">
        <v>508</v>
      </c>
      <c r="G509" s="2">
        <f t="shared" si="36"/>
        <v>-3.1999999999996476E-2</v>
      </c>
      <c r="H509" s="2">
        <f t="shared" si="37"/>
        <v>-0.46176046176041091</v>
      </c>
      <c r="I509" s="2">
        <f t="shared" si="38"/>
        <v>3.1999999999996476E-2</v>
      </c>
      <c r="J509" s="2">
        <f t="shared" si="35"/>
        <v>108.25547445255475</v>
      </c>
      <c r="K509" s="27">
        <f t="shared" si="39"/>
        <v>4.6844939379138379</v>
      </c>
    </row>
    <row r="510" spans="1:11" x14ac:dyDescent="0.3">
      <c r="A510" s="26">
        <v>0.39665400000000001</v>
      </c>
      <c r="B510" s="2">
        <v>0.1011</v>
      </c>
      <c r="C510" s="2" t="s">
        <v>5</v>
      </c>
      <c r="D510" s="2">
        <v>-1</v>
      </c>
      <c r="E510" s="2">
        <v>99.686999999999998</v>
      </c>
      <c r="F510" s="3">
        <v>509</v>
      </c>
      <c r="G510" s="3">
        <f t="shared" si="36"/>
        <v>-6.4999999999997726E-2</v>
      </c>
      <c r="H510" s="3">
        <f t="shared" si="37"/>
        <v>-0.64292779426308333</v>
      </c>
      <c r="I510" s="3">
        <f t="shared" si="38"/>
        <v>6.4999999999997726E-2</v>
      </c>
      <c r="J510" s="3">
        <f t="shared" si="35"/>
        <v>108.25547445255475</v>
      </c>
      <c r="K510" s="29">
        <f t="shared" si="39"/>
        <v>4.6844939379138379</v>
      </c>
    </row>
    <row r="511" spans="1:11" x14ac:dyDescent="0.3">
      <c r="A511" s="28">
        <v>0.39704</v>
      </c>
      <c r="B511" s="3">
        <v>9.3799999999999994E-2</v>
      </c>
      <c r="C511" s="3" t="s">
        <v>5</v>
      </c>
      <c r="D511" s="3">
        <v>-1</v>
      </c>
      <c r="E511" s="3">
        <v>99.622</v>
      </c>
      <c r="F511" s="2">
        <v>510</v>
      </c>
      <c r="G511" s="2">
        <f t="shared" si="36"/>
        <v>-3.1999999999996476E-2</v>
      </c>
      <c r="H511" s="2">
        <f t="shared" si="37"/>
        <v>-0.3411513859274678</v>
      </c>
      <c r="I511" s="2">
        <f t="shared" si="38"/>
        <v>3.1999999999996476E-2</v>
      </c>
      <c r="J511" s="2">
        <f t="shared" si="35"/>
        <v>108.25547445255475</v>
      </c>
      <c r="K511" s="27">
        <f t="shared" si="39"/>
        <v>4.6844939379138379</v>
      </c>
    </row>
    <row r="512" spans="1:11" x14ac:dyDescent="0.3">
      <c r="A512" s="26">
        <v>0.39894800000000002</v>
      </c>
      <c r="B512" s="2">
        <v>9.2999999999999999E-2</v>
      </c>
      <c r="C512" s="2">
        <v>120</v>
      </c>
      <c r="D512" s="2">
        <v>1</v>
      </c>
      <c r="E512" s="2">
        <v>99.59</v>
      </c>
      <c r="F512" s="2">
        <v>511</v>
      </c>
      <c r="G512" s="2">
        <f t="shared" si="36"/>
        <v>7.0999999999997954E-2</v>
      </c>
      <c r="H512" s="2">
        <f t="shared" si="37"/>
        <v>0.76344086021503177</v>
      </c>
      <c r="I512" s="2">
        <f t="shared" si="38"/>
        <v>7.0999999999997954E-2</v>
      </c>
      <c r="J512" s="2">
        <f t="shared" si="35"/>
        <v>120</v>
      </c>
      <c r="K512" s="27">
        <f t="shared" si="39"/>
        <v>4.7874917427820458</v>
      </c>
    </row>
    <row r="513" spans="1:11" x14ac:dyDescent="0.3">
      <c r="A513" s="28">
        <v>0.40026699999999998</v>
      </c>
      <c r="B513" s="3">
        <v>0.10539999999999999</v>
      </c>
      <c r="C513" s="3" t="s">
        <v>5</v>
      </c>
      <c r="D513" s="3">
        <v>-1</v>
      </c>
      <c r="E513" s="3">
        <v>99.661000000000001</v>
      </c>
      <c r="F513" s="3">
        <v>512</v>
      </c>
      <c r="G513" s="3">
        <f t="shared" si="36"/>
        <v>-9.4000000000008299E-2</v>
      </c>
      <c r="H513" s="3">
        <f t="shared" si="37"/>
        <v>-0.89184060721070502</v>
      </c>
      <c r="I513" s="3">
        <f t="shared" si="38"/>
        <v>9.4000000000008299E-2</v>
      </c>
      <c r="J513" s="3">
        <f t="shared" si="35"/>
        <v>108.25547445255475</v>
      </c>
      <c r="K513" s="29">
        <f t="shared" si="39"/>
        <v>4.6844939379138379</v>
      </c>
    </row>
    <row r="514" spans="1:11" x14ac:dyDescent="0.3">
      <c r="A514" s="26">
        <v>0.400696</v>
      </c>
      <c r="B514" s="2">
        <v>9.9099999999999994E-2</v>
      </c>
      <c r="C514" s="2" t="s">
        <v>5</v>
      </c>
      <c r="D514" s="2">
        <v>1</v>
      </c>
      <c r="E514" s="2">
        <v>99.566999999999993</v>
      </c>
      <c r="F514" s="2">
        <v>513</v>
      </c>
      <c r="G514" s="2">
        <f t="shared" si="36"/>
        <v>0.14100000000000534</v>
      </c>
      <c r="H514" s="2">
        <f t="shared" si="37"/>
        <v>1.4228052472250792</v>
      </c>
      <c r="I514" s="2">
        <f t="shared" si="38"/>
        <v>0.14100000000000534</v>
      </c>
      <c r="J514" s="2">
        <f t="shared" ref="J514:J577" si="40">IF(C514="",$AA$1,C514)</f>
        <v>108.25547445255475</v>
      </c>
      <c r="K514" s="27">
        <f t="shared" si="39"/>
        <v>4.6844939379138379</v>
      </c>
    </row>
    <row r="515" spans="1:11" x14ac:dyDescent="0.3">
      <c r="A515" s="28">
        <v>0.40515899999999999</v>
      </c>
      <c r="B515" s="3">
        <v>9.6799999999999997E-2</v>
      </c>
      <c r="C515" s="3" t="s">
        <v>5</v>
      </c>
      <c r="D515" s="3">
        <v>-1</v>
      </c>
      <c r="E515" s="3">
        <v>99.707999999999998</v>
      </c>
      <c r="F515" s="3">
        <v>514</v>
      </c>
      <c r="G515" s="3">
        <f t="shared" ref="G515:G578" si="41">E516-E515</f>
        <v>-9.7999999999998977E-2</v>
      </c>
      <c r="H515" s="3">
        <f t="shared" ref="H515:H578" si="42">IF(B515&lt;&gt;0,G515/B515,"")</f>
        <v>-1.0123966942148654</v>
      </c>
      <c r="I515" s="3">
        <f t="shared" ref="I515:I578" si="43">D515*G515</f>
        <v>9.7999999999998977E-2</v>
      </c>
      <c r="J515" s="3">
        <f t="shared" si="40"/>
        <v>108.25547445255475</v>
      </c>
      <c r="K515" s="29">
        <f t="shared" ref="K515:K578" si="44">LN(J515)</f>
        <v>4.6844939379138379</v>
      </c>
    </row>
    <row r="516" spans="1:11" x14ac:dyDescent="0.3">
      <c r="A516" s="26">
        <v>0.405719</v>
      </c>
      <c r="B516" s="2">
        <v>9.9000000000000005E-2</v>
      </c>
      <c r="C516" s="2" t="s">
        <v>5</v>
      </c>
      <c r="D516" s="2">
        <v>-1</v>
      </c>
      <c r="E516" s="2">
        <v>99.61</v>
      </c>
      <c r="F516" s="2">
        <v>515</v>
      </c>
      <c r="G516" s="2">
        <f t="shared" si="41"/>
        <v>-7.2000000000002728E-2</v>
      </c>
      <c r="H516" s="2">
        <f t="shared" si="42"/>
        <v>-0.72727272727275483</v>
      </c>
      <c r="I516" s="2">
        <f t="shared" si="43"/>
        <v>7.2000000000002728E-2</v>
      </c>
      <c r="J516" s="2">
        <f t="shared" si="40"/>
        <v>108.25547445255475</v>
      </c>
      <c r="K516" s="27">
        <f t="shared" si="44"/>
        <v>4.6844939379138379</v>
      </c>
    </row>
    <row r="517" spans="1:11" x14ac:dyDescent="0.3">
      <c r="A517" s="28">
        <v>0.40683900000000001</v>
      </c>
      <c r="B517" s="3">
        <v>0.1206</v>
      </c>
      <c r="C517" s="3" t="s">
        <v>5</v>
      </c>
      <c r="D517" s="3">
        <v>1</v>
      </c>
      <c r="E517" s="3">
        <v>99.537999999999997</v>
      </c>
      <c r="F517" s="3">
        <v>516</v>
      </c>
      <c r="G517" s="3">
        <f t="shared" si="41"/>
        <v>0.16800000000000637</v>
      </c>
      <c r="H517" s="3">
        <f t="shared" si="42"/>
        <v>1.3930348258706995</v>
      </c>
      <c r="I517" s="3">
        <f t="shared" si="43"/>
        <v>0.16800000000000637</v>
      </c>
      <c r="J517" s="3">
        <f t="shared" si="40"/>
        <v>108.25547445255475</v>
      </c>
      <c r="K517" s="29">
        <f t="shared" si="44"/>
        <v>4.6844939379138379</v>
      </c>
    </row>
    <row r="518" spans="1:11" x14ac:dyDescent="0.3">
      <c r="A518" s="26">
        <v>0.40693000000000001</v>
      </c>
      <c r="B518" s="2">
        <v>0.11509999999999999</v>
      </c>
      <c r="C518" s="2" t="s">
        <v>5</v>
      </c>
      <c r="D518" s="2">
        <v>-1</v>
      </c>
      <c r="E518" s="2">
        <v>99.706000000000003</v>
      </c>
      <c r="F518" s="2">
        <v>517</v>
      </c>
      <c r="G518" s="2">
        <f t="shared" si="41"/>
        <v>-0.20100000000000762</v>
      </c>
      <c r="H518" s="2">
        <f t="shared" si="42"/>
        <v>-1.746307558644723</v>
      </c>
      <c r="I518" s="2">
        <f t="shared" si="43"/>
        <v>0.20100000000000762</v>
      </c>
      <c r="J518" s="2">
        <f t="shared" si="40"/>
        <v>108.25547445255475</v>
      </c>
      <c r="K518" s="27">
        <f t="shared" si="44"/>
        <v>4.6844939379138379</v>
      </c>
    </row>
    <row r="519" spans="1:11" x14ac:dyDescent="0.3">
      <c r="A519" s="28">
        <v>0.40707399999999999</v>
      </c>
      <c r="B519" s="3">
        <v>0.1011</v>
      </c>
      <c r="C519" s="3" t="s">
        <v>5</v>
      </c>
      <c r="D519" s="3">
        <v>-1</v>
      </c>
      <c r="E519" s="3">
        <v>99.504999999999995</v>
      </c>
      <c r="F519" s="3">
        <v>518</v>
      </c>
      <c r="G519" s="3">
        <f t="shared" si="41"/>
        <v>-5.1999999999992497E-2</v>
      </c>
      <c r="H519" s="3">
        <f t="shared" si="42"/>
        <v>-0.51434223541041046</v>
      </c>
      <c r="I519" s="3">
        <f t="shared" si="43"/>
        <v>5.1999999999992497E-2</v>
      </c>
      <c r="J519" s="3">
        <f t="shared" si="40"/>
        <v>108.25547445255475</v>
      </c>
      <c r="K519" s="29">
        <f t="shared" si="44"/>
        <v>4.6844939379138379</v>
      </c>
    </row>
    <row r="520" spans="1:11" x14ac:dyDescent="0.3">
      <c r="A520" s="26">
        <v>0.408111</v>
      </c>
      <c r="B520" s="2">
        <v>0.1143</v>
      </c>
      <c r="C520" s="2">
        <v>220</v>
      </c>
      <c r="D520" s="2">
        <v>-1</v>
      </c>
      <c r="E520" s="2">
        <v>99.453000000000003</v>
      </c>
      <c r="F520" s="2">
        <v>519</v>
      </c>
      <c r="G520" s="2">
        <f t="shared" si="41"/>
        <v>-0.10699999999999932</v>
      </c>
      <c r="H520" s="2">
        <f t="shared" si="42"/>
        <v>-0.93613298337707196</v>
      </c>
      <c r="I520" s="2">
        <f t="shared" si="43"/>
        <v>0.10699999999999932</v>
      </c>
      <c r="J520" s="2">
        <f t="shared" si="40"/>
        <v>220</v>
      </c>
      <c r="K520" s="27">
        <f t="shared" si="44"/>
        <v>5.393627546352362</v>
      </c>
    </row>
    <row r="521" spans="1:11" x14ac:dyDescent="0.3">
      <c r="A521" s="28">
        <v>0.41070499999999999</v>
      </c>
      <c r="B521" s="3">
        <v>0.1172</v>
      </c>
      <c r="C521" s="3" t="s">
        <v>5</v>
      </c>
      <c r="D521" s="3">
        <v>1</v>
      </c>
      <c r="E521" s="3">
        <v>99.346000000000004</v>
      </c>
      <c r="F521" s="3">
        <v>520</v>
      </c>
      <c r="G521" s="3">
        <f t="shared" si="41"/>
        <v>5.1000000000001933E-2</v>
      </c>
      <c r="H521" s="3">
        <f t="shared" si="42"/>
        <v>0.43515358361776396</v>
      </c>
      <c r="I521" s="3">
        <f t="shared" si="43"/>
        <v>5.1000000000001933E-2</v>
      </c>
      <c r="J521" s="3">
        <f t="shared" si="40"/>
        <v>108.25547445255475</v>
      </c>
      <c r="K521" s="29">
        <f t="shared" si="44"/>
        <v>4.6844939379138379</v>
      </c>
    </row>
    <row r="522" spans="1:11" x14ac:dyDescent="0.3">
      <c r="A522" s="26">
        <v>0.41202899999999998</v>
      </c>
      <c r="B522" s="2">
        <v>0.109</v>
      </c>
      <c r="C522" s="2" t="s">
        <v>5</v>
      </c>
      <c r="D522" s="2">
        <v>1</v>
      </c>
      <c r="E522" s="2">
        <v>99.397000000000006</v>
      </c>
      <c r="F522" s="2">
        <v>521</v>
      </c>
      <c r="G522" s="2">
        <f t="shared" si="41"/>
        <v>9.9999999999909051E-3</v>
      </c>
      <c r="H522" s="2">
        <f t="shared" si="42"/>
        <v>9.1743119265971604E-2</v>
      </c>
      <c r="I522" s="2">
        <f t="shared" si="43"/>
        <v>9.9999999999909051E-3</v>
      </c>
      <c r="J522" s="2">
        <f t="shared" si="40"/>
        <v>108.25547445255475</v>
      </c>
      <c r="K522" s="27">
        <f t="shared" si="44"/>
        <v>4.6844939379138379</v>
      </c>
    </row>
    <row r="523" spans="1:11" x14ac:dyDescent="0.3">
      <c r="A523" s="28">
        <v>0.41245500000000002</v>
      </c>
      <c r="B523" s="3">
        <v>9.4500000000000001E-2</v>
      </c>
      <c r="C523" s="3" t="s">
        <v>5</v>
      </c>
      <c r="D523" s="3">
        <v>-1</v>
      </c>
      <c r="E523" s="3">
        <v>99.406999999999996</v>
      </c>
      <c r="F523" s="3">
        <v>522</v>
      </c>
      <c r="G523" s="3">
        <f t="shared" si="41"/>
        <v>-9.0000000000003411E-3</v>
      </c>
      <c r="H523" s="3">
        <f t="shared" si="42"/>
        <v>-9.5238095238098841E-2</v>
      </c>
      <c r="I523" s="3">
        <f t="shared" si="43"/>
        <v>9.0000000000003411E-3</v>
      </c>
      <c r="J523" s="3">
        <f t="shared" si="40"/>
        <v>108.25547445255475</v>
      </c>
      <c r="K523" s="29">
        <f t="shared" si="44"/>
        <v>4.6844939379138379</v>
      </c>
    </row>
    <row r="524" spans="1:11" x14ac:dyDescent="0.3">
      <c r="A524" s="26">
        <v>0.41314299999999998</v>
      </c>
      <c r="B524" s="2">
        <v>0.1244</v>
      </c>
      <c r="C524" s="2" t="s">
        <v>5</v>
      </c>
      <c r="D524" s="2">
        <v>-1</v>
      </c>
      <c r="E524" s="2">
        <v>99.397999999999996</v>
      </c>
      <c r="F524" s="2">
        <v>523</v>
      </c>
      <c r="G524" s="2">
        <f t="shared" si="41"/>
        <v>-0.11399999999999011</v>
      </c>
      <c r="H524" s="2">
        <f t="shared" si="42"/>
        <v>-0.91639871382628713</v>
      </c>
      <c r="I524" s="2">
        <f t="shared" si="43"/>
        <v>0.11399999999999011</v>
      </c>
      <c r="J524" s="2">
        <f t="shared" si="40"/>
        <v>108.25547445255475</v>
      </c>
      <c r="K524" s="27">
        <f t="shared" si="44"/>
        <v>4.6844939379138379</v>
      </c>
    </row>
    <row r="525" spans="1:11" x14ac:dyDescent="0.3">
      <c r="A525" s="28">
        <v>0.41570699999999999</v>
      </c>
      <c r="B525" s="3">
        <v>8.9499999999999996E-2</v>
      </c>
      <c r="C525" s="3" t="s">
        <v>5</v>
      </c>
      <c r="D525" s="3">
        <v>1</v>
      </c>
      <c r="E525" s="3">
        <v>99.284000000000006</v>
      </c>
      <c r="F525" s="3">
        <v>524</v>
      </c>
      <c r="G525" s="3">
        <f t="shared" si="41"/>
        <v>9.7999999999998977E-2</v>
      </c>
      <c r="H525" s="3">
        <f t="shared" si="42"/>
        <v>1.0949720670390948</v>
      </c>
      <c r="I525" s="3">
        <f t="shared" si="43"/>
        <v>9.7999999999998977E-2</v>
      </c>
      <c r="J525" s="3">
        <f t="shared" si="40"/>
        <v>108.25547445255475</v>
      </c>
      <c r="K525" s="29">
        <f t="shared" si="44"/>
        <v>4.6844939379138379</v>
      </c>
    </row>
    <row r="526" spans="1:11" x14ac:dyDescent="0.3">
      <c r="A526" s="26">
        <v>0.41792000000000001</v>
      </c>
      <c r="B526" s="2">
        <v>0.10290000000000001</v>
      </c>
      <c r="C526" s="2" t="s">
        <v>5</v>
      </c>
      <c r="D526" s="2">
        <v>1</v>
      </c>
      <c r="E526" s="2">
        <v>99.382000000000005</v>
      </c>
      <c r="F526" s="2">
        <v>525</v>
      </c>
      <c r="G526" s="2">
        <f t="shared" si="41"/>
        <v>9.4999999999998863E-2</v>
      </c>
      <c r="H526" s="2">
        <f t="shared" si="42"/>
        <v>0.92322643343050392</v>
      </c>
      <c r="I526" s="2">
        <f t="shared" si="43"/>
        <v>9.4999999999998863E-2</v>
      </c>
      <c r="J526" s="2">
        <f t="shared" si="40"/>
        <v>108.25547445255475</v>
      </c>
      <c r="K526" s="27">
        <f t="shared" si="44"/>
        <v>4.6844939379138379</v>
      </c>
    </row>
    <row r="527" spans="1:11" x14ac:dyDescent="0.3">
      <c r="A527" s="28">
        <v>0.419298</v>
      </c>
      <c r="B527" s="3">
        <v>0.1022</v>
      </c>
      <c r="C527" s="3" t="s">
        <v>5</v>
      </c>
      <c r="D527" s="3">
        <v>-1</v>
      </c>
      <c r="E527" s="3">
        <v>99.477000000000004</v>
      </c>
      <c r="F527" s="3">
        <v>526</v>
      </c>
      <c r="G527" s="3">
        <f t="shared" si="41"/>
        <v>-5.8999999999997499E-2</v>
      </c>
      <c r="H527" s="3">
        <f t="shared" si="42"/>
        <v>-0.57729941291582676</v>
      </c>
      <c r="I527" s="3">
        <f t="shared" si="43"/>
        <v>5.8999999999997499E-2</v>
      </c>
      <c r="J527" s="3">
        <f t="shared" si="40"/>
        <v>108.25547445255475</v>
      </c>
      <c r="K527" s="29">
        <f t="shared" si="44"/>
        <v>4.6844939379138379</v>
      </c>
    </row>
    <row r="528" spans="1:11" x14ac:dyDescent="0.3">
      <c r="A528" s="26">
        <v>0.41996800000000001</v>
      </c>
      <c r="B528" s="2">
        <v>0.1188</v>
      </c>
      <c r="C528" s="2" t="s">
        <v>5</v>
      </c>
      <c r="D528" s="2">
        <v>-1</v>
      </c>
      <c r="E528" s="2">
        <v>99.418000000000006</v>
      </c>
      <c r="F528" s="2">
        <v>527</v>
      </c>
      <c r="G528" s="2">
        <f t="shared" si="41"/>
        <v>-8.9000000000012847E-2</v>
      </c>
      <c r="H528" s="2">
        <f t="shared" si="42"/>
        <v>-0.74915824915835727</v>
      </c>
      <c r="I528" s="2">
        <f t="shared" si="43"/>
        <v>8.9000000000012847E-2</v>
      </c>
      <c r="J528" s="2">
        <f t="shared" si="40"/>
        <v>108.25547445255475</v>
      </c>
      <c r="K528" s="27">
        <f t="shared" si="44"/>
        <v>4.6844939379138379</v>
      </c>
    </row>
    <row r="529" spans="1:11" x14ac:dyDescent="0.3">
      <c r="A529" s="28">
        <v>0.42268600000000001</v>
      </c>
      <c r="B529" s="3">
        <v>9.6600000000000005E-2</v>
      </c>
      <c r="C529" s="3" t="s">
        <v>5</v>
      </c>
      <c r="D529" s="3">
        <v>1</v>
      </c>
      <c r="E529" s="3">
        <v>99.328999999999994</v>
      </c>
      <c r="F529" s="2">
        <v>528</v>
      </c>
      <c r="G529" s="2">
        <f t="shared" si="41"/>
        <v>6.9000000000002615E-2</v>
      </c>
      <c r="H529" s="2">
        <f t="shared" si="42"/>
        <v>0.71428571428574128</v>
      </c>
      <c r="I529" s="2">
        <f t="shared" si="43"/>
        <v>6.9000000000002615E-2</v>
      </c>
      <c r="J529" s="2">
        <f t="shared" si="40"/>
        <v>108.25547445255475</v>
      </c>
      <c r="K529" s="27">
        <f t="shared" si="44"/>
        <v>4.6844939379138379</v>
      </c>
    </row>
    <row r="530" spans="1:11" x14ac:dyDescent="0.3">
      <c r="A530" s="26">
        <v>0.423543</v>
      </c>
      <c r="B530" s="2">
        <v>0.105</v>
      </c>
      <c r="C530" s="2" t="s">
        <v>5</v>
      </c>
      <c r="D530" s="2">
        <v>-1</v>
      </c>
      <c r="E530" s="2">
        <v>99.397999999999996</v>
      </c>
      <c r="F530" s="3">
        <v>529</v>
      </c>
      <c r="G530" s="3">
        <f t="shared" si="41"/>
        <v>-5.700000000000216E-2</v>
      </c>
      <c r="H530" s="3">
        <f t="shared" si="42"/>
        <v>-0.54285714285716347</v>
      </c>
      <c r="I530" s="3">
        <f t="shared" si="43"/>
        <v>5.700000000000216E-2</v>
      </c>
      <c r="J530" s="3">
        <f t="shared" si="40"/>
        <v>108.25547445255475</v>
      </c>
      <c r="K530" s="29">
        <f t="shared" si="44"/>
        <v>4.6844939379138379</v>
      </c>
    </row>
    <row r="531" spans="1:11" x14ac:dyDescent="0.3">
      <c r="A531" s="28">
        <v>0.42518899999999998</v>
      </c>
      <c r="B531" s="3">
        <v>0.11210000000000001</v>
      </c>
      <c r="C531" s="3" t="s">
        <v>5</v>
      </c>
      <c r="D531" s="3">
        <v>1</v>
      </c>
      <c r="E531" s="3">
        <v>99.340999999999994</v>
      </c>
      <c r="F531" s="2">
        <v>530</v>
      </c>
      <c r="G531" s="2">
        <f t="shared" si="41"/>
        <v>0.11599999999999966</v>
      </c>
      <c r="H531" s="2">
        <f t="shared" si="42"/>
        <v>1.0347903657448676</v>
      </c>
      <c r="I531" s="2">
        <f t="shared" si="43"/>
        <v>0.11599999999999966</v>
      </c>
      <c r="J531" s="2">
        <f t="shared" si="40"/>
        <v>108.25547445255475</v>
      </c>
      <c r="K531" s="27">
        <f t="shared" si="44"/>
        <v>4.6844939379138379</v>
      </c>
    </row>
    <row r="532" spans="1:11" x14ac:dyDescent="0.3">
      <c r="A532" s="26">
        <v>0.42524600000000001</v>
      </c>
      <c r="B532" s="2">
        <v>9.5399999999999999E-2</v>
      </c>
      <c r="C532" s="2" t="s">
        <v>5</v>
      </c>
      <c r="D532" s="2">
        <v>-1</v>
      </c>
      <c r="E532" s="2">
        <v>99.456999999999994</v>
      </c>
      <c r="F532" s="3">
        <v>531</v>
      </c>
      <c r="G532" s="3">
        <f t="shared" si="41"/>
        <v>-7.0999999999997954E-2</v>
      </c>
      <c r="H532" s="3">
        <f t="shared" si="42"/>
        <v>-0.74423480083855298</v>
      </c>
      <c r="I532" s="3">
        <f t="shared" si="43"/>
        <v>7.0999999999997954E-2</v>
      </c>
      <c r="J532" s="3">
        <f t="shared" si="40"/>
        <v>108.25547445255475</v>
      </c>
      <c r="K532" s="29">
        <f t="shared" si="44"/>
        <v>4.6844939379138379</v>
      </c>
    </row>
    <row r="533" spans="1:11" x14ac:dyDescent="0.3">
      <c r="A533" s="28">
        <v>0.42528300000000002</v>
      </c>
      <c r="B533" s="3">
        <v>9.6500000000000002E-2</v>
      </c>
      <c r="C533" s="3" t="s">
        <v>5</v>
      </c>
      <c r="D533" s="3">
        <v>-1</v>
      </c>
      <c r="E533" s="3">
        <v>99.385999999999996</v>
      </c>
      <c r="F533" s="2">
        <v>532</v>
      </c>
      <c r="G533" s="2">
        <f t="shared" si="41"/>
        <v>-5.5999999999997385E-2</v>
      </c>
      <c r="H533" s="2">
        <f t="shared" si="42"/>
        <v>-0.58031088082898841</v>
      </c>
      <c r="I533" s="2">
        <f t="shared" si="43"/>
        <v>5.5999999999997385E-2</v>
      </c>
      <c r="J533" s="2">
        <f t="shared" si="40"/>
        <v>108.25547445255475</v>
      </c>
      <c r="K533" s="27">
        <f t="shared" si="44"/>
        <v>4.6844939379138379</v>
      </c>
    </row>
    <row r="534" spans="1:11" x14ac:dyDescent="0.3">
      <c r="A534" s="26">
        <v>0.42535800000000001</v>
      </c>
      <c r="B534" s="2">
        <v>0.1026</v>
      </c>
      <c r="C534" s="2">
        <v>90</v>
      </c>
      <c r="D534" s="2">
        <v>-1</v>
      </c>
      <c r="E534" s="2">
        <v>99.33</v>
      </c>
      <c r="F534" s="3">
        <v>533</v>
      </c>
      <c r="G534" s="3">
        <f t="shared" si="41"/>
        <v>-6.9000000000002615E-2</v>
      </c>
      <c r="H534" s="3">
        <f t="shared" si="42"/>
        <v>-0.67251461988306649</v>
      </c>
      <c r="I534" s="3">
        <f t="shared" si="43"/>
        <v>6.9000000000002615E-2</v>
      </c>
      <c r="J534" s="3">
        <f t="shared" si="40"/>
        <v>90</v>
      </c>
      <c r="K534" s="29">
        <f t="shared" si="44"/>
        <v>4.499809670330265</v>
      </c>
    </row>
    <row r="535" spans="1:11" x14ac:dyDescent="0.3">
      <c r="A535" s="28">
        <v>0.42549700000000001</v>
      </c>
      <c r="B535" s="3">
        <v>0.1095</v>
      </c>
      <c r="C535" s="3" t="s">
        <v>5</v>
      </c>
      <c r="D535" s="3">
        <v>1</v>
      </c>
      <c r="E535" s="3">
        <v>99.260999999999996</v>
      </c>
      <c r="F535" s="2">
        <v>534</v>
      </c>
      <c r="G535" s="2">
        <f t="shared" si="41"/>
        <v>5.1000000000001933E-2</v>
      </c>
      <c r="H535" s="2">
        <f t="shared" si="42"/>
        <v>0.46575342465755187</v>
      </c>
      <c r="I535" s="2">
        <f t="shared" si="43"/>
        <v>5.1000000000001933E-2</v>
      </c>
      <c r="J535" s="2">
        <f t="shared" si="40"/>
        <v>108.25547445255475</v>
      </c>
      <c r="K535" s="27">
        <f t="shared" si="44"/>
        <v>4.6844939379138379</v>
      </c>
    </row>
    <row r="536" spans="1:11" x14ac:dyDescent="0.3">
      <c r="A536" s="26">
        <v>0.42574699999999999</v>
      </c>
      <c r="B536" s="2">
        <v>8.4500000000000006E-2</v>
      </c>
      <c r="C536" s="2" t="s">
        <v>5</v>
      </c>
      <c r="D536" s="2">
        <v>1</v>
      </c>
      <c r="E536" s="2">
        <v>99.311999999999998</v>
      </c>
      <c r="F536" s="3">
        <v>535</v>
      </c>
      <c r="G536" s="3">
        <f t="shared" si="41"/>
        <v>4.600000000000648E-2</v>
      </c>
      <c r="H536" s="3">
        <f t="shared" si="42"/>
        <v>0.54437869822492868</v>
      </c>
      <c r="I536" s="3">
        <f t="shared" si="43"/>
        <v>4.600000000000648E-2</v>
      </c>
      <c r="J536" s="3">
        <f t="shared" si="40"/>
        <v>108.25547445255475</v>
      </c>
      <c r="K536" s="29">
        <f t="shared" si="44"/>
        <v>4.6844939379138379</v>
      </c>
    </row>
    <row r="537" spans="1:11" x14ac:dyDescent="0.3">
      <c r="A537" s="28">
        <v>0.42582199999999998</v>
      </c>
      <c r="B537" s="3">
        <v>0.1042</v>
      </c>
      <c r="C537" s="3" t="s">
        <v>5</v>
      </c>
      <c r="D537" s="3">
        <v>1</v>
      </c>
      <c r="E537" s="3">
        <v>99.358000000000004</v>
      </c>
      <c r="F537" s="2">
        <v>536</v>
      </c>
      <c r="G537" s="2">
        <f t="shared" si="41"/>
        <v>3.3000000000001251E-2</v>
      </c>
      <c r="H537" s="2">
        <f t="shared" si="42"/>
        <v>0.31669865642995443</v>
      </c>
      <c r="I537" s="2">
        <f t="shared" si="43"/>
        <v>3.3000000000001251E-2</v>
      </c>
      <c r="J537" s="2">
        <f t="shared" si="40"/>
        <v>108.25547445255475</v>
      </c>
      <c r="K537" s="27">
        <f t="shared" si="44"/>
        <v>4.6844939379138379</v>
      </c>
    </row>
    <row r="538" spans="1:11" x14ac:dyDescent="0.3">
      <c r="A538" s="26">
        <v>0.42595300000000003</v>
      </c>
      <c r="B538" s="2">
        <v>0.1094</v>
      </c>
      <c r="C538" s="2" t="s">
        <v>5</v>
      </c>
      <c r="D538" s="2">
        <v>1</v>
      </c>
      <c r="E538" s="2">
        <v>99.391000000000005</v>
      </c>
      <c r="F538" s="3">
        <v>537</v>
      </c>
      <c r="G538" s="3">
        <f t="shared" si="41"/>
        <v>0.10199999999998965</v>
      </c>
      <c r="H538" s="3">
        <f t="shared" si="42"/>
        <v>0.93235831809862579</v>
      </c>
      <c r="I538" s="3">
        <f t="shared" si="43"/>
        <v>0.10199999999998965</v>
      </c>
      <c r="J538" s="3">
        <f t="shared" si="40"/>
        <v>108.25547445255475</v>
      </c>
      <c r="K538" s="29">
        <f t="shared" si="44"/>
        <v>4.6844939379138379</v>
      </c>
    </row>
    <row r="539" spans="1:11" x14ac:dyDescent="0.3">
      <c r="A539" s="28">
        <v>0.42665199999999998</v>
      </c>
      <c r="B539" s="3">
        <v>0.1145</v>
      </c>
      <c r="C539" s="3" t="s">
        <v>5</v>
      </c>
      <c r="D539" s="3">
        <v>1</v>
      </c>
      <c r="E539" s="3">
        <v>99.492999999999995</v>
      </c>
      <c r="F539" s="2">
        <v>538</v>
      </c>
      <c r="G539" s="2">
        <f t="shared" si="41"/>
        <v>6.6000000000002501E-2</v>
      </c>
      <c r="H539" s="2">
        <f t="shared" si="42"/>
        <v>0.5764192139738209</v>
      </c>
      <c r="I539" s="2">
        <f t="shared" si="43"/>
        <v>6.6000000000002501E-2</v>
      </c>
      <c r="J539" s="2">
        <f t="shared" si="40"/>
        <v>108.25547445255475</v>
      </c>
      <c r="K539" s="27">
        <f t="shared" si="44"/>
        <v>4.6844939379138379</v>
      </c>
    </row>
    <row r="540" spans="1:11" x14ac:dyDescent="0.3">
      <c r="A540" s="26">
        <v>0.42825600000000003</v>
      </c>
      <c r="B540" s="2">
        <v>0.1216</v>
      </c>
      <c r="C540" s="2" t="s">
        <v>5</v>
      </c>
      <c r="D540" s="2">
        <v>-1</v>
      </c>
      <c r="E540" s="2">
        <v>99.558999999999997</v>
      </c>
      <c r="F540" s="3">
        <v>539</v>
      </c>
      <c r="G540" s="3">
        <f t="shared" si="41"/>
        <v>-0.10099999999999909</v>
      </c>
      <c r="H540" s="3">
        <f t="shared" si="42"/>
        <v>-0.83059210526315042</v>
      </c>
      <c r="I540" s="3">
        <f t="shared" si="43"/>
        <v>0.10099999999999909</v>
      </c>
      <c r="J540" s="3">
        <f t="shared" si="40"/>
        <v>108.25547445255475</v>
      </c>
      <c r="K540" s="29">
        <f t="shared" si="44"/>
        <v>4.6844939379138379</v>
      </c>
    </row>
    <row r="541" spans="1:11" x14ac:dyDescent="0.3">
      <c r="A541" s="28">
        <v>0.42936000000000002</v>
      </c>
      <c r="B541" s="3">
        <v>9.7500000000000003E-2</v>
      </c>
      <c r="C541" s="3" t="s">
        <v>5</v>
      </c>
      <c r="D541" s="3">
        <v>1</v>
      </c>
      <c r="E541" s="3">
        <v>99.457999999999998</v>
      </c>
      <c r="F541" s="2">
        <v>540</v>
      </c>
      <c r="G541" s="2">
        <f t="shared" si="41"/>
        <v>0.13599999999999568</v>
      </c>
      <c r="H541" s="2">
        <f t="shared" si="42"/>
        <v>1.3948717948717506</v>
      </c>
      <c r="I541" s="2">
        <f t="shared" si="43"/>
        <v>0.13599999999999568</v>
      </c>
      <c r="J541" s="2">
        <f t="shared" si="40"/>
        <v>108.25547445255475</v>
      </c>
      <c r="K541" s="27">
        <f t="shared" si="44"/>
        <v>4.6844939379138379</v>
      </c>
    </row>
    <row r="542" spans="1:11" x14ac:dyDescent="0.3">
      <c r="A542" s="26">
        <v>0.42998199999999998</v>
      </c>
      <c r="B542" s="2">
        <v>0.10730000000000001</v>
      </c>
      <c r="C542" s="2" t="s">
        <v>5</v>
      </c>
      <c r="D542" s="2">
        <v>-1</v>
      </c>
      <c r="E542" s="2">
        <v>99.593999999999994</v>
      </c>
      <c r="F542" s="3">
        <v>541</v>
      </c>
      <c r="G542" s="3">
        <f t="shared" si="41"/>
        <v>-2.7999999999991587E-2</v>
      </c>
      <c r="H542" s="3">
        <f t="shared" si="42"/>
        <v>-0.26095060577811358</v>
      </c>
      <c r="I542" s="3">
        <f t="shared" si="43"/>
        <v>2.7999999999991587E-2</v>
      </c>
      <c r="J542" s="3">
        <f t="shared" si="40"/>
        <v>108.25547445255475</v>
      </c>
      <c r="K542" s="29">
        <f t="shared" si="44"/>
        <v>4.6844939379138379</v>
      </c>
    </row>
    <row r="543" spans="1:11" x14ac:dyDescent="0.3">
      <c r="A543" s="28">
        <v>0.43006499999999998</v>
      </c>
      <c r="B543" s="3">
        <v>0.1061</v>
      </c>
      <c r="C543" s="3" t="s">
        <v>5</v>
      </c>
      <c r="D543" s="3">
        <v>1</v>
      </c>
      <c r="E543" s="3">
        <v>99.566000000000003</v>
      </c>
      <c r="F543" s="2">
        <v>542</v>
      </c>
      <c r="G543" s="2">
        <f t="shared" si="41"/>
        <v>3.0999999999991701E-2</v>
      </c>
      <c r="H543" s="2">
        <f t="shared" si="42"/>
        <v>0.29217719132885672</v>
      </c>
      <c r="I543" s="2">
        <f t="shared" si="43"/>
        <v>3.0999999999991701E-2</v>
      </c>
      <c r="J543" s="2">
        <f t="shared" si="40"/>
        <v>108.25547445255475</v>
      </c>
      <c r="K543" s="27">
        <f t="shared" si="44"/>
        <v>4.6844939379138379</v>
      </c>
    </row>
    <row r="544" spans="1:11" x14ac:dyDescent="0.3">
      <c r="A544" s="26">
        <v>0.43076999999999999</v>
      </c>
      <c r="B544" s="2">
        <v>0.1011</v>
      </c>
      <c r="C544" s="2" t="s">
        <v>5</v>
      </c>
      <c r="D544" s="2">
        <v>1</v>
      </c>
      <c r="E544" s="2">
        <v>99.596999999999994</v>
      </c>
      <c r="F544" s="3">
        <v>543</v>
      </c>
      <c r="G544" s="3">
        <f t="shared" si="41"/>
        <v>3.4000000000006025E-2</v>
      </c>
      <c r="H544" s="3">
        <f t="shared" si="42"/>
        <v>0.33630069238383803</v>
      </c>
      <c r="I544" s="3">
        <f t="shared" si="43"/>
        <v>3.4000000000006025E-2</v>
      </c>
      <c r="J544" s="3">
        <f t="shared" si="40"/>
        <v>108.25547445255475</v>
      </c>
      <c r="K544" s="29">
        <f t="shared" si="44"/>
        <v>4.6844939379138379</v>
      </c>
    </row>
    <row r="545" spans="1:11" x14ac:dyDescent="0.3">
      <c r="A545" s="28">
        <v>0.43178299999999997</v>
      </c>
      <c r="B545" s="3">
        <v>8.7599999999999997E-2</v>
      </c>
      <c r="C545" s="3" t="s">
        <v>5</v>
      </c>
      <c r="D545" s="3">
        <v>-1</v>
      </c>
      <c r="E545" s="3">
        <v>99.631</v>
      </c>
      <c r="F545" s="2">
        <v>544</v>
      </c>
      <c r="G545" s="2">
        <f t="shared" si="41"/>
        <v>-3.4999999999996589E-2</v>
      </c>
      <c r="H545" s="2">
        <f t="shared" si="42"/>
        <v>-0.39954337899539488</v>
      </c>
      <c r="I545" s="2">
        <f t="shared" si="43"/>
        <v>3.4999999999996589E-2</v>
      </c>
      <c r="J545" s="2">
        <f t="shared" si="40"/>
        <v>108.25547445255475</v>
      </c>
      <c r="K545" s="27">
        <f t="shared" si="44"/>
        <v>4.6844939379138379</v>
      </c>
    </row>
    <row r="546" spans="1:11" x14ac:dyDescent="0.3">
      <c r="A546" s="26">
        <v>0.43237399999999998</v>
      </c>
      <c r="B546" s="2">
        <v>0.09</v>
      </c>
      <c r="C546" s="2" t="s">
        <v>5</v>
      </c>
      <c r="D546" s="2">
        <v>1</v>
      </c>
      <c r="E546" s="2">
        <v>99.596000000000004</v>
      </c>
      <c r="F546" s="2">
        <v>545</v>
      </c>
      <c r="G546" s="2">
        <f t="shared" si="41"/>
        <v>4.2999999999992156E-2</v>
      </c>
      <c r="H546" s="2">
        <f t="shared" si="42"/>
        <v>0.47777777777769065</v>
      </c>
      <c r="I546" s="2">
        <f t="shared" si="43"/>
        <v>4.2999999999992156E-2</v>
      </c>
      <c r="J546" s="2">
        <f t="shared" si="40"/>
        <v>108.25547445255475</v>
      </c>
      <c r="K546" s="27">
        <f t="shared" si="44"/>
        <v>4.6844939379138379</v>
      </c>
    </row>
    <row r="547" spans="1:11" x14ac:dyDescent="0.3">
      <c r="A547" s="28">
        <v>0.43282999999999999</v>
      </c>
      <c r="B547" s="3">
        <v>9.9900000000000003E-2</v>
      </c>
      <c r="C547" s="3" t="s">
        <v>5</v>
      </c>
      <c r="D547" s="3">
        <v>1</v>
      </c>
      <c r="E547" s="3">
        <v>99.638999999999996</v>
      </c>
      <c r="F547" s="3">
        <v>546</v>
      </c>
      <c r="G547" s="3">
        <f t="shared" si="41"/>
        <v>7.3000000000007503E-2</v>
      </c>
      <c r="H547" s="3">
        <f t="shared" si="42"/>
        <v>0.73073073073080586</v>
      </c>
      <c r="I547" s="3">
        <f t="shared" si="43"/>
        <v>7.3000000000007503E-2</v>
      </c>
      <c r="J547" s="3">
        <f t="shared" si="40"/>
        <v>108.25547445255475</v>
      </c>
      <c r="K547" s="29">
        <f t="shared" si="44"/>
        <v>4.6844939379138379</v>
      </c>
    </row>
    <row r="548" spans="1:11" x14ac:dyDescent="0.3">
      <c r="A548" s="26">
        <v>0.433699</v>
      </c>
      <c r="B548" s="2">
        <v>0.1</v>
      </c>
      <c r="C548" s="2" t="s">
        <v>5</v>
      </c>
      <c r="D548" s="2">
        <v>1</v>
      </c>
      <c r="E548" s="2">
        <v>99.712000000000003</v>
      </c>
      <c r="F548" s="2">
        <v>547</v>
      </c>
      <c r="G548" s="2">
        <f t="shared" si="41"/>
        <v>0.10499999999998977</v>
      </c>
      <c r="H548" s="2">
        <f t="shared" si="42"/>
        <v>1.0499999999998977</v>
      </c>
      <c r="I548" s="2">
        <f t="shared" si="43"/>
        <v>0.10499999999998977</v>
      </c>
      <c r="J548" s="2">
        <f t="shared" si="40"/>
        <v>108.25547445255475</v>
      </c>
      <c r="K548" s="27">
        <f t="shared" si="44"/>
        <v>4.6844939379138379</v>
      </c>
    </row>
    <row r="549" spans="1:11" x14ac:dyDescent="0.3">
      <c r="A549" s="28">
        <v>0.433888</v>
      </c>
      <c r="B549" s="3">
        <v>0.1051</v>
      </c>
      <c r="C549" s="3" t="s">
        <v>5</v>
      </c>
      <c r="D549" s="3">
        <v>-1</v>
      </c>
      <c r="E549" s="3">
        <v>99.816999999999993</v>
      </c>
      <c r="F549" s="3">
        <v>548</v>
      </c>
      <c r="G549" s="3">
        <f t="shared" si="41"/>
        <v>-7.9999999999998295E-2</v>
      </c>
      <c r="H549" s="3">
        <f t="shared" si="42"/>
        <v>-0.76117982873452228</v>
      </c>
      <c r="I549" s="3">
        <f t="shared" si="43"/>
        <v>7.9999999999998295E-2</v>
      </c>
      <c r="J549" s="3">
        <f t="shared" si="40"/>
        <v>108.25547445255475</v>
      </c>
      <c r="K549" s="29">
        <f t="shared" si="44"/>
        <v>4.6844939379138379</v>
      </c>
    </row>
    <row r="550" spans="1:11" x14ac:dyDescent="0.3">
      <c r="A550" s="26">
        <v>0.43467099999999997</v>
      </c>
      <c r="B550" s="2">
        <v>9.7799999999999998E-2</v>
      </c>
      <c r="C550" s="2" t="s">
        <v>5</v>
      </c>
      <c r="D550" s="2">
        <v>-1</v>
      </c>
      <c r="E550" s="2">
        <v>99.736999999999995</v>
      </c>
      <c r="F550" s="2">
        <v>549</v>
      </c>
      <c r="G550" s="2">
        <f t="shared" si="41"/>
        <v>-5.8999999999997499E-2</v>
      </c>
      <c r="H550" s="2">
        <f t="shared" si="42"/>
        <v>-0.60327198364005619</v>
      </c>
      <c r="I550" s="2">
        <f t="shared" si="43"/>
        <v>5.8999999999997499E-2</v>
      </c>
      <c r="J550" s="2">
        <f t="shared" si="40"/>
        <v>108.25547445255475</v>
      </c>
      <c r="K550" s="27">
        <f t="shared" si="44"/>
        <v>4.6844939379138379</v>
      </c>
    </row>
    <row r="551" spans="1:11" x14ac:dyDescent="0.3">
      <c r="A551" s="28">
        <v>0.43524400000000002</v>
      </c>
      <c r="B551" s="3">
        <v>0.11459999999999999</v>
      </c>
      <c r="C551" s="3" t="s">
        <v>5</v>
      </c>
      <c r="D551" s="3">
        <v>-1</v>
      </c>
      <c r="E551" s="3">
        <v>99.677999999999997</v>
      </c>
      <c r="F551" s="3">
        <v>550</v>
      </c>
      <c r="G551" s="3">
        <f t="shared" si="41"/>
        <v>-6.6999999999993065E-2</v>
      </c>
      <c r="H551" s="3">
        <f t="shared" si="42"/>
        <v>-0.58464223385683312</v>
      </c>
      <c r="I551" s="3">
        <f t="shared" si="43"/>
        <v>6.6999999999993065E-2</v>
      </c>
      <c r="J551" s="3">
        <f t="shared" si="40"/>
        <v>108.25547445255475</v>
      </c>
      <c r="K551" s="29">
        <f t="shared" si="44"/>
        <v>4.6844939379138379</v>
      </c>
    </row>
    <row r="552" spans="1:11" x14ac:dyDescent="0.3">
      <c r="A552" s="26">
        <v>0.43545400000000001</v>
      </c>
      <c r="B552" s="2">
        <v>0.1125</v>
      </c>
      <c r="C552" s="2" t="s">
        <v>5</v>
      </c>
      <c r="D552" s="2">
        <v>1</v>
      </c>
      <c r="E552" s="2">
        <v>99.611000000000004</v>
      </c>
      <c r="F552" s="2">
        <v>551</v>
      </c>
      <c r="G552" s="2">
        <f t="shared" si="41"/>
        <v>8.0999999999988859E-2</v>
      </c>
      <c r="H552" s="2">
        <f t="shared" si="42"/>
        <v>0.71999999999990094</v>
      </c>
      <c r="I552" s="2">
        <f t="shared" si="43"/>
        <v>8.0999999999988859E-2</v>
      </c>
      <c r="J552" s="2">
        <f t="shared" si="40"/>
        <v>108.25547445255475</v>
      </c>
      <c r="K552" s="27">
        <f t="shared" si="44"/>
        <v>4.6844939379138379</v>
      </c>
    </row>
    <row r="553" spans="1:11" x14ac:dyDescent="0.3">
      <c r="A553" s="28">
        <v>0.43687399999999998</v>
      </c>
      <c r="B553" s="3">
        <v>9.1800000000000007E-2</v>
      </c>
      <c r="C553" s="3">
        <v>181</v>
      </c>
      <c r="D553" s="3">
        <v>-1</v>
      </c>
      <c r="E553" s="3">
        <v>99.691999999999993</v>
      </c>
      <c r="F553" s="3">
        <v>552</v>
      </c>
      <c r="G553" s="3">
        <f t="shared" si="41"/>
        <v>-9.7999999999998977E-2</v>
      </c>
      <c r="H553" s="3">
        <f t="shared" si="42"/>
        <v>-1.0675381263616446</v>
      </c>
      <c r="I553" s="3">
        <f t="shared" si="43"/>
        <v>9.7999999999998977E-2</v>
      </c>
      <c r="J553" s="3">
        <f t="shared" si="40"/>
        <v>181</v>
      </c>
      <c r="K553" s="29">
        <f t="shared" si="44"/>
        <v>5.1984970312658261</v>
      </c>
    </row>
    <row r="554" spans="1:11" x14ac:dyDescent="0.3">
      <c r="A554" s="26">
        <v>0.43697999999999998</v>
      </c>
      <c r="B554" s="2">
        <v>0.1018</v>
      </c>
      <c r="C554" s="2" t="s">
        <v>5</v>
      </c>
      <c r="D554" s="2">
        <v>1</v>
      </c>
      <c r="E554" s="2">
        <v>99.593999999999994</v>
      </c>
      <c r="F554" s="2">
        <v>553</v>
      </c>
      <c r="G554" s="2">
        <f t="shared" si="41"/>
        <v>0.13900000000001</v>
      </c>
      <c r="H554" s="2">
        <f t="shared" si="42"/>
        <v>1.3654223968566799</v>
      </c>
      <c r="I554" s="2">
        <f t="shared" si="43"/>
        <v>0.13900000000001</v>
      </c>
      <c r="J554" s="2">
        <f t="shared" si="40"/>
        <v>108.25547445255475</v>
      </c>
      <c r="K554" s="27">
        <f t="shared" si="44"/>
        <v>4.6844939379138379</v>
      </c>
    </row>
    <row r="555" spans="1:11" x14ac:dyDescent="0.3">
      <c r="A555" s="28">
        <v>0.43793500000000002</v>
      </c>
      <c r="B555" s="3">
        <v>0.10920000000000001</v>
      </c>
      <c r="C555" s="3">
        <v>243</v>
      </c>
      <c r="D555" s="3">
        <v>1</v>
      </c>
      <c r="E555" s="3">
        <v>99.733000000000004</v>
      </c>
      <c r="F555" s="3">
        <v>554</v>
      </c>
      <c r="G555" s="3">
        <f t="shared" si="41"/>
        <v>0.14199999999999591</v>
      </c>
      <c r="H555" s="3">
        <f t="shared" si="42"/>
        <v>1.3003663003662629</v>
      </c>
      <c r="I555" s="3">
        <f t="shared" si="43"/>
        <v>0.14199999999999591</v>
      </c>
      <c r="J555" s="3">
        <f t="shared" si="40"/>
        <v>243</v>
      </c>
      <c r="K555" s="29">
        <f t="shared" si="44"/>
        <v>5.4930614433405482</v>
      </c>
    </row>
    <row r="556" spans="1:11" x14ac:dyDescent="0.3">
      <c r="A556" s="26">
        <v>0.43800899999999998</v>
      </c>
      <c r="B556" s="2">
        <v>9.6699999999999994E-2</v>
      </c>
      <c r="C556" s="2">
        <v>182</v>
      </c>
      <c r="D556" s="2">
        <v>-1</v>
      </c>
      <c r="E556" s="2">
        <v>99.875</v>
      </c>
      <c r="F556" s="2">
        <v>555</v>
      </c>
      <c r="G556" s="2">
        <f t="shared" si="41"/>
        <v>-0.11100000000000421</v>
      </c>
      <c r="H556" s="2">
        <f t="shared" si="42"/>
        <v>-1.14788004136509</v>
      </c>
      <c r="I556" s="2">
        <f t="shared" si="43"/>
        <v>0.11100000000000421</v>
      </c>
      <c r="J556" s="2">
        <f t="shared" si="40"/>
        <v>182</v>
      </c>
      <c r="K556" s="27">
        <f t="shared" si="44"/>
        <v>5.2040066870767951</v>
      </c>
    </row>
    <row r="557" spans="1:11" x14ac:dyDescent="0.3">
      <c r="A557" s="28">
        <v>0.43820500000000001</v>
      </c>
      <c r="B557" s="3">
        <v>0.10879999999999999</v>
      </c>
      <c r="C557" s="3" t="s">
        <v>5</v>
      </c>
      <c r="D557" s="3">
        <v>1</v>
      </c>
      <c r="E557" s="3">
        <v>99.763999999999996</v>
      </c>
      <c r="F557" s="3">
        <v>556</v>
      </c>
      <c r="G557" s="3">
        <f t="shared" si="41"/>
        <v>0.1039999999999992</v>
      </c>
      <c r="H557" s="3">
        <f t="shared" si="42"/>
        <v>0.95588235294116919</v>
      </c>
      <c r="I557" s="3">
        <f t="shared" si="43"/>
        <v>0.1039999999999992</v>
      </c>
      <c r="J557" s="3">
        <f t="shared" si="40"/>
        <v>108.25547445255475</v>
      </c>
      <c r="K557" s="29">
        <f t="shared" si="44"/>
        <v>4.6844939379138379</v>
      </c>
    </row>
    <row r="558" spans="1:11" x14ac:dyDescent="0.3">
      <c r="A558" s="26">
        <v>0.43839299999999998</v>
      </c>
      <c r="B558" s="2">
        <v>8.6699999999999999E-2</v>
      </c>
      <c r="C558" s="2">
        <v>399</v>
      </c>
      <c r="D558" s="2">
        <v>-1</v>
      </c>
      <c r="E558" s="2">
        <v>99.867999999999995</v>
      </c>
      <c r="F558" s="2">
        <v>557</v>
      </c>
      <c r="G558" s="2">
        <f t="shared" si="41"/>
        <v>-0.15500000000000114</v>
      </c>
      <c r="H558" s="2">
        <f t="shared" si="42"/>
        <v>-1.7877739331026659</v>
      </c>
      <c r="I558" s="2">
        <f t="shared" si="43"/>
        <v>0.15500000000000114</v>
      </c>
      <c r="J558" s="2">
        <f t="shared" si="40"/>
        <v>399</v>
      </c>
      <c r="K558" s="27">
        <f t="shared" si="44"/>
        <v>5.9889614168898637</v>
      </c>
    </row>
    <row r="559" spans="1:11" x14ac:dyDescent="0.3">
      <c r="A559" s="28">
        <v>0.43846000000000002</v>
      </c>
      <c r="B559" s="3">
        <v>0.112</v>
      </c>
      <c r="C559" s="3" t="s">
        <v>5</v>
      </c>
      <c r="D559" s="3">
        <v>-1</v>
      </c>
      <c r="E559" s="3">
        <v>99.712999999999994</v>
      </c>
      <c r="F559" s="3">
        <v>558</v>
      </c>
      <c r="G559" s="3">
        <f t="shared" si="41"/>
        <v>-4.1999999999987381E-2</v>
      </c>
      <c r="H559" s="3">
        <f t="shared" si="42"/>
        <v>-0.37499999999988731</v>
      </c>
      <c r="I559" s="3">
        <f t="shared" si="43"/>
        <v>4.1999999999987381E-2</v>
      </c>
      <c r="J559" s="3">
        <f t="shared" si="40"/>
        <v>108.25547445255475</v>
      </c>
      <c r="K559" s="29">
        <f t="shared" si="44"/>
        <v>4.6844939379138379</v>
      </c>
    </row>
    <row r="560" spans="1:11" x14ac:dyDescent="0.3">
      <c r="A560" s="26">
        <v>0.43973800000000002</v>
      </c>
      <c r="B560" s="2">
        <v>9.8199999999999996E-2</v>
      </c>
      <c r="C560" s="2">
        <v>5</v>
      </c>
      <c r="D560" s="2">
        <v>-1</v>
      </c>
      <c r="E560" s="2">
        <v>99.671000000000006</v>
      </c>
      <c r="F560" s="2">
        <v>559</v>
      </c>
      <c r="G560" s="2">
        <f t="shared" si="41"/>
        <v>-1.1000000000009891E-2</v>
      </c>
      <c r="H560" s="2">
        <f t="shared" si="42"/>
        <v>-0.11201629327912313</v>
      </c>
      <c r="I560" s="2">
        <f t="shared" si="43"/>
        <v>1.1000000000009891E-2</v>
      </c>
      <c r="J560" s="2">
        <f t="shared" si="40"/>
        <v>5</v>
      </c>
      <c r="K560" s="27">
        <f t="shared" si="44"/>
        <v>1.6094379124341003</v>
      </c>
    </row>
    <row r="561" spans="1:11" x14ac:dyDescent="0.3">
      <c r="A561" s="28">
        <v>0.44013099999999999</v>
      </c>
      <c r="B561" s="3">
        <v>0.1018</v>
      </c>
      <c r="C561" s="3" t="s">
        <v>5</v>
      </c>
      <c r="D561" s="3">
        <v>-1</v>
      </c>
      <c r="E561" s="3">
        <v>99.66</v>
      </c>
      <c r="F561" s="3">
        <v>560</v>
      </c>
      <c r="G561" s="3">
        <f t="shared" si="41"/>
        <v>-6.4999999999997726E-2</v>
      </c>
      <c r="H561" s="3">
        <f t="shared" si="42"/>
        <v>-0.6385068762278755</v>
      </c>
      <c r="I561" s="3">
        <f t="shared" si="43"/>
        <v>6.4999999999997726E-2</v>
      </c>
      <c r="J561" s="3">
        <f t="shared" si="40"/>
        <v>108.25547445255475</v>
      </c>
      <c r="K561" s="29">
        <f t="shared" si="44"/>
        <v>4.6844939379138379</v>
      </c>
    </row>
    <row r="562" spans="1:11" x14ac:dyDescent="0.3">
      <c r="A562" s="26">
        <v>0.44108399999999998</v>
      </c>
      <c r="B562" s="2">
        <v>0.11269999999999999</v>
      </c>
      <c r="C562" s="2" t="s">
        <v>5</v>
      </c>
      <c r="D562" s="2">
        <v>-1</v>
      </c>
      <c r="E562" s="2">
        <v>99.594999999999999</v>
      </c>
      <c r="F562" s="2">
        <v>561</v>
      </c>
      <c r="G562" s="2">
        <f t="shared" si="41"/>
        <v>-7.5000000000002842E-2</v>
      </c>
      <c r="H562" s="2">
        <f t="shared" si="42"/>
        <v>-0.66548358473826841</v>
      </c>
      <c r="I562" s="2">
        <f t="shared" si="43"/>
        <v>7.5000000000002842E-2</v>
      </c>
      <c r="J562" s="2">
        <f t="shared" si="40"/>
        <v>108.25547445255475</v>
      </c>
      <c r="K562" s="27">
        <f t="shared" si="44"/>
        <v>4.6844939379138379</v>
      </c>
    </row>
    <row r="563" spans="1:11" x14ac:dyDescent="0.3">
      <c r="A563" s="28">
        <v>0.44333899999999998</v>
      </c>
      <c r="B563" s="3">
        <v>9.5299999999999996E-2</v>
      </c>
      <c r="C563" s="3" t="s">
        <v>5</v>
      </c>
      <c r="D563" s="3">
        <v>-1</v>
      </c>
      <c r="E563" s="3">
        <v>99.52</v>
      </c>
      <c r="F563" s="2">
        <v>562</v>
      </c>
      <c r="G563" s="2">
        <f t="shared" si="41"/>
        <v>-1.8000000000000682E-2</v>
      </c>
      <c r="H563" s="2">
        <f t="shared" si="42"/>
        <v>-0.18887722980063676</v>
      </c>
      <c r="I563" s="2">
        <f t="shared" si="43"/>
        <v>1.8000000000000682E-2</v>
      </c>
      <c r="J563" s="2">
        <f t="shared" si="40"/>
        <v>108.25547445255475</v>
      </c>
      <c r="K563" s="27">
        <f t="shared" si="44"/>
        <v>4.6844939379138379</v>
      </c>
    </row>
    <row r="564" spans="1:11" x14ac:dyDescent="0.3">
      <c r="A564" s="26">
        <v>0.44534000000000001</v>
      </c>
      <c r="B564" s="2">
        <v>0.1026</v>
      </c>
      <c r="C564" s="2" t="s">
        <v>5</v>
      </c>
      <c r="D564" s="2">
        <v>1</v>
      </c>
      <c r="E564" s="2">
        <v>99.501999999999995</v>
      </c>
      <c r="F564" s="3">
        <v>563</v>
      </c>
      <c r="G564" s="3">
        <f t="shared" si="41"/>
        <v>5.4000000000002046E-2</v>
      </c>
      <c r="H564" s="3">
        <f t="shared" si="42"/>
        <v>0.52631578947370417</v>
      </c>
      <c r="I564" s="3">
        <f t="shared" si="43"/>
        <v>5.4000000000002046E-2</v>
      </c>
      <c r="J564" s="3">
        <f t="shared" si="40"/>
        <v>108.25547445255475</v>
      </c>
      <c r="K564" s="29">
        <f t="shared" si="44"/>
        <v>4.6844939379138379</v>
      </c>
    </row>
    <row r="565" spans="1:11" x14ac:dyDescent="0.3">
      <c r="A565" s="28">
        <v>0.44858599999999998</v>
      </c>
      <c r="B565" s="3">
        <v>0.1042</v>
      </c>
      <c r="C565" s="3">
        <v>159</v>
      </c>
      <c r="D565" s="3">
        <v>-1</v>
      </c>
      <c r="E565" s="3">
        <v>99.555999999999997</v>
      </c>
      <c r="F565" s="2">
        <v>564</v>
      </c>
      <c r="G565" s="2">
        <f t="shared" si="41"/>
        <v>-9.6000000000003638E-2</v>
      </c>
      <c r="H565" s="2">
        <f t="shared" si="42"/>
        <v>-0.92130518234168557</v>
      </c>
      <c r="I565" s="2">
        <f t="shared" si="43"/>
        <v>9.6000000000003638E-2</v>
      </c>
      <c r="J565" s="2">
        <f t="shared" si="40"/>
        <v>159</v>
      </c>
      <c r="K565" s="27">
        <f t="shared" si="44"/>
        <v>5.0689042022202315</v>
      </c>
    </row>
    <row r="566" spans="1:11" x14ac:dyDescent="0.3">
      <c r="A566" s="26">
        <v>0.44906699999999999</v>
      </c>
      <c r="B566" s="2">
        <v>0.10879999999999999</v>
      </c>
      <c r="C566" s="2" t="s">
        <v>5</v>
      </c>
      <c r="D566" s="2">
        <v>-1</v>
      </c>
      <c r="E566" s="2">
        <v>99.46</v>
      </c>
      <c r="F566" s="3">
        <v>565</v>
      </c>
      <c r="G566" s="3">
        <f t="shared" si="41"/>
        <v>-8.0999999999988859E-2</v>
      </c>
      <c r="H566" s="3">
        <f t="shared" si="42"/>
        <v>-0.74448529411754472</v>
      </c>
      <c r="I566" s="3">
        <f t="shared" si="43"/>
        <v>8.0999999999988859E-2</v>
      </c>
      <c r="J566" s="3">
        <f t="shared" si="40"/>
        <v>108.25547445255475</v>
      </c>
      <c r="K566" s="29">
        <f t="shared" si="44"/>
        <v>4.6844939379138379</v>
      </c>
    </row>
    <row r="567" spans="1:11" x14ac:dyDescent="0.3">
      <c r="A567" s="28">
        <v>0.44948900000000003</v>
      </c>
      <c r="B567" s="3">
        <v>0.11509999999999999</v>
      </c>
      <c r="C567" s="3" t="s">
        <v>5</v>
      </c>
      <c r="D567" s="3">
        <v>1</v>
      </c>
      <c r="E567" s="3">
        <v>99.379000000000005</v>
      </c>
      <c r="F567" s="2">
        <v>566</v>
      </c>
      <c r="G567" s="2">
        <f t="shared" si="41"/>
        <v>6.6999999999993065E-2</v>
      </c>
      <c r="H567" s="2">
        <f t="shared" si="42"/>
        <v>0.58210251954815873</v>
      </c>
      <c r="I567" s="2">
        <f t="shared" si="43"/>
        <v>6.6999999999993065E-2</v>
      </c>
      <c r="J567" s="2">
        <f t="shared" si="40"/>
        <v>108.25547445255475</v>
      </c>
      <c r="K567" s="27">
        <f t="shared" si="44"/>
        <v>4.6844939379138379</v>
      </c>
    </row>
    <row r="568" spans="1:11" x14ac:dyDescent="0.3">
      <c r="A568" s="26">
        <v>0.45052300000000001</v>
      </c>
      <c r="B568" s="2">
        <v>0.11119999999999999</v>
      </c>
      <c r="C568" s="2" t="s">
        <v>5</v>
      </c>
      <c r="D568" s="2">
        <v>-1</v>
      </c>
      <c r="E568" s="2">
        <v>99.445999999999998</v>
      </c>
      <c r="F568" s="3">
        <v>567</v>
      </c>
      <c r="G568" s="3">
        <f t="shared" si="41"/>
        <v>-6.1999999999997613E-2</v>
      </c>
      <c r="H568" s="3">
        <f t="shared" si="42"/>
        <v>-0.55755395683451092</v>
      </c>
      <c r="I568" s="3">
        <f t="shared" si="43"/>
        <v>6.1999999999997613E-2</v>
      </c>
      <c r="J568" s="3">
        <f t="shared" si="40"/>
        <v>108.25547445255475</v>
      </c>
      <c r="K568" s="29">
        <f t="shared" si="44"/>
        <v>4.6844939379138379</v>
      </c>
    </row>
    <row r="569" spans="1:11" x14ac:dyDescent="0.3">
      <c r="A569" s="28">
        <v>0.453316</v>
      </c>
      <c r="B569" s="3">
        <v>9.35E-2</v>
      </c>
      <c r="C569" s="3" t="s">
        <v>5</v>
      </c>
      <c r="D569" s="3">
        <v>1</v>
      </c>
      <c r="E569" s="3">
        <v>99.384</v>
      </c>
      <c r="F569" s="2">
        <v>568</v>
      </c>
      <c r="G569" s="2">
        <f t="shared" si="41"/>
        <v>3.1000000000005912E-2</v>
      </c>
      <c r="H569" s="2">
        <f t="shared" si="42"/>
        <v>0.33155080213910065</v>
      </c>
      <c r="I569" s="2">
        <f t="shared" si="43"/>
        <v>3.1000000000005912E-2</v>
      </c>
      <c r="J569" s="2">
        <f t="shared" si="40"/>
        <v>108.25547445255475</v>
      </c>
      <c r="K569" s="27">
        <f t="shared" si="44"/>
        <v>4.6844939379138379</v>
      </c>
    </row>
    <row r="570" spans="1:11" x14ac:dyDescent="0.3">
      <c r="A570" s="26">
        <v>0.45352500000000001</v>
      </c>
      <c r="B570" s="2">
        <v>0.1081</v>
      </c>
      <c r="C570" s="2" t="s">
        <v>5</v>
      </c>
      <c r="D570" s="2">
        <v>-1</v>
      </c>
      <c r="E570" s="2">
        <v>99.415000000000006</v>
      </c>
      <c r="F570" s="3">
        <v>569</v>
      </c>
      <c r="G570" s="3">
        <f t="shared" si="41"/>
        <v>-0.11800000000000921</v>
      </c>
      <c r="H570" s="3">
        <f t="shared" si="42"/>
        <v>-1.0915818686402332</v>
      </c>
      <c r="I570" s="3">
        <f t="shared" si="43"/>
        <v>0.11800000000000921</v>
      </c>
      <c r="J570" s="3">
        <f t="shared" si="40"/>
        <v>108.25547445255475</v>
      </c>
      <c r="K570" s="29">
        <f t="shared" si="44"/>
        <v>4.6844939379138379</v>
      </c>
    </row>
    <row r="571" spans="1:11" x14ac:dyDescent="0.3">
      <c r="A571" s="28">
        <v>0.45547700000000002</v>
      </c>
      <c r="B571" s="3">
        <v>0.1013</v>
      </c>
      <c r="C571" s="3" t="s">
        <v>5</v>
      </c>
      <c r="D571" s="3">
        <v>-1</v>
      </c>
      <c r="E571" s="3">
        <v>99.296999999999997</v>
      </c>
      <c r="F571" s="2">
        <v>570</v>
      </c>
      <c r="G571" s="2">
        <f t="shared" si="41"/>
        <v>-1.099999999999568E-2</v>
      </c>
      <c r="H571" s="2">
        <f t="shared" si="42"/>
        <v>-0.10858835143134926</v>
      </c>
      <c r="I571" s="2">
        <f t="shared" si="43"/>
        <v>1.099999999999568E-2</v>
      </c>
      <c r="J571" s="2">
        <f t="shared" si="40"/>
        <v>108.25547445255475</v>
      </c>
      <c r="K571" s="27">
        <f t="shared" si="44"/>
        <v>4.6844939379138379</v>
      </c>
    </row>
    <row r="572" spans="1:11" x14ac:dyDescent="0.3">
      <c r="A572" s="26">
        <v>0.45566499999999999</v>
      </c>
      <c r="B572" s="2">
        <v>7.7799999999999994E-2</v>
      </c>
      <c r="C572" s="2" t="s">
        <v>5</v>
      </c>
      <c r="D572" s="2">
        <v>-1</v>
      </c>
      <c r="E572" s="2">
        <v>99.286000000000001</v>
      </c>
      <c r="F572" s="3">
        <v>571</v>
      </c>
      <c r="G572" s="3">
        <f t="shared" si="41"/>
        <v>-7.9999999999998295E-2</v>
      </c>
      <c r="H572" s="3">
        <f t="shared" si="42"/>
        <v>-1.0282776349614178</v>
      </c>
      <c r="I572" s="3">
        <f t="shared" si="43"/>
        <v>7.9999999999998295E-2</v>
      </c>
      <c r="J572" s="3">
        <f t="shared" si="40"/>
        <v>108.25547445255475</v>
      </c>
      <c r="K572" s="29">
        <f t="shared" si="44"/>
        <v>4.6844939379138379</v>
      </c>
    </row>
    <row r="573" spans="1:11" x14ac:dyDescent="0.3">
      <c r="A573" s="28">
        <v>0.45728200000000002</v>
      </c>
      <c r="B573" s="3">
        <v>7.85E-2</v>
      </c>
      <c r="C573" s="3" t="s">
        <v>5</v>
      </c>
      <c r="D573" s="3">
        <v>-1</v>
      </c>
      <c r="E573" s="3">
        <v>99.206000000000003</v>
      </c>
      <c r="F573" s="2">
        <v>572</v>
      </c>
      <c r="G573" s="2">
        <f t="shared" si="41"/>
        <v>-7.000000000000739E-2</v>
      </c>
      <c r="H573" s="2">
        <f t="shared" si="42"/>
        <v>-0.89171974522302411</v>
      </c>
      <c r="I573" s="2">
        <f t="shared" si="43"/>
        <v>7.000000000000739E-2</v>
      </c>
      <c r="J573" s="2">
        <f t="shared" si="40"/>
        <v>108.25547445255475</v>
      </c>
      <c r="K573" s="27">
        <f t="shared" si="44"/>
        <v>4.6844939379138379</v>
      </c>
    </row>
    <row r="574" spans="1:11" x14ac:dyDescent="0.3">
      <c r="A574" s="26">
        <v>0.45938400000000001</v>
      </c>
      <c r="B574" s="2">
        <v>0.10639999999999999</v>
      </c>
      <c r="C574" s="2" t="s">
        <v>5</v>
      </c>
      <c r="D574" s="2">
        <v>1</v>
      </c>
      <c r="E574" s="2">
        <v>99.135999999999996</v>
      </c>
      <c r="F574" s="3">
        <v>573</v>
      </c>
      <c r="G574" s="3">
        <f t="shared" si="41"/>
        <v>0.132000000000005</v>
      </c>
      <c r="H574" s="3">
        <f t="shared" si="42"/>
        <v>1.2406015037594456</v>
      </c>
      <c r="I574" s="3">
        <f t="shared" si="43"/>
        <v>0.132000000000005</v>
      </c>
      <c r="J574" s="3">
        <f t="shared" si="40"/>
        <v>108.25547445255475</v>
      </c>
      <c r="K574" s="29">
        <f t="shared" si="44"/>
        <v>4.6844939379138379</v>
      </c>
    </row>
    <row r="575" spans="1:11" x14ac:dyDescent="0.3">
      <c r="A575" s="28">
        <v>0.46103</v>
      </c>
      <c r="B575" s="3">
        <v>0.10299999999999999</v>
      </c>
      <c r="C575" s="3" t="s">
        <v>5</v>
      </c>
      <c r="D575" s="3">
        <v>1</v>
      </c>
      <c r="E575" s="3">
        <v>99.268000000000001</v>
      </c>
      <c r="F575" s="2">
        <v>574</v>
      </c>
      <c r="G575" s="2">
        <f t="shared" si="41"/>
        <v>9.0999999999993975E-2</v>
      </c>
      <c r="H575" s="2">
        <f t="shared" si="42"/>
        <v>0.8834951456310095</v>
      </c>
      <c r="I575" s="2">
        <f t="shared" si="43"/>
        <v>9.0999999999993975E-2</v>
      </c>
      <c r="J575" s="2">
        <f t="shared" si="40"/>
        <v>108.25547445255475</v>
      </c>
      <c r="K575" s="27">
        <f t="shared" si="44"/>
        <v>4.6844939379138379</v>
      </c>
    </row>
    <row r="576" spans="1:11" x14ac:dyDescent="0.3">
      <c r="A576" s="26">
        <v>0.46124900000000002</v>
      </c>
      <c r="B576" s="2">
        <v>9.1600000000000001E-2</v>
      </c>
      <c r="C576" s="2" t="s">
        <v>5</v>
      </c>
      <c r="D576" s="2">
        <v>1</v>
      </c>
      <c r="E576" s="2">
        <v>99.358999999999995</v>
      </c>
      <c r="F576" s="3">
        <v>575</v>
      </c>
      <c r="G576" s="3">
        <f t="shared" si="41"/>
        <v>7.6000000000007617E-2</v>
      </c>
      <c r="H576" s="3">
        <f t="shared" si="42"/>
        <v>0.82969432314418801</v>
      </c>
      <c r="I576" s="3">
        <f t="shared" si="43"/>
        <v>7.6000000000007617E-2</v>
      </c>
      <c r="J576" s="3">
        <f t="shared" si="40"/>
        <v>108.25547445255475</v>
      </c>
      <c r="K576" s="29">
        <f t="shared" si="44"/>
        <v>4.6844939379138379</v>
      </c>
    </row>
    <row r="577" spans="1:11" x14ac:dyDescent="0.3">
      <c r="A577" s="28">
        <v>0.46165800000000001</v>
      </c>
      <c r="B577" s="3">
        <v>8.9800000000000005E-2</v>
      </c>
      <c r="C577" s="3" t="s">
        <v>5</v>
      </c>
      <c r="D577" s="3">
        <v>-1</v>
      </c>
      <c r="E577" s="3">
        <v>99.435000000000002</v>
      </c>
      <c r="F577" s="2">
        <v>576</v>
      </c>
      <c r="G577" s="2">
        <f t="shared" si="41"/>
        <v>-6.1999999999997613E-2</v>
      </c>
      <c r="H577" s="2">
        <f t="shared" si="42"/>
        <v>-0.69042316258349234</v>
      </c>
      <c r="I577" s="2">
        <f t="shared" si="43"/>
        <v>6.1999999999997613E-2</v>
      </c>
      <c r="J577" s="2">
        <f t="shared" si="40"/>
        <v>108.25547445255475</v>
      </c>
      <c r="K577" s="27">
        <f t="shared" si="44"/>
        <v>4.6844939379138379</v>
      </c>
    </row>
    <row r="578" spans="1:11" x14ac:dyDescent="0.3">
      <c r="A578" s="26">
        <v>0.46269500000000002</v>
      </c>
      <c r="B578" s="2">
        <v>9.4600000000000004E-2</v>
      </c>
      <c r="C578" s="2" t="s">
        <v>5</v>
      </c>
      <c r="D578" s="2">
        <v>1</v>
      </c>
      <c r="E578" s="2">
        <v>99.373000000000005</v>
      </c>
      <c r="F578" s="3">
        <v>577</v>
      </c>
      <c r="G578" s="3">
        <f t="shared" si="41"/>
        <v>8.99999999999892E-2</v>
      </c>
      <c r="H578" s="3">
        <f t="shared" si="42"/>
        <v>0.95137420718804644</v>
      </c>
      <c r="I578" s="3">
        <f t="shared" si="43"/>
        <v>8.99999999999892E-2</v>
      </c>
      <c r="J578" s="3">
        <f t="shared" ref="J578:J641" si="45">IF(C578="",$AA$1,C578)</f>
        <v>108.25547445255475</v>
      </c>
      <c r="K578" s="29">
        <f t="shared" si="44"/>
        <v>4.6844939379138379</v>
      </c>
    </row>
    <row r="579" spans="1:11" x14ac:dyDescent="0.3">
      <c r="A579" s="28">
        <v>0.464364</v>
      </c>
      <c r="B579" s="3">
        <v>7.9899999999999999E-2</v>
      </c>
      <c r="C579" s="3" t="s">
        <v>5</v>
      </c>
      <c r="D579" s="3">
        <v>1</v>
      </c>
      <c r="E579" s="3">
        <v>99.462999999999994</v>
      </c>
      <c r="F579" s="2">
        <v>578</v>
      </c>
      <c r="G579" s="2">
        <f t="shared" ref="G579:G642" si="46">E580-E579</f>
        <v>1.1000000000009891E-2</v>
      </c>
      <c r="H579" s="2">
        <f t="shared" ref="H579:H642" si="47">IF(B579&lt;&gt;0,G579/B579,"")</f>
        <v>0.1376720901127646</v>
      </c>
      <c r="I579" s="2">
        <f t="shared" ref="I579:I642" si="48">D579*G579</f>
        <v>1.1000000000009891E-2</v>
      </c>
      <c r="J579" s="2">
        <f t="shared" si="45"/>
        <v>108.25547445255475</v>
      </c>
      <c r="K579" s="27">
        <f t="shared" ref="K579:K642" si="49">LN(J579)</f>
        <v>4.6844939379138379</v>
      </c>
    </row>
    <row r="580" spans="1:11" x14ac:dyDescent="0.3">
      <c r="A580" s="26">
        <v>0.46493099999999998</v>
      </c>
      <c r="B580" s="2">
        <v>9.4100000000000003E-2</v>
      </c>
      <c r="C580" s="2" t="s">
        <v>5</v>
      </c>
      <c r="D580" s="2">
        <v>-1</v>
      </c>
      <c r="E580" s="2">
        <v>99.474000000000004</v>
      </c>
      <c r="F580" s="2">
        <v>579</v>
      </c>
      <c r="G580" s="2">
        <f t="shared" si="46"/>
        <v>-6.0000000000002274E-2</v>
      </c>
      <c r="H580" s="2">
        <f t="shared" si="47"/>
        <v>-0.6376195536663366</v>
      </c>
      <c r="I580" s="2">
        <f t="shared" si="48"/>
        <v>6.0000000000002274E-2</v>
      </c>
      <c r="J580" s="2">
        <f t="shared" si="45"/>
        <v>108.25547445255475</v>
      </c>
      <c r="K580" s="27">
        <f t="shared" si="49"/>
        <v>4.6844939379138379</v>
      </c>
    </row>
    <row r="581" spans="1:11" x14ac:dyDescent="0.3">
      <c r="A581" s="28">
        <v>0.46588800000000002</v>
      </c>
      <c r="B581" s="3">
        <v>0.10390000000000001</v>
      </c>
      <c r="C581" s="3" t="s">
        <v>5</v>
      </c>
      <c r="D581" s="3">
        <v>-1</v>
      </c>
      <c r="E581" s="3">
        <v>99.414000000000001</v>
      </c>
      <c r="F581" s="3">
        <v>580</v>
      </c>
      <c r="G581" s="3">
        <f t="shared" si="46"/>
        <v>-0.10200000000000387</v>
      </c>
      <c r="H581" s="3">
        <f t="shared" si="47"/>
        <v>-0.98171318575557132</v>
      </c>
      <c r="I581" s="3">
        <f t="shared" si="48"/>
        <v>0.10200000000000387</v>
      </c>
      <c r="J581" s="3">
        <f t="shared" si="45"/>
        <v>108.25547445255475</v>
      </c>
      <c r="K581" s="29">
        <f t="shared" si="49"/>
        <v>4.6844939379138379</v>
      </c>
    </row>
    <row r="582" spans="1:11" x14ac:dyDescent="0.3">
      <c r="A582" s="26">
        <v>0.46615499999999999</v>
      </c>
      <c r="B582" s="2">
        <v>0.1062</v>
      </c>
      <c r="C582" s="2">
        <v>157</v>
      </c>
      <c r="D582" s="2">
        <v>1</v>
      </c>
      <c r="E582" s="2">
        <v>99.311999999999998</v>
      </c>
      <c r="F582" s="2">
        <v>581</v>
      </c>
      <c r="G582" s="2">
        <f t="shared" si="46"/>
        <v>0.10099999999999909</v>
      </c>
      <c r="H582" s="2">
        <f t="shared" si="47"/>
        <v>0.9510357815442475</v>
      </c>
      <c r="I582" s="2">
        <f t="shared" si="48"/>
        <v>0.10099999999999909</v>
      </c>
      <c r="J582" s="2">
        <f t="shared" si="45"/>
        <v>157</v>
      </c>
      <c r="K582" s="27">
        <f t="shared" si="49"/>
        <v>5.0562458053483077</v>
      </c>
    </row>
    <row r="583" spans="1:11" x14ac:dyDescent="0.3">
      <c r="A583" s="28">
        <v>0.46751900000000002</v>
      </c>
      <c r="B583" s="3">
        <v>0.10349999999999999</v>
      </c>
      <c r="C583" s="3" t="s">
        <v>5</v>
      </c>
      <c r="D583" s="3">
        <v>1</v>
      </c>
      <c r="E583" s="3">
        <v>99.412999999999997</v>
      </c>
      <c r="F583" s="3">
        <v>582</v>
      </c>
      <c r="G583" s="3">
        <f t="shared" si="46"/>
        <v>0.10000000000000853</v>
      </c>
      <c r="H583" s="3">
        <f t="shared" si="47"/>
        <v>0.9661835748793095</v>
      </c>
      <c r="I583" s="3">
        <f t="shared" si="48"/>
        <v>0.10000000000000853</v>
      </c>
      <c r="J583" s="3">
        <f t="shared" si="45"/>
        <v>108.25547445255475</v>
      </c>
      <c r="K583" s="29">
        <f t="shared" si="49"/>
        <v>4.6844939379138379</v>
      </c>
    </row>
    <row r="584" spans="1:11" x14ac:dyDescent="0.3">
      <c r="A584" s="26">
        <v>0.46752500000000002</v>
      </c>
      <c r="B584" s="2">
        <v>0.1037</v>
      </c>
      <c r="C584" s="2" t="s">
        <v>5</v>
      </c>
      <c r="D584" s="2">
        <v>-1</v>
      </c>
      <c r="E584" s="2">
        <v>99.513000000000005</v>
      </c>
      <c r="F584" s="2">
        <v>583</v>
      </c>
      <c r="G584" s="2">
        <f t="shared" si="46"/>
        <v>-7.6000000000007617E-2</v>
      </c>
      <c r="H584" s="2">
        <f t="shared" si="47"/>
        <v>-0.73288331726140421</v>
      </c>
      <c r="I584" s="2">
        <f t="shared" si="48"/>
        <v>7.6000000000007617E-2</v>
      </c>
      <c r="J584" s="2">
        <f t="shared" si="45"/>
        <v>108.25547445255475</v>
      </c>
      <c r="K584" s="27">
        <f t="shared" si="49"/>
        <v>4.6844939379138379</v>
      </c>
    </row>
    <row r="585" spans="1:11" x14ac:dyDescent="0.3">
      <c r="A585" s="28">
        <v>0.46820000000000001</v>
      </c>
      <c r="B585" s="3">
        <v>0.1149</v>
      </c>
      <c r="C585" s="3" t="s">
        <v>5</v>
      </c>
      <c r="D585" s="3">
        <v>-1</v>
      </c>
      <c r="E585" s="3">
        <v>99.436999999999998</v>
      </c>
      <c r="F585" s="3">
        <v>584</v>
      </c>
      <c r="G585" s="3">
        <f t="shared" si="46"/>
        <v>-7.8000000000002956E-2</v>
      </c>
      <c r="H585" s="3">
        <f t="shared" si="47"/>
        <v>-0.67885117493475156</v>
      </c>
      <c r="I585" s="3">
        <f t="shared" si="48"/>
        <v>7.8000000000002956E-2</v>
      </c>
      <c r="J585" s="3">
        <f t="shared" si="45"/>
        <v>108.25547445255475</v>
      </c>
      <c r="K585" s="29">
        <f t="shared" si="49"/>
        <v>4.6844939379138379</v>
      </c>
    </row>
    <row r="586" spans="1:11" x14ac:dyDescent="0.3">
      <c r="A586" s="26">
        <v>0.46896399999999999</v>
      </c>
      <c r="B586" s="2">
        <v>9.06E-2</v>
      </c>
      <c r="C586" s="2" t="s">
        <v>5</v>
      </c>
      <c r="D586" s="2">
        <v>1</v>
      </c>
      <c r="E586" s="2">
        <v>99.358999999999995</v>
      </c>
      <c r="F586" s="2">
        <v>585</v>
      </c>
      <c r="G586" s="2">
        <f t="shared" si="46"/>
        <v>0.10699999999999932</v>
      </c>
      <c r="H586" s="2">
        <f t="shared" si="47"/>
        <v>1.1810154525386238</v>
      </c>
      <c r="I586" s="2">
        <f t="shared" si="48"/>
        <v>0.10699999999999932</v>
      </c>
      <c r="J586" s="2">
        <f t="shared" si="45"/>
        <v>108.25547445255475</v>
      </c>
      <c r="K586" s="27">
        <f t="shared" si="49"/>
        <v>4.6844939379138379</v>
      </c>
    </row>
    <row r="587" spans="1:11" x14ac:dyDescent="0.3">
      <c r="A587" s="28">
        <v>0.46907599999999999</v>
      </c>
      <c r="B587" s="3">
        <v>9.4799999999999995E-2</v>
      </c>
      <c r="C587" s="3">
        <v>6</v>
      </c>
      <c r="D587" s="3">
        <v>1</v>
      </c>
      <c r="E587" s="3">
        <v>99.465999999999994</v>
      </c>
      <c r="F587" s="3">
        <v>586</v>
      </c>
      <c r="G587" s="3">
        <f t="shared" si="46"/>
        <v>3.0000000000001137E-3</v>
      </c>
      <c r="H587" s="3">
        <f t="shared" si="47"/>
        <v>3.1645569620254367E-2</v>
      </c>
      <c r="I587" s="3">
        <f t="shared" si="48"/>
        <v>3.0000000000001137E-3</v>
      </c>
      <c r="J587" s="3">
        <f t="shared" si="45"/>
        <v>6</v>
      </c>
      <c r="K587" s="29">
        <f t="shared" si="49"/>
        <v>1.791759469228055</v>
      </c>
    </row>
    <row r="588" spans="1:11" x14ac:dyDescent="0.3">
      <c r="A588" s="26">
        <v>0.470001</v>
      </c>
      <c r="B588" s="2">
        <v>9.9599999999999994E-2</v>
      </c>
      <c r="C588" s="2" t="s">
        <v>5</v>
      </c>
      <c r="D588" s="2">
        <v>1</v>
      </c>
      <c r="E588" s="2">
        <v>99.468999999999994</v>
      </c>
      <c r="F588" s="2">
        <v>587</v>
      </c>
      <c r="G588" s="2">
        <f t="shared" si="46"/>
        <v>5.6000000000011596E-2</v>
      </c>
      <c r="H588" s="2">
        <f t="shared" si="47"/>
        <v>0.5622489959840522</v>
      </c>
      <c r="I588" s="2">
        <f t="shared" si="48"/>
        <v>5.6000000000011596E-2</v>
      </c>
      <c r="J588" s="2">
        <f t="shared" si="45"/>
        <v>108.25547445255475</v>
      </c>
      <c r="K588" s="27">
        <f t="shared" si="49"/>
        <v>4.6844939379138379</v>
      </c>
    </row>
    <row r="589" spans="1:11" x14ac:dyDescent="0.3">
      <c r="A589" s="28">
        <v>0.47042200000000001</v>
      </c>
      <c r="B589" s="3">
        <v>0.105</v>
      </c>
      <c r="C589" s="3" t="s">
        <v>5</v>
      </c>
      <c r="D589" s="3">
        <v>1</v>
      </c>
      <c r="E589" s="3">
        <v>99.525000000000006</v>
      </c>
      <c r="F589" s="3">
        <v>588</v>
      </c>
      <c r="G589" s="3">
        <f t="shared" si="46"/>
        <v>7.3999999999998067E-2</v>
      </c>
      <c r="H589" s="3">
        <f t="shared" si="47"/>
        <v>0.70476190476188638</v>
      </c>
      <c r="I589" s="3">
        <f t="shared" si="48"/>
        <v>7.3999999999998067E-2</v>
      </c>
      <c r="J589" s="3">
        <f t="shared" si="45"/>
        <v>108.25547445255475</v>
      </c>
      <c r="K589" s="29">
        <f t="shared" si="49"/>
        <v>4.6844939379138379</v>
      </c>
    </row>
    <row r="590" spans="1:11" x14ac:dyDescent="0.3">
      <c r="A590" s="26">
        <v>0.47309600000000002</v>
      </c>
      <c r="B590" s="2">
        <v>0.10589999999999999</v>
      </c>
      <c r="C590" s="2" t="s">
        <v>5</v>
      </c>
      <c r="D590" s="2">
        <v>1</v>
      </c>
      <c r="E590" s="2">
        <v>99.599000000000004</v>
      </c>
      <c r="F590" s="2">
        <v>589</v>
      </c>
      <c r="G590" s="2">
        <f t="shared" si="46"/>
        <v>1.6999999999995907E-2</v>
      </c>
      <c r="H590" s="2">
        <f t="shared" si="47"/>
        <v>0.160528800755391</v>
      </c>
      <c r="I590" s="2">
        <f t="shared" si="48"/>
        <v>1.6999999999995907E-2</v>
      </c>
      <c r="J590" s="2">
        <f t="shared" si="45"/>
        <v>108.25547445255475</v>
      </c>
      <c r="K590" s="27">
        <f t="shared" si="49"/>
        <v>4.6844939379138379</v>
      </c>
    </row>
    <row r="591" spans="1:11" x14ac:dyDescent="0.3">
      <c r="A591" s="28">
        <v>0.47404299999999999</v>
      </c>
      <c r="B591" s="3">
        <v>9.6699999999999994E-2</v>
      </c>
      <c r="C591" s="3" t="s">
        <v>5</v>
      </c>
      <c r="D591" s="3">
        <v>1</v>
      </c>
      <c r="E591" s="3">
        <v>99.616</v>
      </c>
      <c r="F591" s="3">
        <v>590</v>
      </c>
      <c r="G591" s="3">
        <f t="shared" si="46"/>
        <v>7.6999999999998181E-2</v>
      </c>
      <c r="H591" s="3">
        <f t="shared" si="47"/>
        <v>0.79627714581177023</v>
      </c>
      <c r="I591" s="3">
        <f t="shared" si="48"/>
        <v>7.6999999999998181E-2</v>
      </c>
      <c r="J591" s="3">
        <f t="shared" si="45"/>
        <v>108.25547445255475</v>
      </c>
      <c r="K591" s="29">
        <f t="shared" si="49"/>
        <v>4.6844939379138379</v>
      </c>
    </row>
    <row r="592" spans="1:11" x14ac:dyDescent="0.3">
      <c r="A592" s="26">
        <v>0.47502699999999998</v>
      </c>
      <c r="B592" s="2">
        <v>0.13039999999999999</v>
      </c>
      <c r="C592" s="2" t="s">
        <v>5</v>
      </c>
      <c r="D592" s="2">
        <v>1</v>
      </c>
      <c r="E592" s="2">
        <v>99.692999999999998</v>
      </c>
      <c r="F592" s="2">
        <v>591</v>
      </c>
      <c r="G592" s="2">
        <f t="shared" si="46"/>
        <v>4.600000000000648E-2</v>
      </c>
      <c r="H592" s="2">
        <f t="shared" si="47"/>
        <v>0.35276073619636872</v>
      </c>
      <c r="I592" s="2">
        <f t="shared" si="48"/>
        <v>4.600000000000648E-2</v>
      </c>
      <c r="J592" s="2">
        <f t="shared" si="45"/>
        <v>108.25547445255475</v>
      </c>
      <c r="K592" s="27">
        <f t="shared" si="49"/>
        <v>4.6844939379138379</v>
      </c>
    </row>
    <row r="593" spans="1:11" x14ac:dyDescent="0.3">
      <c r="A593" s="28">
        <v>0.47503499999999999</v>
      </c>
      <c r="B593" s="3">
        <v>7.5600000000000001E-2</v>
      </c>
      <c r="C593" s="3" t="s">
        <v>5</v>
      </c>
      <c r="D593" s="3">
        <v>1</v>
      </c>
      <c r="E593" s="3">
        <v>99.739000000000004</v>
      </c>
      <c r="F593" s="3">
        <v>592</v>
      </c>
      <c r="G593" s="3">
        <f t="shared" si="46"/>
        <v>9.9999999999909051E-3</v>
      </c>
      <c r="H593" s="3">
        <f t="shared" si="47"/>
        <v>0.13227513227501198</v>
      </c>
      <c r="I593" s="3">
        <f t="shared" si="48"/>
        <v>9.9999999999909051E-3</v>
      </c>
      <c r="J593" s="3">
        <f t="shared" si="45"/>
        <v>108.25547445255475</v>
      </c>
      <c r="K593" s="29">
        <f t="shared" si="49"/>
        <v>4.6844939379138379</v>
      </c>
    </row>
    <row r="594" spans="1:11" x14ac:dyDescent="0.3">
      <c r="A594" s="26">
        <v>0.47503600000000001</v>
      </c>
      <c r="B594" s="2">
        <v>0.10730000000000001</v>
      </c>
      <c r="C594" s="2" t="s">
        <v>5</v>
      </c>
      <c r="D594" s="2">
        <v>-1</v>
      </c>
      <c r="E594" s="2">
        <v>99.748999999999995</v>
      </c>
      <c r="F594" s="2">
        <v>593</v>
      </c>
      <c r="G594" s="2">
        <f t="shared" si="46"/>
        <v>-4.0999999999996817E-2</v>
      </c>
      <c r="H594" s="2">
        <f t="shared" si="47"/>
        <v>-0.38210624417518002</v>
      </c>
      <c r="I594" s="2">
        <f t="shared" si="48"/>
        <v>4.0999999999996817E-2</v>
      </c>
      <c r="J594" s="2">
        <f t="shared" si="45"/>
        <v>108.25547445255475</v>
      </c>
      <c r="K594" s="27">
        <f t="shared" si="49"/>
        <v>4.6844939379138379</v>
      </c>
    </row>
    <row r="595" spans="1:11" x14ac:dyDescent="0.3">
      <c r="A595" s="28">
        <v>0.47657100000000002</v>
      </c>
      <c r="B595" s="3">
        <v>7.4800000000000005E-2</v>
      </c>
      <c r="C595" s="3" t="s">
        <v>5</v>
      </c>
      <c r="D595" s="3">
        <v>-1</v>
      </c>
      <c r="E595" s="3">
        <v>99.707999999999998</v>
      </c>
      <c r="F595" s="3">
        <v>594</v>
      </c>
      <c r="G595" s="3">
        <f t="shared" si="46"/>
        <v>-2.4000000000000909E-2</v>
      </c>
      <c r="H595" s="3">
        <f t="shared" si="47"/>
        <v>-0.32085561497327419</v>
      </c>
      <c r="I595" s="3">
        <f t="shared" si="48"/>
        <v>2.4000000000000909E-2</v>
      </c>
      <c r="J595" s="3">
        <f t="shared" si="45"/>
        <v>108.25547445255475</v>
      </c>
      <c r="K595" s="29">
        <f t="shared" si="49"/>
        <v>4.6844939379138379</v>
      </c>
    </row>
    <row r="596" spans="1:11" x14ac:dyDescent="0.3">
      <c r="A596" s="26">
        <v>0.47769400000000001</v>
      </c>
      <c r="B596" s="2">
        <v>0.11169999999999999</v>
      </c>
      <c r="C596" s="2" t="s">
        <v>5</v>
      </c>
      <c r="D596" s="2">
        <v>1</v>
      </c>
      <c r="E596" s="2">
        <v>99.683999999999997</v>
      </c>
      <c r="F596" s="2">
        <v>595</v>
      </c>
      <c r="G596" s="2">
        <f t="shared" si="46"/>
        <v>4.600000000000648E-2</v>
      </c>
      <c r="H596" s="2">
        <f t="shared" si="47"/>
        <v>0.41181736794992374</v>
      </c>
      <c r="I596" s="2">
        <f t="shared" si="48"/>
        <v>4.600000000000648E-2</v>
      </c>
      <c r="J596" s="2">
        <f t="shared" si="45"/>
        <v>108.25547445255475</v>
      </c>
      <c r="K596" s="27">
        <f t="shared" si="49"/>
        <v>4.6844939379138379</v>
      </c>
    </row>
    <row r="597" spans="1:11" x14ac:dyDescent="0.3">
      <c r="A597" s="28">
        <v>0.47788000000000003</v>
      </c>
      <c r="B597" s="3">
        <v>0.11940000000000001</v>
      </c>
      <c r="C597" s="3" t="s">
        <v>5</v>
      </c>
      <c r="D597" s="3">
        <v>1</v>
      </c>
      <c r="E597" s="3">
        <v>99.73</v>
      </c>
      <c r="F597" s="2">
        <v>596</v>
      </c>
      <c r="G597" s="2">
        <f t="shared" si="46"/>
        <v>0.14699999999999136</v>
      </c>
      <c r="H597" s="2">
        <f t="shared" si="47"/>
        <v>1.2311557788943999</v>
      </c>
      <c r="I597" s="2">
        <f t="shared" si="48"/>
        <v>0.14699999999999136</v>
      </c>
      <c r="J597" s="2">
        <f t="shared" si="45"/>
        <v>108.25547445255475</v>
      </c>
      <c r="K597" s="27">
        <f t="shared" si="49"/>
        <v>4.6844939379138379</v>
      </c>
    </row>
    <row r="598" spans="1:11" x14ac:dyDescent="0.3">
      <c r="A598" s="26">
        <v>0.47803699999999999</v>
      </c>
      <c r="B598" s="2">
        <v>0.1026</v>
      </c>
      <c r="C598" s="2" t="s">
        <v>5</v>
      </c>
      <c r="D598" s="2">
        <v>1</v>
      </c>
      <c r="E598" s="2">
        <v>99.876999999999995</v>
      </c>
      <c r="F598" s="3">
        <v>597</v>
      </c>
      <c r="G598" s="3">
        <f t="shared" si="46"/>
        <v>-2.4000000000000909E-2</v>
      </c>
      <c r="H598" s="3">
        <f t="shared" si="47"/>
        <v>-0.23391812865497963</v>
      </c>
      <c r="I598" s="3">
        <f t="shared" si="48"/>
        <v>-2.4000000000000909E-2</v>
      </c>
      <c r="J598" s="3">
        <f t="shared" si="45"/>
        <v>108.25547445255475</v>
      </c>
      <c r="K598" s="29">
        <f t="shared" si="49"/>
        <v>4.6844939379138379</v>
      </c>
    </row>
    <row r="599" spans="1:11" x14ac:dyDescent="0.3">
      <c r="A599" s="28">
        <v>0.47973100000000002</v>
      </c>
      <c r="B599" s="3">
        <v>0.1037</v>
      </c>
      <c r="C599" s="3" t="s">
        <v>5</v>
      </c>
      <c r="D599" s="3">
        <v>-1</v>
      </c>
      <c r="E599" s="3">
        <v>99.852999999999994</v>
      </c>
      <c r="F599" s="2">
        <v>598</v>
      </c>
      <c r="G599" s="2">
        <f t="shared" si="46"/>
        <v>-1.8999999999991246E-2</v>
      </c>
      <c r="H599" s="2">
        <f t="shared" si="47"/>
        <v>-0.18322082931524827</v>
      </c>
      <c r="I599" s="2">
        <f t="shared" si="48"/>
        <v>1.8999999999991246E-2</v>
      </c>
      <c r="J599" s="2">
        <f t="shared" si="45"/>
        <v>108.25547445255475</v>
      </c>
      <c r="K599" s="27">
        <f t="shared" si="49"/>
        <v>4.6844939379138379</v>
      </c>
    </row>
    <row r="600" spans="1:11" x14ac:dyDescent="0.3">
      <c r="A600" s="26">
        <v>0.48104599999999997</v>
      </c>
      <c r="B600" s="2">
        <v>8.1699999999999995E-2</v>
      </c>
      <c r="C600" s="2" t="s">
        <v>5</v>
      </c>
      <c r="D600" s="2">
        <v>-1</v>
      </c>
      <c r="E600" s="2">
        <v>99.834000000000003</v>
      </c>
      <c r="F600" s="3">
        <v>599</v>
      </c>
      <c r="G600" s="3">
        <f t="shared" si="46"/>
        <v>-5.8999999999997499E-2</v>
      </c>
      <c r="H600" s="3">
        <f t="shared" si="47"/>
        <v>-0.72215422276618735</v>
      </c>
      <c r="I600" s="3">
        <f t="shared" si="48"/>
        <v>5.8999999999997499E-2</v>
      </c>
      <c r="J600" s="3">
        <f t="shared" si="45"/>
        <v>108.25547445255475</v>
      </c>
      <c r="K600" s="29">
        <f t="shared" si="49"/>
        <v>4.6844939379138379</v>
      </c>
    </row>
    <row r="601" spans="1:11" x14ac:dyDescent="0.3">
      <c r="A601" s="28">
        <v>0.48426200000000003</v>
      </c>
      <c r="B601" s="3">
        <v>0.1164</v>
      </c>
      <c r="C601" s="3" t="s">
        <v>5</v>
      </c>
      <c r="D601" s="3">
        <v>-1</v>
      </c>
      <c r="E601" s="3">
        <v>99.775000000000006</v>
      </c>
      <c r="F601" s="2">
        <v>600</v>
      </c>
      <c r="G601" s="2">
        <f t="shared" si="46"/>
        <v>-0.10500000000000398</v>
      </c>
      <c r="H601" s="2">
        <f t="shared" si="47"/>
        <v>-0.9020618556701373</v>
      </c>
      <c r="I601" s="2">
        <f t="shared" si="48"/>
        <v>0.10500000000000398</v>
      </c>
      <c r="J601" s="2">
        <f t="shared" si="45"/>
        <v>108.25547445255475</v>
      </c>
      <c r="K601" s="27">
        <f t="shared" si="49"/>
        <v>4.6844939379138379</v>
      </c>
    </row>
    <row r="602" spans="1:11" x14ac:dyDescent="0.3">
      <c r="A602" s="26">
        <v>0.485093</v>
      </c>
      <c r="B602" s="2">
        <v>0.1042</v>
      </c>
      <c r="C602" s="2" t="s">
        <v>5</v>
      </c>
      <c r="D602" s="2">
        <v>-1</v>
      </c>
      <c r="E602" s="2">
        <v>99.67</v>
      </c>
      <c r="F602" s="3">
        <v>601</v>
      </c>
      <c r="G602" s="3">
        <f t="shared" si="46"/>
        <v>-9.7999999999998977E-2</v>
      </c>
      <c r="H602" s="3">
        <f t="shared" si="47"/>
        <v>-0.94049904030709186</v>
      </c>
      <c r="I602" s="3">
        <f t="shared" si="48"/>
        <v>9.7999999999998977E-2</v>
      </c>
      <c r="J602" s="3">
        <f t="shared" si="45"/>
        <v>108.25547445255475</v>
      </c>
      <c r="K602" s="29">
        <f t="shared" si="49"/>
        <v>4.6844939379138379</v>
      </c>
    </row>
    <row r="603" spans="1:11" x14ac:dyDescent="0.3">
      <c r="A603" s="28">
        <v>0.48524400000000001</v>
      </c>
      <c r="B603" s="3">
        <v>0.10970000000000001</v>
      </c>
      <c r="C603" s="3" t="s">
        <v>5</v>
      </c>
      <c r="D603" s="3">
        <v>-1</v>
      </c>
      <c r="E603" s="3">
        <v>99.572000000000003</v>
      </c>
      <c r="F603" s="2">
        <v>602</v>
      </c>
      <c r="G603" s="2">
        <f t="shared" si="46"/>
        <v>3.9999999999906777E-3</v>
      </c>
      <c r="H603" s="2">
        <f t="shared" si="47"/>
        <v>3.6463081130270532E-2</v>
      </c>
      <c r="I603" s="2">
        <f t="shared" si="48"/>
        <v>-3.9999999999906777E-3</v>
      </c>
      <c r="J603" s="2">
        <f t="shared" si="45"/>
        <v>108.25547445255475</v>
      </c>
      <c r="K603" s="27">
        <f t="shared" si="49"/>
        <v>4.6844939379138379</v>
      </c>
    </row>
    <row r="604" spans="1:11" x14ac:dyDescent="0.3">
      <c r="A604" s="26">
        <v>0.48538100000000001</v>
      </c>
      <c r="B604" s="2">
        <v>8.8200000000000001E-2</v>
      </c>
      <c r="C604" s="2" t="s">
        <v>5</v>
      </c>
      <c r="D604" s="2">
        <v>-1</v>
      </c>
      <c r="E604" s="2">
        <v>99.575999999999993</v>
      </c>
      <c r="F604" s="3">
        <v>603</v>
      </c>
      <c r="G604" s="3">
        <f t="shared" si="46"/>
        <v>-2.3999999999986699E-2</v>
      </c>
      <c r="H604" s="3">
        <f t="shared" si="47"/>
        <v>-0.27210884353726417</v>
      </c>
      <c r="I604" s="3">
        <f t="shared" si="48"/>
        <v>2.3999999999986699E-2</v>
      </c>
      <c r="J604" s="3">
        <f t="shared" si="45"/>
        <v>108.25547445255475</v>
      </c>
      <c r="K604" s="29">
        <f t="shared" si="49"/>
        <v>4.6844939379138379</v>
      </c>
    </row>
    <row r="605" spans="1:11" x14ac:dyDescent="0.3">
      <c r="A605" s="28">
        <v>0.486429</v>
      </c>
      <c r="B605" s="3">
        <v>9.8799999999999999E-2</v>
      </c>
      <c r="C605" s="3" t="s">
        <v>5</v>
      </c>
      <c r="D605" s="3">
        <v>1</v>
      </c>
      <c r="E605" s="3">
        <v>99.552000000000007</v>
      </c>
      <c r="F605" s="2">
        <v>604</v>
      </c>
      <c r="G605" s="2">
        <f t="shared" si="46"/>
        <v>0.1039999999999992</v>
      </c>
      <c r="H605" s="2">
        <f t="shared" si="47"/>
        <v>1.0526315789473604</v>
      </c>
      <c r="I605" s="2">
        <f t="shared" si="48"/>
        <v>0.1039999999999992</v>
      </c>
      <c r="J605" s="2">
        <f t="shared" si="45"/>
        <v>108.25547445255475</v>
      </c>
      <c r="K605" s="27">
        <f t="shared" si="49"/>
        <v>4.6844939379138379</v>
      </c>
    </row>
    <row r="606" spans="1:11" x14ac:dyDescent="0.3">
      <c r="A606" s="26">
        <v>0.48726799999999998</v>
      </c>
      <c r="B606" s="2">
        <v>0.1187</v>
      </c>
      <c r="C606" s="2" t="s">
        <v>5</v>
      </c>
      <c r="D606" s="2">
        <v>1</v>
      </c>
      <c r="E606" s="2">
        <v>99.656000000000006</v>
      </c>
      <c r="F606" s="3">
        <v>605</v>
      </c>
      <c r="G606" s="3">
        <f t="shared" si="46"/>
        <v>3.4999999999996589E-2</v>
      </c>
      <c r="H606" s="3">
        <f t="shared" si="47"/>
        <v>0.29486099410275141</v>
      </c>
      <c r="I606" s="3">
        <f t="shared" si="48"/>
        <v>3.4999999999996589E-2</v>
      </c>
      <c r="J606" s="3">
        <f t="shared" si="45"/>
        <v>108.25547445255475</v>
      </c>
      <c r="K606" s="29">
        <f t="shared" si="49"/>
        <v>4.6844939379138379</v>
      </c>
    </row>
    <row r="607" spans="1:11" x14ac:dyDescent="0.3">
      <c r="A607" s="28">
        <v>0.488929</v>
      </c>
      <c r="B607" s="3">
        <v>8.2900000000000001E-2</v>
      </c>
      <c r="C607" s="3" t="s">
        <v>5</v>
      </c>
      <c r="D607" s="3">
        <v>1</v>
      </c>
      <c r="E607" s="3">
        <v>99.691000000000003</v>
      </c>
      <c r="F607" s="2">
        <v>606</v>
      </c>
      <c r="G607" s="2">
        <f t="shared" si="46"/>
        <v>0.13199999999999079</v>
      </c>
      <c r="H607" s="2">
        <f t="shared" si="47"/>
        <v>1.5922798552471749</v>
      </c>
      <c r="I607" s="2">
        <f t="shared" si="48"/>
        <v>0.13199999999999079</v>
      </c>
      <c r="J607" s="2">
        <f t="shared" si="45"/>
        <v>108.25547445255475</v>
      </c>
      <c r="K607" s="27">
        <f t="shared" si="49"/>
        <v>4.6844939379138379</v>
      </c>
    </row>
    <row r="608" spans="1:11" x14ac:dyDescent="0.3">
      <c r="A608" s="26">
        <v>0.48918699999999998</v>
      </c>
      <c r="B608" s="2">
        <v>9.8799999999999999E-2</v>
      </c>
      <c r="C608" s="2" t="s">
        <v>5</v>
      </c>
      <c r="D608" s="2">
        <v>-1</v>
      </c>
      <c r="E608" s="2">
        <v>99.822999999999993</v>
      </c>
      <c r="F608" s="3">
        <v>607</v>
      </c>
      <c r="G608" s="3">
        <f t="shared" si="46"/>
        <v>-4.2999999999992156E-2</v>
      </c>
      <c r="H608" s="3">
        <f t="shared" si="47"/>
        <v>-0.43522267206469795</v>
      </c>
      <c r="I608" s="3">
        <f t="shared" si="48"/>
        <v>4.2999999999992156E-2</v>
      </c>
      <c r="J608" s="3">
        <f t="shared" si="45"/>
        <v>108.25547445255475</v>
      </c>
      <c r="K608" s="29">
        <f t="shared" si="49"/>
        <v>4.6844939379138379</v>
      </c>
    </row>
    <row r="609" spans="1:11" x14ac:dyDescent="0.3">
      <c r="A609" s="28">
        <v>0.49002600000000002</v>
      </c>
      <c r="B609" s="3">
        <v>0.1023</v>
      </c>
      <c r="C609" s="3" t="s">
        <v>5</v>
      </c>
      <c r="D609" s="3">
        <v>-1</v>
      </c>
      <c r="E609" s="3">
        <v>99.78</v>
      </c>
      <c r="F609" s="2">
        <v>608</v>
      </c>
      <c r="G609" s="2">
        <f t="shared" si="46"/>
        <v>-1.0000000000005116E-2</v>
      </c>
      <c r="H609" s="2">
        <f t="shared" si="47"/>
        <v>-9.7751710654986473E-2</v>
      </c>
      <c r="I609" s="2">
        <f t="shared" si="48"/>
        <v>1.0000000000005116E-2</v>
      </c>
      <c r="J609" s="2">
        <f t="shared" si="45"/>
        <v>108.25547445255475</v>
      </c>
      <c r="K609" s="27">
        <f t="shared" si="49"/>
        <v>4.6844939379138379</v>
      </c>
    </row>
    <row r="610" spans="1:11" x14ac:dyDescent="0.3">
      <c r="A610" s="26">
        <v>0.49120999999999998</v>
      </c>
      <c r="B610" s="2">
        <v>0.1043</v>
      </c>
      <c r="C610" s="2" t="s">
        <v>5</v>
      </c>
      <c r="D610" s="2">
        <v>1</v>
      </c>
      <c r="E610" s="2">
        <v>99.77</v>
      </c>
      <c r="F610" s="3">
        <v>609</v>
      </c>
      <c r="G610" s="3">
        <f t="shared" si="46"/>
        <v>3.0000000000001137E-2</v>
      </c>
      <c r="H610" s="3">
        <f t="shared" si="47"/>
        <v>0.28763183125600322</v>
      </c>
      <c r="I610" s="3">
        <f t="shared" si="48"/>
        <v>3.0000000000001137E-2</v>
      </c>
      <c r="J610" s="3">
        <f t="shared" si="45"/>
        <v>108.25547445255475</v>
      </c>
      <c r="K610" s="29">
        <f t="shared" si="49"/>
        <v>4.6844939379138379</v>
      </c>
    </row>
    <row r="611" spans="1:11" x14ac:dyDescent="0.3">
      <c r="A611" s="28">
        <v>0.49169099999999999</v>
      </c>
      <c r="B611" s="3">
        <v>8.6800000000000002E-2</v>
      </c>
      <c r="C611" s="3" t="s">
        <v>5</v>
      </c>
      <c r="D611" s="3">
        <v>-1</v>
      </c>
      <c r="E611" s="3">
        <v>99.8</v>
      </c>
      <c r="F611" s="2">
        <v>610</v>
      </c>
      <c r="G611" s="2">
        <f t="shared" si="46"/>
        <v>-9.4999999999998863E-2</v>
      </c>
      <c r="H611" s="2">
        <f t="shared" si="47"/>
        <v>-1.0944700460829362</v>
      </c>
      <c r="I611" s="2">
        <f t="shared" si="48"/>
        <v>9.4999999999998863E-2</v>
      </c>
      <c r="J611" s="2">
        <f t="shared" si="45"/>
        <v>108.25547445255475</v>
      </c>
      <c r="K611" s="27">
        <f t="shared" si="49"/>
        <v>4.6844939379138379</v>
      </c>
    </row>
    <row r="612" spans="1:11" x14ac:dyDescent="0.3">
      <c r="A612" s="26">
        <v>0.492394</v>
      </c>
      <c r="B612" s="2">
        <v>0.1104</v>
      </c>
      <c r="C612" s="2" t="s">
        <v>5</v>
      </c>
      <c r="D612" s="2">
        <v>-1</v>
      </c>
      <c r="E612" s="2">
        <v>99.704999999999998</v>
      </c>
      <c r="F612" s="3">
        <v>611</v>
      </c>
      <c r="G612" s="3">
        <f t="shared" si="46"/>
        <v>-7.2999999999993292E-2</v>
      </c>
      <c r="H612" s="3">
        <f t="shared" si="47"/>
        <v>-0.66123188405791022</v>
      </c>
      <c r="I612" s="3">
        <f t="shared" si="48"/>
        <v>7.2999999999993292E-2</v>
      </c>
      <c r="J612" s="3">
        <f t="shared" si="45"/>
        <v>108.25547445255475</v>
      </c>
      <c r="K612" s="29">
        <f t="shared" si="49"/>
        <v>4.6844939379138379</v>
      </c>
    </row>
    <row r="613" spans="1:11" x14ac:dyDescent="0.3">
      <c r="A613" s="28">
        <v>0.49271900000000002</v>
      </c>
      <c r="B613" s="3">
        <v>0.1037</v>
      </c>
      <c r="C613" s="3" t="s">
        <v>5</v>
      </c>
      <c r="D613" s="3">
        <v>1</v>
      </c>
      <c r="E613" s="3">
        <v>99.632000000000005</v>
      </c>
      <c r="F613" s="2">
        <v>612</v>
      </c>
      <c r="G613" s="2">
        <f t="shared" si="46"/>
        <v>0.10499999999998977</v>
      </c>
      <c r="H613" s="2">
        <f t="shared" si="47"/>
        <v>1.0125361620056872</v>
      </c>
      <c r="I613" s="2">
        <f t="shared" si="48"/>
        <v>0.10499999999998977</v>
      </c>
      <c r="J613" s="2">
        <f t="shared" si="45"/>
        <v>108.25547445255475</v>
      </c>
      <c r="K613" s="27">
        <f t="shared" si="49"/>
        <v>4.6844939379138379</v>
      </c>
    </row>
    <row r="614" spans="1:11" x14ac:dyDescent="0.3">
      <c r="A614" s="26">
        <v>0.49418499999999999</v>
      </c>
      <c r="B614" s="2">
        <v>0.11260000000000001</v>
      </c>
      <c r="C614" s="2" t="s">
        <v>5</v>
      </c>
      <c r="D614" s="2">
        <v>1</v>
      </c>
      <c r="E614" s="2">
        <v>99.736999999999995</v>
      </c>
      <c r="F614" s="2">
        <v>613</v>
      </c>
      <c r="G614" s="2">
        <f t="shared" si="46"/>
        <v>2.9000000000010573E-2</v>
      </c>
      <c r="H614" s="2">
        <f t="shared" si="47"/>
        <v>0.2575488454707866</v>
      </c>
      <c r="I614" s="2">
        <f t="shared" si="48"/>
        <v>2.9000000000010573E-2</v>
      </c>
      <c r="J614" s="2">
        <f t="shared" si="45"/>
        <v>108.25547445255475</v>
      </c>
      <c r="K614" s="27">
        <f t="shared" si="49"/>
        <v>4.6844939379138379</v>
      </c>
    </row>
    <row r="615" spans="1:11" x14ac:dyDescent="0.3">
      <c r="A615" s="28">
        <v>0.49493199999999998</v>
      </c>
      <c r="B615" s="3">
        <v>9.5000000000000001E-2</v>
      </c>
      <c r="C615" s="3" t="s">
        <v>5</v>
      </c>
      <c r="D615" s="3">
        <v>1</v>
      </c>
      <c r="E615" s="3">
        <v>99.766000000000005</v>
      </c>
      <c r="F615" s="3">
        <v>614</v>
      </c>
      <c r="G615" s="3">
        <f t="shared" si="46"/>
        <v>3.3000000000001251E-2</v>
      </c>
      <c r="H615" s="3">
        <f t="shared" si="47"/>
        <v>0.34736842105264476</v>
      </c>
      <c r="I615" s="3">
        <f t="shared" si="48"/>
        <v>3.3000000000001251E-2</v>
      </c>
      <c r="J615" s="3">
        <f t="shared" si="45"/>
        <v>108.25547445255475</v>
      </c>
      <c r="K615" s="29">
        <f t="shared" si="49"/>
        <v>4.6844939379138379</v>
      </c>
    </row>
    <row r="616" spans="1:11" x14ac:dyDescent="0.3">
      <c r="A616" s="26">
        <v>0.49511300000000003</v>
      </c>
      <c r="B616" s="2">
        <v>8.2699999999999996E-2</v>
      </c>
      <c r="C616" s="2" t="s">
        <v>5</v>
      </c>
      <c r="D616" s="2">
        <v>-1</v>
      </c>
      <c r="E616" s="2">
        <v>99.799000000000007</v>
      </c>
      <c r="F616" s="2">
        <v>615</v>
      </c>
      <c r="G616" s="2">
        <f t="shared" si="46"/>
        <v>-9.0000000000003411E-3</v>
      </c>
      <c r="H616" s="2">
        <f t="shared" si="47"/>
        <v>-0.10882708585248296</v>
      </c>
      <c r="I616" s="2">
        <f t="shared" si="48"/>
        <v>9.0000000000003411E-3</v>
      </c>
      <c r="J616" s="2">
        <f t="shared" si="45"/>
        <v>108.25547445255475</v>
      </c>
      <c r="K616" s="27">
        <f t="shared" si="49"/>
        <v>4.6844939379138379</v>
      </c>
    </row>
    <row r="617" spans="1:11" x14ac:dyDescent="0.3">
      <c r="A617" s="28">
        <v>0.496504</v>
      </c>
      <c r="B617" s="3">
        <v>8.0399999999999999E-2</v>
      </c>
      <c r="C617" s="3">
        <v>78</v>
      </c>
      <c r="D617" s="3">
        <v>-1</v>
      </c>
      <c r="E617" s="3">
        <v>99.79</v>
      </c>
      <c r="F617" s="3">
        <v>616</v>
      </c>
      <c r="G617" s="3">
        <f t="shared" si="46"/>
        <v>-4.9000000000006594E-2</v>
      </c>
      <c r="H617" s="3">
        <f t="shared" si="47"/>
        <v>-0.60945273631848995</v>
      </c>
      <c r="I617" s="3">
        <f t="shared" si="48"/>
        <v>4.9000000000006594E-2</v>
      </c>
      <c r="J617" s="3">
        <f t="shared" si="45"/>
        <v>78</v>
      </c>
      <c r="K617" s="29">
        <f t="shared" si="49"/>
        <v>4.3567088266895917</v>
      </c>
    </row>
    <row r="618" spans="1:11" x14ac:dyDescent="0.3">
      <c r="A618" s="26">
        <v>0.497195</v>
      </c>
      <c r="B618" s="2">
        <v>0.1047</v>
      </c>
      <c r="C618" s="2" t="s">
        <v>5</v>
      </c>
      <c r="D618" s="2">
        <v>1</v>
      </c>
      <c r="E618" s="2">
        <v>99.741</v>
      </c>
      <c r="F618" s="2">
        <v>617</v>
      </c>
      <c r="G618" s="2">
        <f t="shared" si="46"/>
        <v>6.1000000000007049E-2</v>
      </c>
      <c r="H618" s="2">
        <f t="shared" si="47"/>
        <v>0.5826170009551771</v>
      </c>
      <c r="I618" s="2">
        <f t="shared" si="48"/>
        <v>6.1000000000007049E-2</v>
      </c>
      <c r="J618" s="2">
        <f t="shared" si="45"/>
        <v>108.25547445255475</v>
      </c>
      <c r="K618" s="27">
        <f t="shared" si="49"/>
        <v>4.6844939379138379</v>
      </c>
    </row>
    <row r="619" spans="1:11" x14ac:dyDescent="0.3">
      <c r="A619" s="28">
        <v>0.49750499999999998</v>
      </c>
      <c r="B619" s="3">
        <v>0.1086</v>
      </c>
      <c r="C619" s="3" t="s">
        <v>5</v>
      </c>
      <c r="D619" s="3">
        <v>-1</v>
      </c>
      <c r="E619" s="3">
        <v>99.802000000000007</v>
      </c>
      <c r="F619" s="3">
        <v>618</v>
      </c>
      <c r="G619" s="3">
        <f t="shared" si="46"/>
        <v>-2.1000000000000796E-2</v>
      </c>
      <c r="H619" s="3">
        <f t="shared" si="47"/>
        <v>-0.19337016574586369</v>
      </c>
      <c r="I619" s="3">
        <f t="shared" si="48"/>
        <v>2.1000000000000796E-2</v>
      </c>
      <c r="J619" s="3">
        <f t="shared" si="45"/>
        <v>108.25547445255475</v>
      </c>
      <c r="K619" s="29">
        <f t="shared" si="49"/>
        <v>4.6844939379138379</v>
      </c>
    </row>
    <row r="620" spans="1:11" x14ac:dyDescent="0.3">
      <c r="A620" s="26">
        <v>0.498809</v>
      </c>
      <c r="B620" s="2">
        <v>0.1116</v>
      </c>
      <c r="C620" s="2" t="s">
        <v>5</v>
      </c>
      <c r="D620" s="2">
        <v>-1</v>
      </c>
      <c r="E620" s="2">
        <v>99.781000000000006</v>
      </c>
      <c r="F620" s="2">
        <v>619</v>
      </c>
      <c r="G620" s="2">
        <f t="shared" si="46"/>
        <v>-1.6000000000005343E-2</v>
      </c>
      <c r="H620" s="2">
        <f t="shared" si="47"/>
        <v>-0.14336917562728801</v>
      </c>
      <c r="I620" s="2">
        <f t="shared" si="48"/>
        <v>1.6000000000005343E-2</v>
      </c>
      <c r="J620" s="2">
        <f t="shared" si="45"/>
        <v>108.25547445255475</v>
      </c>
      <c r="K620" s="27">
        <f t="shared" si="49"/>
        <v>4.6844939379138379</v>
      </c>
    </row>
    <row r="621" spans="1:11" x14ac:dyDescent="0.3">
      <c r="A621" s="28">
        <v>0.499386</v>
      </c>
      <c r="B621" s="3">
        <v>9.5100000000000004E-2</v>
      </c>
      <c r="C621" s="3" t="s">
        <v>5</v>
      </c>
      <c r="D621" s="3">
        <v>1</v>
      </c>
      <c r="E621" s="3">
        <v>99.765000000000001</v>
      </c>
      <c r="F621" s="3">
        <v>620</v>
      </c>
      <c r="G621" s="3">
        <f t="shared" si="46"/>
        <v>8.100000000000307E-2</v>
      </c>
      <c r="H621" s="3">
        <f t="shared" si="47"/>
        <v>0.85173501577290289</v>
      </c>
      <c r="I621" s="3">
        <f t="shared" si="48"/>
        <v>8.100000000000307E-2</v>
      </c>
      <c r="J621" s="3">
        <f t="shared" si="45"/>
        <v>108.25547445255475</v>
      </c>
      <c r="K621" s="29">
        <f t="shared" si="49"/>
        <v>4.6844939379138379</v>
      </c>
    </row>
    <row r="622" spans="1:11" x14ac:dyDescent="0.3">
      <c r="A622" s="26">
        <v>0.50000299999999998</v>
      </c>
      <c r="B622" s="2">
        <v>8.4500000000000006E-2</v>
      </c>
      <c r="C622" s="2" t="s">
        <v>5</v>
      </c>
      <c r="D622" s="2">
        <v>1</v>
      </c>
      <c r="E622" s="2">
        <v>99.846000000000004</v>
      </c>
      <c r="F622" s="2">
        <v>621</v>
      </c>
      <c r="G622" s="2">
        <f t="shared" si="46"/>
        <v>1.5999999999991132E-2</v>
      </c>
      <c r="H622" s="2">
        <f t="shared" si="47"/>
        <v>0.18934911242593055</v>
      </c>
      <c r="I622" s="2">
        <f t="shared" si="48"/>
        <v>1.5999999999991132E-2</v>
      </c>
      <c r="J622" s="2">
        <f t="shared" si="45"/>
        <v>108.25547445255475</v>
      </c>
      <c r="K622" s="27">
        <f t="shared" si="49"/>
        <v>4.6844939379138379</v>
      </c>
    </row>
    <row r="623" spans="1:11" x14ac:dyDescent="0.3">
      <c r="A623" s="28">
        <v>0.50103200000000003</v>
      </c>
      <c r="B623" s="3">
        <v>8.8999999999999996E-2</v>
      </c>
      <c r="C623" s="3">
        <v>32</v>
      </c>
      <c r="D623" s="3">
        <v>-1</v>
      </c>
      <c r="E623" s="3">
        <v>99.861999999999995</v>
      </c>
      <c r="F623" s="3">
        <v>622</v>
      </c>
      <c r="G623" s="3">
        <f t="shared" si="46"/>
        <v>-3.3000000000001251E-2</v>
      </c>
      <c r="H623" s="3">
        <f t="shared" si="47"/>
        <v>-0.37078651685394665</v>
      </c>
      <c r="I623" s="3">
        <f t="shared" si="48"/>
        <v>3.3000000000001251E-2</v>
      </c>
      <c r="J623" s="3">
        <f t="shared" si="45"/>
        <v>32</v>
      </c>
      <c r="K623" s="29">
        <f t="shared" si="49"/>
        <v>3.4657359027997265</v>
      </c>
    </row>
    <row r="624" spans="1:11" x14ac:dyDescent="0.3">
      <c r="A624" s="26">
        <v>0.50234900000000005</v>
      </c>
      <c r="B624" s="2">
        <v>9.7600000000000006E-2</v>
      </c>
      <c r="C624" s="2" t="s">
        <v>5</v>
      </c>
      <c r="D624" s="2">
        <v>-1</v>
      </c>
      <c r="E624" s="2">
        <v>99.828999999999994</v>
      </c>
      <c r="F624" s="2">
        <v>623</v>
      </c>
      <c r="G624" s="2">
        <f t="shared" si="46"/>
        <v>-3.6999999999991928E-2</v>
      </c>
      <c r="H624" s="2">
        <f t="shared" si="47"/>
        <v>-0.379098360655655</v>
      </c>
      <c r="I624" s="2">
        <f t="shared" si="48"/>
        <v>3.6999999999991928E-2</v>
      </c>
      <c r="J624" s="2">
        <f t="shared" si="45"/>
        <v>108.25547445255475</v>
      </c>
      <c r="K624" s="27">
        <f t="shared" si="49"/>
        <v>4.6844939379138379</v>
      </c>
    </row>
    <row r="625" spans="1:11" x14ac:dyDescent="0.3">
      <c r="A625" s="28">
        <v>0.50451500000000005</v>
      </c>
      <c r="B625" s="3">
        <v>0.11559999999999999</v>
      </c>
      <c r="C625" s="3" t="s">
        <v>5</v>
      </c>
      <c r="D625" s="3">
        <v>-1</v>
      </c>
      <c r="E625" s="3">
        <v>99.792000000000002</v>
      </c>
      <c r="F625" s="3">
        <v>624</v>
      </c>
      <c r="G625" s="3">
        <f t="shared" si="46"/>
        <v>-3.0000000000001137E-2</v>
      </c>
      <c r="H625" s="3">
        <f t="shared" si="47"/>
        <v>-0.25951557093426592</v>
      </c>
      <c r="I625" s="3">
        <f t="shared" si="48"/>
        <v>3.0000000000001137E-2</v>
      </c>
      <c r="J625" s="3">
        <f t="shared" si="45"/>
        <v>108.25547445255475</v>
      </c>
      <c r="K625" s="29">
        <f t="shared" si="49"/>
        <v>4.6844939379138379</v>
      </c>
    </row>
    <row r="626" spans="1:11" x14ac:dyDescent="0.3">
      <c r="A626" s="26">
        <v>0.50616399999999995</v>
      </c>
      <c r="B626" s="2">
        <v>9.9599999999999994E-2</v>
      </c>
      <c r="C626" s="2" t="s">
        <v>5</v>
      </c>
      <c r="D626" s="2">
        <v>-1</v>
      </c>
      <c r="E626" s="2">
        <v>99.762</v>
      </c>
      <c r="F626" s="2">
        <v>625</v>
      </c>
      <c r="G626" s="2">
        <f t="shared" si="46"/>
        <v>-1.6000000000005343E-2</v>
      </c>
      <c r="H626" s="2">
        <f t="shared" si="47"/>
        <v>-0.16064257028117815</v>
      </c>
      <c r="I626" s="2">
        <f t="shared" si="48"/>
        <v>1.6000000000005343E-2</v>
      </c>
      <c r="J626" s="2">
        <f t="shared" si="45"/>
        <v>108.25547445255475</v>
      </c>
      <c r="K626" s="27">
        <f t="shared" si="49"/>
        <v>4.6844939379138379</v>
      </c>
    </row>
    <row r="627" spans="1:11" x14ac:dyDescent="0.3">
      <c r="A627" s="28">
        <v>0.50864500000000001</v>
      </c>
      <c r="B627" s="3">
        <v>9.2999999999999999E-2</v>
      </c>
      <c r="C627" s="3">
        <v>41</v>
      </c>
      <c r="D627" s="3">
        <v>-1</v>
      </c>
      <c r="E627" s="3">
        <v>99.745999999999995</v>
      </c>
      <c r="F627" s="3">
        <v>626</v>
      </c>
      <c r="G627" s="3">
        <f t="shared" si="46"/>
        <v>-3.4999999999996589E-2</v>
      </c>
      <c r="H627" s="3">
        <f t="shared" si="47"/>
        <v>-0.37634408602146868</v>
      </c>
      <c r="I627" s="3">
        <f t="shared" si="48"/>
        <v>3.4999999999996589E-2</v>
      </c>
      <c r="J627" s="3">
        <f t="shared" si="45"/>
        <v>41</v>
      </c>
      <c r="K627" s="29">
        <f t="shared" si="49"/>
        <v>3.713572066704308</v>
      </c>
    </row>
    <row r="628" spans="1:11" x14ac:dyDescent="0.3">
      <c r="A628" s="26">
        <v>0.51037600000000005</v>
      </c>
      <c r="B628" s="2">
        <v>9.8599999999999993E-2</v>
      </c>
      <c r="C628" s="2" t="s">
        <v>5</v>
      </c>
      <c r="D628" s="2">
        <v>-1</v>
      </c>
      <c r="E628" s="2">
        <v>99.710999999999999</v>
      </c>
      <c r="F628" s="2">
        <v>627</v>
      </c>
      <c r="G628" s="2">
        <f t="shared" si="46"/>
        <v>-4.9999999999954525E-3</v>
      </c>
      <c r="H628" s="2">
        <f t="shared" si="47"/>
        <v>-5.0709939148026906E-2</v>
      </c>
      <c r="I628" s="2">
        <f t="shared" si="48"/>
        <v>4.9999999999954525E-3</v>
      </c>
      <c r="J628" s="2">
        <f t="shared" si="45"/>
        <v>108.25547445255475</v>
      </c>
      <c r="K628" s="27">
        <f t="shared" si="49"/>
        <v>4.6844939379138379</v>
      </c>
    </row>
    <row r="629" spans="1:11" x14ac:dyDescent="0.3">
      <c r="A629" s="28">
        <v>0.51053400000000004</v>
      </c>
      <c r="B629" s="3">
        <v>8.9300000000000004E-2</v>
      </c>
      <c r="C629" s="3">
        <v>68</v>
      </c>
      <c r="D629" s="3">
        <v>-1</v>
      </c>
      <c r="E629" s="3">
        <v>99.706000000000003</v>
      </c>
      <c r="F629" s="3">
        <v>628</v>
      </c>
      <c r="G629" s="3">
        <f t="shared" si="46"/>
        <v>-4.9000000000006594E-2</v>
      </c>
      <c r="H629" s="3">
        <f t="shared" si="47"/>
        <v>-0.54871220604710624</v>
      </c>
      <c r="I629" s="3">
        <f t="shared" si="48"/>
        <v>4.9000000000006594E-2</v>
      </c>
      <c r="J629" s="3">
        <f t="shared" si="45"/>
        <v>68</v>
      </c>
      <c r="K629" s="29">
        <f t="shared" si="49"/>
        <v>4.219507705176107</v>
      </c>
    </row>
    <row r="630" spans="1:11" x14ac:dyDescent="0.3">
      <c r="A630" s="26">
        <v>0.51089200000000001</v>
      </c>
      <c r="B630" s="2">
        <v>0.10050000000000001</v>
      </c>
      <c r="C630" s="2">
        <v>267</v>
      </c>
      <c r="D630" s="2">
        <v>1</v>
      </c>
      <c r="E630" s="2">
        <v>99.656999999999996</v>
      </c>
      <c r="F630" s="2">
        <v>629</v>
      </c>
      <c r="G630" s="2">
        <f t="shared" si="46"/>
        <v>0.13000000000000966</v>
      </c>
      <c r="H630" s="2">
        <f t="shared" si="47"/>
        <v>1.2935323383085537</v>
      </c>
      <c r="I630" s="2">
        <f t="shared" si="48"/>
        <v>0.13000000000000966</v>
      </c>
      <c r="J630" s="2">
        <f t="shared" si="45"/>
        <v>267</v>
      </c>
      <c r="K630" s="27">
        <f t="shared" si="49"/>
        <v>5.5872486584002496</v>
      </c>
    </row>
    <row r="631" spans="1:11" x14ac:dyDescent="0.3">
      <c r="A631" s="28">
        <v>0.51128300000000004</v>
      </c>
      <c r="B631" s="3">
        <v>7.7299999999999994E-2</v>
      </c>
      <c r="C631" s="3" t="s">
        <v>5</v>
      </c>
      <c r="D631" s="3">
        <v>1</v>
      </c>
      <c r="E631" s="3">
        <v>99.787000000000006</v>
      </c>
      <c r="F631" s="2">
        <v>630</v>
      </c>
      <c r="G631" s="2">
        <f t="shared" si="46"/>
        <v>7.899999999999352E-2</v>
      </c>
      <c r="H631" s="2">
        <f t="shared" si="47"/>
        <v>1.0219922380335515</v>
      </c>
      <c r="I631" s="2">
        <f t="shared" si="48"/>
        <v>7.899999999999352E-2</v>
      </c>
      <c r="J631" s="2">
        <f t="shared" si="45"/>
        <v>108.25547445255475</v>
      </c>
      <c r="K631" s="27">
        <f t="shared" si="49"/>
        <v>4.6844939379138379</v>
      </c>
    </row>
    <row r="632" spans="1:11" x14ac:dyDescent="0.3">
      <c r="A632" s="26">
        <v>0.51202300000000001</v>
      </c>
      <c r="B632" s="2">
        <v>9.5699999999999993E-2</v>
      </c>
      <c r="C632" s="2" t="s">
        <v>5</v>
      </c>
      <c r="D632" s="2">
        <v>-1</v>
      </c>
      <c r="E632" s="2">
        <v>99.866</v>
      </c>
      <c r="F632" s="3">
        <v>631</v>
      </c>
      <c r="G632" s="3">
        <f t="shared" si="46"/>
        <v>-6.4999999999997726E-2</v>
      </c>
      <c r="H632" s="3">
        <f t="shared" si="47"/>
        <v>-0.67920585161962099</v>
      </c>
      <c r="I632" s="3">
        <f t="shared" si="48"/>
        <v>6.4999999999997726E-2</v>
      </c>
      <c r="J632" s="3">
        <f t="shared" si="45"/>
        <v>108.25547445255475</v>
      </c>
      <c r="K632" s="29">
        <f t="shared" si="49"/>
        <v>4.6844939379138379</v>
      </c>
    </row>
    <row r="633" spans="1:11" x14ac:dyDescent="0.3">
      <c r="A633" s="28">
        <v>0.51349100000000003</v>
      </c>
      <c r="B633" s="3">
        <v>9.2200000000000004E-2</v>
      </c>
      <c r="C633" s="3" t="s">
        <v>5</v>
      </c>
      <c r="D633" s="3">
        <v>1</v>
      </c>
      <c r="E633" s="3">
        <v>99.801000000000002</v>
      </c>
      <c r="F633" s="2">
        <v>632</v>
      </c>
      <c r="G633" s="2">
        <f t="shared" si="46"/>
        <v>4.6999999999997044E-2</v>
      </c>
      <c r="H633" s="2">
        <f t="shared" si="47"/>
        <v>0.50976138828630202</v>
      </c>
      <c r="I633" s="2">
        <f t="shared" si="48"/>
        <v>4.6999999999997044E-2</v>
      </c>
      <c r="J633" s="2">
        <f t="shared" si="45"/>
        <v>108.25547445255475</v>
      </c>
      <c r="K633" s="27">
        <f t="shared" si="49"/>
        <v>4.6844939379138379</v>
      </c>
    </row>
    <row r="634" spans="1:11" x14ac:dyDescent="0.3">
      <c r="A634" s="26">
        <v>0.514733</v>
      </c>
      <c r="B634" s="2">
        <v>0.11020000000000001</v>
      </c>
      <c r="C634" s="2" t="s">
        <v>5</v>
      </c>
      <c r="D634" s="2">
        <v>1</v>
      </c>
      <c r="E634" s="2">
        <v>99.847999999999999</v>
      </c>
      <c r="F634" s="3">
        <v>633</v>
      </c>
      <c r="G634" s="3">
        <f t="shared" si="46"/>
        <v>0.117999999999995</v>
      </c>
      <c r="H634" s="3">
        <f t="shared" si="47"/>
        <v>1.0707803992740017</v>
      </c>
      <c r="I634" s="3">
        <f t="shared" si="48"/>
        <v>0.117999999999995</v>
      </c>
      <c r="J634" s="3">
        <f t="shared" si="45"/>
        <v>108.25547445255475</v>
      </c>
      <c r="K634" s="29">
        <f t="shared" si="49"/>
        <v>4.6844939379138379</v>
      </c>
    </row>
    <row r="635" spans="1:11" x14ac:dyDescent="0.3">
      <c r="A635" s="28">
        <v>0.51562699999999995</v>
      </c>
      <c r="B635" s="3">
        <v>8.7099999999999997E-2</v>
      </c>
      <c r="C635" s="3" t="s">
        <v>5</v>
      </c>
      <c r="D635" s="3">
        <v>-1</v>
      </c>
      <c r="E635" s="3">
        <v>99.965999999999994</v>
      </c>
      <c r="F635" s="2">
        <v>634</v>
      </c>
      <c r="G635" s="2">
        <f t="shared" si="46"/>
        <v>-1.5000000000000568E-2</v>
      </c>
      <c r="H635" s="2">
        <f t="shared" si="47"/>
        <v>-0.17221584385764144</v>
      </c>
      <c r="I635" s="2">
        <f t="shared" si="48"/>
        <v>1.5000000000000568E-2</v>
      </c>
      <c r="J635" s="2">
        <f t="shared" si="45"/>
        <v>108.25547445255475</v>
      </c>
      <c r="K635" s="27">
        <f t="shared" si="49"/>
        <v>4.6844939379138379</v>
      </c>
    </row>
    <row r="636" spans="1:11" x14ac:dyDescent="0.3">
      <c r="A636" s="26">
        <v>0.51565799999999995</v>
      </c>
      <c r="B636" s="2">
        <v>9.4200000000000006E-2</v>
      </c>
      <c r="C636" s="2" t="s">
        <v>5</v>
      </c>
      <c r="D636" s="2">
        <v>-1</v>
      </c>
      <c r="E636" s="2">
        <v>99.950999999999993</v>
      </c>
      <c r="F636" s="3">
        <v>635</v>
      </c>
      <c r="G636" s="3">
        <f t="shared" si="46"/>
        <v>-1.099999999999568E-2</v>
      </c>
      <c r="H636" s="3">
        <f t="shared" si="47"/>
        <v>-0.11677282377914734</v>
      </c>
      <c r="I636" s="3">
        <f t="shared" si="48"/>
        <v>1.099999999999568E-2</v>
      </c>
      <c r="J636" s="3">
        <f t="shared" si="45"/>
        <v>108.25547445255475</v>
      </c>
      <c r="K636" s="29">
        <f t="shared" si="49"/>
        <v>4.6844939379138379</v>
      </c>
    </row>
    <row r="637" spans="1:11" x14ac:dyDescent="0.3">
      <c r="A637" s="28">
        <v>0.51588100000000003</v>
      </c>
      <c r="B637" s="3">
        <v>8.8499999999999995E-2</v>
      </c>
      <c r="C637" s="3" t="s">
        <v>5</v>
      </c>
      <c r="D637" s="3">
        <v>1</v>
      </c>
      <c r="E637" s="3">
        <v>99.94</v>
      </c>
      <c r="F637" s="2">
        <v>636</v>
      </c>
      <c r="G637" s="2">
        <f t="shared" si="46"/>
        <v>0.11800000000000921</v>
      </c>
      <c r="H637" s="2">
        <f t="shared" si="47"/>
        <v>1.3333333333334374</v>
      </c>
      <c r="I637" s="2">
        <f t="shared" si="48"/>
        <v>0.11800000000000921</v>
      </c>
      <c r="J637" s="2">
        <f t="shared" si="45"/>
        <v>108.25547445255475</v>
      </c>
      <c r="K637" s="27">
        <f t="shared" si="49"/>
        <v>4.6844939379138379</v>
      </c>
    </row>
    <row r="638" spans="1:11" x14ac:dyDescent="0.3">
      <c r="A638" s="26">
        <v>0.51658099999999996</v>
      </c>
      <c r="B638" s="2">
        <v>0.1077</v>
      </c>
      <c r="C638" s="2" t="s">
        <v>5</v>
      </c>
      <c r="D638" s="2">
        <v>1</v>
      </c>
      <c r="E638" s="2">
        <v>100.05800000000001</v>
      </c>
      <c r="F638" s="3">
        <v>637</v>
      </c>
      <c r="G638" s="3">
        <f t="shared" si="46"/>
        <v>-3.0000000000001137E-3</v>
      </c>
      <c r="H638" s="3">
        <f t="shared" si="47"/>
        <v>-2.7855153203343672E-2</v>
      </c>
      <c r="I638" s="3">
        <f t="shared" si="48"/>
        <v>-3.0000000000001137E-3</v>
      </c>
      <c r="J638" s="3">
        <f t="shared" si="45"/>
        <v>108.25547445255475</v>
      </c>
      <c r="K638" s="29">
        <f t="shared" si="49"/>
        <v>4.6844939379138379</v>
      </c>
    </row>
    <row r="639" spans="1:11" x14ac:dyDescent="0.3">
      <c r="A639" s="28">
        <v>0.521038</v>
      </c>
      <c r="B639" s="3">
        <v>7.9699999999999993E-2</v>
      </c>
      <c r="C639" s="3">
        <v>30</v>
      </c>
      <c r="D639" s="3">
        <v>-1</v>
      </c>
      <c r="E639" s="3">
        <v>100.05500000000001</v>
      </c>
      <c r="F639" s="2">
        <v>638</v>
      </c>
      <c r="G639" s="2">
        <f t="shared" si="46"/>
        <v>-2.9000000000010573E-2</v>
      </c>
      <c r="H639" s="2">
        <f t="shared" si="47"/>
        <v>-0.36386449184454928</v>
      </c>
      <c r="I639" s="2">
        <f t="shared" si="48"/>
        <v>2.9000000000010573E-2</v>
      </c>
      <c r="J639" s="2">
        <f t="shared" si="45"/>
        <v>30</v>
      </c>
      <c r="K639" s="27">
        <f t="shared" si="49"/>
        <v>3.4011973816621555</v>
      </c>
    </row>
    <row r="640" spans="1:11" x14ac:dyDescent="0.3">
      <c r="A640" s="26">
        <v>0.52126399999999995</v>
      </c>
      <c r="B640" s="2">
        <v>9.5899999999999999E-2</v>
      </c>
      <c r="C640" s="2" t="s">
        <v>5</v>
      </c>
      <c r="D640" s="2">
        <v>-1</v>
      </c>
      <c r="E640" s="2">
        <v>100.026</v>
      </c>
      <c r="F640" s="3">
        <v>639</v>
      </c>
      <c r="G640" s="3">
        <f t="shared" si="46"/>
        <v>-6.6999999999993065E-2</v>
      </c>
      <c r="H640" s="3">
        <f t="shared" si="47"/>
        <v>-0.69864442127208615</v>
      </c>
      <c r="I640" s="3">
        <f t="shared" si="48"/>
        <v>6.6999999999993065E-2</v>
      </c>
      <c r="J640" s="3">
        <f t="shared" si="45"/>
        <v>108.25547445255475</v>
      </c>
      <c r="K640" s="29">
        <f t="shared" si="49"/>
        <v>4.6844939379138379</v>
      </c>
    </row>
    <row r="641" spans="1:11" x14ac:dyDescent="0.3">
      <c r="A641" s="28">
        <v>0.52132100000000003</v>
      </c>
      <c r="B641" s="3">
        <v>0.1016</v>
      </c>
      <c r="C641" s="3" t="s">
        <v>5</v>
      </c>
      <c r="D641" s="3">
        <v>1</v>
      </c>
      <c r="E641" s="3">
        <v>99.959000000000003</v>
      </c>
      <c r="F641" s="2">
        <v>640</v>
      </c>
      <c r="G641" s="2">
        <f t="shared" si="46"/>
        <v>6.0000000000002274E-2</v>
      </c>
      <c r="H641" s="2">
        <f t="shared" si="47"/>
        <v>0.59055118110238458</v>
      </c>
      <c r="I641" s="2">
        <f t="shared" si="48"/>
        <v>6.0000000000002274E-2</v>
      </c>
      <c r="J641" s="2">
        <f t="shared" si="45"/>
        <v>108.25547445255475</v>
      </c>
      <c r="K641" s="27">
        <f t="shared" si="49"/>
        <v>4.6844939379138379</v>
      </c>
    </row>
    <row r="642" spans="1:11" x14ac:dyDescent="0.3">
      <c r="A642" s="26">
        <v>0.521505</v>
      </c>
      <c r="B642" s="2">
        <v>0.1032</v>
      </c>
      <c r="C642" s="2" t="s">
        <v>5</v>
      </c>
      <c r="D642" s="2">
        <v>1</v>
      </c>
      <c r="E642" s="2">
        <v>100.01900000000001</v>
      </c>
      <c r="F642" s="3">
        <v>641</v>
      </c>
      <c r="G642" s="3">
        <f t="shared" si="46"/>
        <v>6.0999999999992838E-2</v>
      </c>
      <c r="H642" s="3">
        <f t="shared" si="47"/>
        <v>0.59108527131776001</v>
      </c>
      <c r="I642" s="3">
        <f t="shared" si="48"/>
        <v>6.0999999999992838E-2</v>
      </c>
      <c r="J642" s="3">
        <f t="shared" ref="J642:J705" si="50">IF(C642="",$AA$1,C642)</f>
        <v>108.25547445255475</v>
      </c>
      <c r="K642" s="29">
        <f t="shared" si="49"/>
        <v>4.6844939379138379</v>
      </c>
    </row>
    <row r="643" spans="1:11" x14ac:dyDescent="0.3">
      <c r="A643" s="28">
        <v>0.522783</v>
      </c>
      <c r="B643" s="3">
        <v>0.1043</v>
      </c>
      <c r="C643" s="3" t="s">
        <v>5</v>
      </c>
      <c r="D643" s="3">
        <v>1</v>
      </c>
      <c r="E643" s="3">
        <v>100.08</v>
      </c>
      <c r="F643" s="2">
        <v>642</v>
      </c>
      <c r="G643" s="2">
        <f t="shared" ref="G643:G706" si="51">E644-E643</f>
        <v>4.9999999999997158E-2</v>
      </c>
      <c r="H643" s="2">
        <f t="shared" ref="H643:H706" si="52">IF(B643&lt;&gt;0,G643/B643,"")</f>
        <v>0.47938638542662659</v>
      </c>
      <c r="I643" s="2">
        <f t="shared" ref="I643:I706" si="53">D643*G643</f>
        <v>4.9999999999997158E-2</v>
      </c>
      <c r="J643" s="2">
        <f t="shared" si="50"/>
        <v>108.25547445255475</v>
      </c>
      <c r="K643" s="27">
        <f t="shared" ref="K643:K706" si="54">LN(J643)</f>
        <v>4.6844939379138379</v>
      </c>
    </row>
    <row r="644" spans="1:11" x14ac:dyDescent="0.3">
      <c r="A644" s="26">
        <v>0.52280199999999999</v>
      </c>
      <c r="B644" s="2">
        <v>0.1099</v>
      </c>
      <c r="C644" s="2" t="s">
        <v>5</v>
      </c>
      <c r="D644" s="2">
        <v>-1</v>
      </c>
      <c r="E644" s="2">
        <v>100.13</v>
      </c>
      <c r="F644" s="3">
        <v>643</v>
      </c>
      <c r="G644" s="3">
        <f t="shared" si="51"/>
        <v>-0.11299999999999955</v>
      </c>
      <c r="H644" s="3">
        <f t="shared" si="52"/>
        <v>-1.0282074613284764</v>
      </c>
      <c r="I644" s="3">
        <f t="shared" si="53"/>
        <v>0.11299999999999955</v>
      </c>
      <c r="J644" s="3">
        <f t="shared" si="50"/>
        <v>108.25547445255475</v>
      </c>
      <c r="K644" s="29">
        <f t="shared" si="54"/>
        <v>4.6844939379138379</v>
      </c>
    </row>
    <row r="645" spans="1:11" x14ac:dyDescent="0.3">
      <c r="A645" s="28">
        <v>0.52393299999999998</v>
      </c>
      <c r="B645" s="3">
        <v>0.1096</v>
      </c>
      <c r="C645" s="3" t="s">
        <v>5</v>
      </c>
      <c r="D645" s="3">
        <v>1</v>
      </c>
      <c r="E645" s="3">
        <v>100.017</v>
      </c>
      <c r="F645" s="2">
        <v>644</v>
      </c>
      <c r="G645" s="2">
        <f t="shared" si="51"/>
        <v>1.300000000000523E-2</v>
      </c>
      <c r="H645" s="2">
        <f t="shared" si="52"/>
        <v>0.11861313868617909</v>
      </c>
      <c r="I645" s="2">
        <f t="shared" si="53"/>
        <v>1.300000000000523E-2</v>
      </c>
      <c r="J645" s="2">
        <f t="shared" si="50"/>
        <v>108.25547445255475</v>
      </c>
      <c r="K645" s="27">
        <f t="shared" si="54"/>
        <v>4.6844939379138379</v>
      </c>
    </row>
    <row r="646" spans="1:11" x14ac:dyDescent="0.3">
      <c r="A646" s="26">
        <v>0.52430699999999997</v>
      </c>
      <c r="B646" s="2">
        <v>9.2999999999999999E-2</v>
      </c>
      <c r="C646" s="2" t="s">
        <v>5</v>
      </c>
      <c r="D646" s="2">
        <v>-1</v>
      </c>
      <c r="E646" s="2">
        <v>100.03</v>
      </c>
      <c r="F646" s="3">
        <v>645</v>
      </c>
      <c r="G646" s="3">
        <f t="shared" si="51"/>
        <v>-3.4999999999996589E-2</v>
      </c>
      <c r="H646" s="3">
        <f t="shared" si="52"/>
        <v>-0.37634408602146868</v>
      </c>
      <c r="I646" s="3">
        <f t="shared" si="53"/>
        <v>3.4999999999996589E-2</v>
      </c>
      <c r="J646" s="3">
        <f t="shared" si="50"/>
        <v>108.25547445255475</v>
      </c>
      <c r="K646" s="29">
        <f t="shared" si="54"/>
        <v>4.6844939379138379</v>
      </c>
    </row>
    <row r="647" spans="1:11" x14ac:dyDescent="0.3">
      <c r="A647" s="28">
        <v>0.5262</v>
      </c>
      <c r="B647" s="3">
        <v>0.1084</v>
      </c>
      <c r="C647" s="3">
        <v>102</v>
      </c>
      <c r="D647" s="3">
        <v>-1</v>
      </c>
      <c r="E647" s="3">
        <v>99.995000000000005</v>
      </c>
      <c r="F647" s="2">
        <v>646</v>
      </c>
      <c r="G647" s="2">
        <f t="shared" si="51"/>
        <v>-7.3999999999998067E-2</v>
      </c>
      <c r="H647" s="2">
        <f t="shared" si="52"/>
        <v>-0.68265682656824789</v>
      </c>
      <c r="I647" s="2">
        <f t="shared" si="53"/>
        <v>7.3999999999998067E-2</v>
      </c>
      <c r="J647" s="2">
        <f t="shared" si="50"/>
        <v>102</v>
      </c>
      <c r="K647" s="27">
        <f t="shared" si="54"/>
        <v>4.6249728132842707</v>
      </c>
    </row>
    <row r="648" spans="1:11" x14ac:dyDescent="0.3">
      <c r="A648" s="26">
        <v>0.52728200000000003</v>
      </c>
      <c r="B648" s="2">
        <v>9.2999999999999999E-2</v>
      </c>
      <c r="C648" s="2">
        <v>22</v>
      </c>
      <c r="D648" s="2">
        <v>-1</v>
      </c>
      <c r="E648" s="2">
        <v>99.921000000000006</v>
      </c>
      <c r="F648" s="2">
        <v>647</v>
      </c>
      <c r="G648" s="2">
        <f t="shared" si="51"/>
        <v>-2.4000000000000909E-2</v>
      </c>
      <c r="H648" s="2">
        <f t="shared" si="52"/>
        <v>-0.25806451612904202</v>
      </c>
      <c r="I648" s="2">
        <f t="shared" si="53"/>
        <v>2.4000000000000909E-2</v>
      </c>
      <c r="J648" s="2">
        <f t="shared" si="50"/>
        <v>22</v>
      </c>
      <c r="K648" s="27">
        <f t="shared" si="54"/>
        <v>3.0910424533583161</v>
      </c>
    </row>
    <row r="649" spans="1:11" x14ac:dyDescent="0.3">
      <c r="A649" s="28">
        <v>0.52787300000000004</v>
      </c>
      <c r="B649" s="3">
        <v>0.1051</v>
      </c>
      <c r="C649" s="3" t="s">
        <v>5</v>
      </c>
      <c r="D649" s="3">
        <v>1</v>
      </c>
      <c r="E649" s="3">
        <v>99.897000000000006</v>
      </c>
      <c r="F649" s="3">
        <v>648</v>
      </c>
      <c r="G649" s="3">
        <f t="shared" si="51"/>
        <v>0.12099999999999511</v>
      </c>
      <c r="H649" s="3">
        <f t="shared" si="52"/>
        <v>1.151284490960943</v>
      </c>
      <c r="I649" s="3">
        <f t="shared" si="53"/>
        <v>0.12099999999999511</v>
      </c>
      <c r="J649" s="3">
        <f t="shared" si="50"/>
        <v>108.25547445255475</v>
      </c>
      <c r="K649" s="29">
        <f t="shared" si="54"/>
        <v>4.6844939379138379</v>
      </c>
    </row>
    <row r="650" spans="1:11" x14ac:dyDescent="0.3">
      <c r="A650" s="26">
        <v>0.52942500000000003</v>
      </c>
      <c r="B650" s="2">
        <v>9.64E-2</v>
      </c>
      <c r="C650" s="2" t="s">
        <v>5</v>
      </c>
      <c r="D650" s="2">
        <v>1</v>
      </c>
      <c r="E650" s="2">
        <v>100.018</v>
      </c>
      <c r="F650" s="2">
        <v>649</v>
      </c>
      <c r="G650" s="2">
        <f t="shared" si="51"/>
        <v>5.8999999999997499E-2</v>
      </c>
      <c r="H650" s="2">
        <f t="shared" si="52"/>
        <v>0.61203319502072095</v>
      </c>
      <c r="I650" s="2">
        <f t="shared" si="53"/>
        <v>5.8999999999997499E-2</v>
      </c>
      <c r="J650" s="2">
        <f t="shared" si="50"/>
        <v>108.25547445255475</v>
      </c>
      <c r="K650" s="27">
        <f t="shared" si="54"/>
        <v>4.6844939379138379</v>
      </c>
    </row>
    <row r="651" spans="1:11" x14ac:dyDescent="0.3">
      <c r="A651" s="28">
        <v>0.52961199999999997</v>
      </c>
      <c r="B651" s="3">
        <v>9.2999999999999999E-2</v>
      </c>
      <c r="C651" s="3" t="s">
        <v>5</v>
      </c>
      <c r="D651" s="3">
        <v>-1</v>
      </c>
      <c r="E651" s="3">
        <v>100.077</v>
      </c>
      <c r="F651" s="3">
        <v>650</v>
      </c>
      <c r="G651" s="3">
        <f t="shared" si="51"/>
        <v>-0.10899999999999466</v>
      </c>
      <c r="H651" s="3">
        <f t="shared" si="52"/>
        <v>-1.1720430107526307</v>
      </c>
      <c r="I651" s="3">
        <f t="shared" si="53"/>
        <v>0.10899999999999466</v>
      </c>
      <c r="J651" s="3">
        <f t="shared" si="50"/>
        <v>108.25547445255475</v>
      </c>
      <c r="K651" s="29">
        <f t="shared" si="54"/>
        <v>4.6844939379138379</v>
      </c>
    </row>
    <row r="652" spans="1:11" x14ac:dyDescent="0.3">
      <c r="A652" s="26">
        <v>0.53145500000000001</v>
      </c>
      <c r="B652" s="2">
        <v>9.6799999999999997E-2</v>
      </c>
      <c r="C652" s="2" t="s">
        <v>5</v>
      </c>
      <c r="D652" s="2">
        <v>-1</v>
      </c>
      <c r="E652" s="2">
        <v>99.968000000000004</v>
      </c>
      <c r="F652" s="2">
        <v>651</v>
      </c>
      <c r="G652" s="2">
        <f t="shared" si="51"/>
        <v>-4.8000000000001819E-2</v>
      </c>
      <c r="H652" s="2">
        <f t="shared" si="52"/>
        <v>-0.49586776859506015</v>
      </c>
      <c r="I652" s="2">
        <f t="shared" si="53"/>
        <v>4.8000000000001819E-2</v>
      </c>
      <c r="J652" s="2">
        <f t="shared" si="50"/>
        <v>108.25547445255475</v>
      </c>
      <c r="K652" s="27">
        <f t="shared" si="54"/>
        <v>4.6844939379138379</v>
      </c>
    </row>
    <row r="653" spans="1:11" x14ac:dyDescent="0.3">
      <c r="A653" s="28">
        <v>0.53247299999999997</v>
      </c>
      <c r="B653" s="3">
        <v>0.1009</v>
      </c>
      <c r="C653" s="3" t="s">
        <v>5</v>
      </c>
      <c r="D653" s="3">
        <v>-1</v>
      </c>
      <c r="E653" s="3">
        <v>99.92</v>
      </c>
      <c r="F653" s="3">
        <v>652</v>
      </c>
      <c r="G653" s="3">
        <f t="shared" si="51"/>
        <v>-4.600000000000648E-2</v>
      </c>
      <c r="H653" s="3">
        <f t="shared" si="52"/>
        <v>-0.45589692765120393</v>
      </c>
      <c r="I653" s="3">
        <f t="shared" si="53"/>
        <v>4.600000000000648E-2</v>
      </c>
      <c r="J653" s="3">
        <f t="shared" si="50"/>
        <v>108.25547445255475</v>
      </c>
      <c r="K653" s="29">
        <f t="shared" si="54"/>
        <v>4.6844939379138379</v>
      </c>
    </row>
    <row r="654" spans="1:11" x14ac:dyDescent="0.3">
      <c r="A654" s="26">
        <v>0.53516699999999995</v>
      </c>
      <c r="B654" s="2">
        <v>9.8299999999999998E-2</v>
      </c>
      <c r="C654" s="2" t="s">
        <v>5</v>
      </c>
      <c r="D654" s="2">
        <v>-1</v>
      </c>
      <c r="E654" s="2">
        <v>99.873999999999995</v>
      </c>
      <c r="F654" s="2">
        <v>653</v>
      </c>
      <c r="G654" s="2">
        <f t="shared" si="51"/>
        <v>-0.13599999999999568</v>
      </c>
      <c r="H654" s="2">
        <f t="shared" si="52"/>
        <v>-1.3835198372329165</v>
      </c>
      <c r="I654" s="2">
        <f t="shared" si="53"/>
        <v>0.13599999999999568</v>
      </c>
      <c r="J654" s="2">
        <f t="shared" si="50"/>
        <v>108.25547445255475</v>
      </c>
      <c r="K654" s="27">
        <f t="shared" si="54"/>
        <v>4.6844939379138379</v>
      </c>
    </row>
    <row r="655" spans="1:11" x14ac:dyDescent="0.3">
      <c r="A655" s="28">
        <v>0.536968</v>
      </c>
      <c r="B655" s="3">
        <v>0.10299999999999999</v>
      </c>
      <c r="C655" s="3" t="s">
        <v>5</v>
      </c>
      <c r="D655" s="3">
        <v>1</v>
      </c>
      <c r="E655" s="3">
        <v>99.738</v>
      </c>
      <c r="F655" s="3">
        <v>654</v>
      </c>
      <c r="G655" s="3">
        <f t="shared" si="51"/>
        <v>5.8999999999997499E-2</v>
      </c>
      <c r="H655" s="3">
        <f t="shared" si="52"/>
        <v>0.57281553398055829</v>
      </c>
      <c r="I655" s="3">
        <f t="shared" si="53"/>
        <v>5.8999999999997499E-2</v>
      </c>
      <c r="J655" s="3">
        <f t="shared" si="50"/>
        <v>108.25547445255475</v>
      </c>
      <c r="K655" s="29">
        <f t="shared" si="54"/>
        <v>4.6844939379138379</v>
      </c>
    </row>
    <row r="656" spans="1:11" x14ac:dyDescent="0.3">
      <c r="A656" s="26">
        <v>0.53724300000000003</v>
      </c>
      <c r="B656" s="2">
        <v>9.8199999999999996E-2</v>
      </c>
      <c r="C656" s="2" t="s">
        <v>5</v>
      </c>
      <c r="D656" s="2">
        <v>-1</v>
      </c>
      <c r="E656" s="2">
        <v>99.796999999999997</v>
      </c>
      <c r="F656" s="2">
        <v>655</v>
      </c>
      <c r="G656" s="2">
        <f t="shared" si="51"/>
        <v>-0.10899999999999466</v>
      </c>
      <c r="H656" s="2">
        <f t="shared" si="52"/>
        <v>-1.1099796334011676</v>
      </c>
      <c r="I656" s="2">
        <f t="shared" si="53"/>
        <v>0.10899999999999466</v>
      </c>
      <c r="J656" s="2">
        <f t="shared" si="50"/>
        <v>108.25547445255475</v>
      </c>
      <c r="K656" s="27">
        <f t="shared" si="54"/>
        <v>4.6844939379138379</v>
      </c>
    </row>
    <row r="657" spans="1:11" x14ac:dyDescent="0.3">
      <c r="A657" s="28">
        <v>0.537269</v>
      </c>
      <c r="B657" s="3">
        <v>8.0600000000000005E-2</v>
      </c>
      <c r="C657" s="3">
        <v>46</v>
      </c>
      <c r="D657" s="3">
        <v>-1</v>
      </c>
      <c r="E657" s="3">
        <v>99.688000000000002</v>
      </c>
      <c r="F657" s="3">
        <v>656</v>
      </c>
      <c r="G657" s="3">
        <f t="shared" si="51"/>
        <v>-7.9999999999955662E-3</v>
      </c>
      <c r="H657" s="3">
        <f t="shared" si="52"/>
        <v>-9.925558312649585E-2</v>
      </c>
      <c r="I657" s="3">
        <f t="shared" si="53"/>
        <v>7.9999999999955662E-3</v>
      </c>
      <c r="J657" s="3">
        <f t="shared" si="50"/>
        <v>46</v>
      </c>
      <c r="K657" s="29">
        <f t="shared" si="54"/>
        <v>3.8286413964890951</v>
      </c>
    </row>
    <row r="658" spans="1:11" x14ac:dyDescent="0.3">
      <c r="A658" s="26">
        <v>0.540655</v>
      </c>
      <c r="B658" s="2">
        <v>0.1152</v>
      </c>
      <c r="C658" s="2">
        <v>64</v>
      </c>
      <c r="D658" s="2">
        <v>1</v>
      </c>
      <c r="E658" s="2">
        <v>99.68</v>
      </c>
      <c r="F658" s="2">
        <v>657</v>
      </c>
      <c r="G658" s="2">
        <f t="shared" si="51"/>
        <v>6.0999999999992838E-2</v>
      </c>
      <c r="H658" s="2">
        <f t="shared" si="52"/>
        <v>0.52951388888882678</v>
      </c>
      <c r="I658" s="2">
        <f t="shared" si="53"/>
        <v>6.0999999999992838E-2</v>
      </c>
      <c r="J658" s="2">
        <f t="shared" si="50"/>
        <v>64</v>
      </c>
      <c r="K658" s="27">
        <f t="shared" si="54"/>
        <v>4.1588830833596715</v>
      </c>
    </row>
    <row r="659" spans="1:11" x14ac:dyDescent="0.3">
      <c r="A659" s="28">
        <v>0.54207499999999997</v>
      </c>
      <c r="B659" s="3">
        <v>9.0200000000000002E-2</v>
      </c>
      <c r="C659" s="3" t="s">
        <v>5</v>
      </c>
      <c r="D659" s="3">
        <v>1</v>
      </c>
      <c r="E659" s="3">
        <v>99.741</v>
      </c>
      <c r="F659" s="3">
        <v>658</v>
      </c>
      <c r="G659" s="3">
        <f t="shared" si="51"/>
        <v>2.8999999999996362E-2</v>
      </c>
      <c r="H659" s="3">
        <f t="shared" si="52"/>
        <v>0.32150776053211044</v>
      </c>
      <c r="I659" s="3">
        <f t="shared" si="53"/>
        <v>2.8999999999996362E-2</v>
      </c>
      <c r="J659" s="3">
        <f t="shared" si="50"/>
        <v>108.25547445255475</v>
      </c>
      <c r="K659" s="29">
        <f t="shared" si="54"/>
        <v>4.6844939379138379</v>
      </c>
    </row>
    <row r="660" spans="1:11" x14ac:dyDescent="0.3">
      <c r="A660" s="26">
        <v>0.54239400000000004</v>
      </c>
      <c r="B660" s="2">
        <v>9.9500000000000005E-2</v>
      </c>
      <c r="C660" s="2" t="s">
        <v>5</v>
      </c>
      <c r="D660" s="2">
        <v>-1</v>
      </c>
      <c r="E660" s="2">
        <v>99.77</v>
      </c>
      <c r="F660" s="2">
        <v>659</v>
      </c>
      <c r="G660" s="2">
        <f t="shared" si="51"/>
        <v>-3.6999999999991928E-2</v>
      </c>
      <c r="H660" s="2">
        <f t="shared" si="52"/>
        <v>-0.3718592964823309</v>
      </c>
      <c r="I660" s="2">
        <f t="shared" si="53"/>
        <v>3.6999999999991928E-2</v>
      </c>
      <c r="J660" s="2">
        <f t="shared" si="50"/>
        <v>108.25547445255475</v>
      </c>
      <c r="K660" s="27">
        <f t="shared" si="54"/>
        <v>4.6844939379138379</v>
      </c>
    </row>
    <row r="661" spans="1:11" x14ac:dyDescent="0.3">
      <c r="A661" s="28">
        <v>0.54393000000000002</v>
      </c>
      <c r="B661" s="3">
        <v>0.12470000000000001</v>
      </c>
      <c r="C661" s="3" t="s">
        <v>5</v>
      </c>
      <c r="D661" s="3">
        <v>1</v>
      </c>
      <c r="E661" s="3">
        <v>99.733000000000004</v>
      </c>
      <c r="F661" s="3">
        <v>660</v>
      </c>
      <c r="G661" s="3">
        <f t="shared" si="51"/>
        <v>9.1999999999998749E-2</v>
      </c>
      <c r="H661" s="3">
        <f t="shared" si="52"/>
        <v>0.73777064955893135</v>
      </c>
      <c r="I661" s="3">
        <f t="shared" si="53"/>
        <v>9.1999999999998749E-2</v>
      </c>
      <c r="J661" s="3">
        <f t="shared" si="50"/>
        <v>108.25547445255475</v>
      </c>
      <c r="K661" s="29">
        <f t="shared" si="54"/>
        <v>4.6844939379138379</v>
      </c>
    </row>
    <row r="662" spans="1:11" x14ac:dyDescent="0.3">
      <c r="A662" s="26">
        <v>0.54793999999999998</v>
      </c>
      <c r="B662" s="2">
        <v>8.5999999999999993E-2</v>
      </c>
      <c r="C662" s="2">
        <v>17</v>
      </c>
      <c r="D662" s="2">
        <v>1</v>
      </c>
      <c r="E662" s="2">
        <v>99.825000000000003</v>
      </c>
      <c r="F662" s="2">
        <v>661</v>
      </c>
      <c r="G662" s="2">
        <f t="shared" si="51"/>
        <v>2.4000000000000909E-2</v>
      </c>
      <c r="H662" s="2">
        <f t="shared" si="52"/>
        <v>0.27906976744187106</v>
      </c>
      <c r="I662" s="2">
        <f t="shared" si="53"/>
        <v>2.4000000000000909E-2</v>
      </c>
      <c r="J662" s="2">
        <f t="shared" si="50"/>
        <v>17</v>
      </c>
      <c r="K662" s="27">
        <f t="shared" si="54"/>
        <v>2.8332133440562162</v>
      </c>
    </row>
    <row r="663" spans="1:11" x14ac:dyDescent="0.3">
      <c r="A663" s="28">
        <v>0.54795899999999997</v>
      </c>
      <c r="B663" s="3">
        <v>0.104</v>
      </c>
      <c r="C663" s="3" t="s">
        <v>5</v>
      </c>
      <c r="D663" s="3">
        <v>1</v>
      </c>
      <c r="E663" s="3">
        <v>99.849000000000004</v>
      </c>
      <c r="F663" s="3">
        <v>662</v>
      </c>
      <c r="G663" s="3">
        <f t="shared" si="51"/>
        <v>2.1000000000000796E-2</v>
      </c>
      <c r="H663" s="3">
        <f t="shared" si="52"/>
        <v>0.20192307692308459</v>
      </c>
      <c r="I663" s="3">
        <f t="shared" si="53"/>
        <v>2.1000000000000796E-2</v>
      </c>
      <c r="J663" s="3">
        <f t="shared" si="50"/>
        <v>108.25547445255475</v>
      </c>
      <c r="K663" s="29">
        <f t="shared" si="54"/>
        <v>4.6844939379138379</v>
      </c>
    </row>
    <row r="664" spans="1:11" x14ac:dyDescent="0.3">
      <c r="A664" s="26">
        <v>0.54977399999999998</v>
      </c>
      <c r="B664" s="2">
        <v>0.1144</v>
      </c>
      <c r="C664" s="2" t="s">
        <v>5</v>
      </c>
      <c r="D664" s="2">
        <v>1</v>
      </c>
      <c r="E664" s="2">
        <v>99.87</v>
      </c>
      <c r="F664" s="2">
        <v>663</v>
      </c>
      <c r="G664" s="2">
        <f t="shared" si="51"/>
        <v>1.2000000000000455E-2</v>
      </c>
      <c r="H664" s="2">
        <f t="shared" si="52"/>
        <v>0.10489510489510886</v>
      </c>
      <c r="I664" s="2">
        <f t="shared" si="53"/>
        <v>1.2000000000000455E-2</v>
      </c>
      <c r="J664" s="2">
        <f t="shared" si="50"/>
        <v>108.25547445255475</v>
      </c>
      <c r="K664" s="27">
        <f t="shared" si="54"/>
        <v>4.6844939379138379</v>
      </c>
    </row>
    <row r="665" spans="1:11" x14ac:dyDescent="0.3">
      <c r="A665" s="28">
        <v>0.55298199999999997</v>
      </c>
      <c r="B665" s="3">
        <v>0.1133</v>
      </c>
      <c r="C665" s="3" t="s">
        <v>5</v>
      </c>
      <c r="D665" s="3">
        <v>-1</v>
      </c>
      <c r="E665" s="3">
        <v>99.882000000000005</v>
      </c>
      <c r="F665" s="2">
        <v>664</v>
      </c>
      <c r="G665" s="2">
        <f t="shared" si="51"/>
        <v>-2.7000000000001023E-2</v>
      </c>
      <c r="H665" s="2">
        <f t="shared" si="52"/>
        <v>-0.23830538393646095</v>
      </c>
      <c r="I665" s="2">
        <f t="shared" si="53"/>
        <v>2.7000000000001023E-2</v>
      </c>
      <c r="J665" s="2">
        <f t="shared" si="50"/>
        <v>108.25547445255475</v>
      </c>
      <c r="K665" s="27">
        <f t="shared" si="54"/>
        <v>4.6844939379138379</v>
      </c>
    </row>
    <row r="666" spans="1:11" x14ac:dyDescent="0.3">
      <c r="A666" s="26">
        <v>0.55320199999999997</v>
      </c>
      <c r="B666" s="2">
        <v>0.1124</v>
      </c>
      <c r="C666" s="2">
        <v>55</v>
      </c>
      <c r="D666" s="2">
        <v>-1</v>
      </c>
      <c r="E666" s="2">
        <v>99.855000000000004</v>
      </c>
      <c r="F666" s="3">
        <v>665</v>
      </c>
      <c r="G666" s="3">
        <f t="shared" si="51"/>
        <v>-5.2000000000006708E-2</v>
      </c>
      <c r="H666" s="3">
        <f t="shared" si="52"/>
        <v>-0.46263345195735506</v>
      </c>
      <c r="I666" s="3">
        <f t="shared" si="53"/>
        <v>5.2000000000006708E-2</v>
      </c>
      <c r="J666" s="3">
        <f t="shared" si="50"/>
        <v>55</v>
      </c>
      <c r="K666" s="29">
        <f t="shared" si="54"/>
        <v>4.0073331852324712</v>
      </c>
    </row>
    <row r="667" spans="1:11" x14ac:dyDescent="0.3">
      <c r="A667" s="28">
        <v>0.55406500000000003</v>
      </c>
      <c r="B667" s="3">
        <v>9.8100000000000007E-2</v>
      </c>
      <c r="C667" s="3" t="s">
        <v>5</v>
      </c>
      <c r="D667" s="3">
        <v>-1</v>
      </c>
      <c r="E667" s="3">
        <v>99.802999999999997</v>
      </c>
      <c r="F667" s="2">
        <v>666</v>
      </c>
      <c r="G667" s="2">
        <f t="shared" si="51"/>
        <v>-5.499999999999261E-2</v>
      </c>
      <c r="H667" s="2">
        <f t="shared" si="52"/>
        <v>-0.56065239551470547</v>
      </c>
      <c r="I667" s="2">
        <f t="shared" si="53"/>
        <v>5.499999999999261E-2</v>
      </c>
      <c r="J667" s="2">
        <f t="shared" si="50"/>
        <v>108.25547445255475</v>
      </c>
      <c r="K667" s="27">
        <f t="shared" si="54"/>
        <v>4.6844939379138379</v>
      </c>
    </row>
    <row r="668" spans="1:11" x14ac:dyDescent="0.3">
      <c r="A668" s="26">
        <v>0.55524099999999998</v>
      </c>
      <c r="B668" s="2">
        <v>0.10920000000000001</v>
      </c>
      <c r="C668" s="2" t="s">
        <v>5</v>
      </c>
      <c r="D668" s="2">
        <v>1</v>
      </c>
      <c r="E668" s="2">
        <v>99.748000000000005</v>
      </c>
      <c r="F668" s="3">
        <v>667</v>
      </c>
      <c r="G668" s="3">
        <f t="shared" si="51"/>
        <v>5.4000000000002046E-2</v>
      </c>
      <c r="H668" s="3">
        <f t="shared" si="52"/>
        <v>0.49450549450551323</v>
      </c>
      <c r="I668" s="3">
        <f t="shared" si="53"/>
        <v>5.4000000000002046E-2</v>
      </c>
      <c r="J668" s="3">
        <f t="shared" si="50"/>
        <v>108.25547445255475</v>
      </c>
      <c r="K668" s="29">
        <f t="shared" si="54"/>
        <v>4.6844939379138379</v>
      </c>
    </row>
    <row r="669" spans="1:11" x14ac:dyDescent="0.3">
      <c r="A669" s="28">
        <v>0.56027800000000005</v>
      </c>
      <c r="B669" s="3">
        <v>0.1016</v>
      </c>
      <c r="C669" s="3" t="s">
        <v>5</v>
      </c>
      <c r="D669" s="3">
        <v>-1</v>
      </c>
      <c r="E669" s="3">
        <v>99.802000000000007</v>
      </c>
      <c r="F669" s="2">
        <v>668</v>
      </c>
      <c r="G669" s="2">
        <f t="shared" si="51"/>
        <v>-5.0000000000011369E-2</v>
      </c>
      <c r="H669" s="2">
        <f t="shared" si="52"/>
        <v>-0.49212598425208043</v>
      </c>
      <c r="I669" s="2">
        <f t="shared" si="53"/>
        <v>5.0000000000011369E-2</v>
      </c>
      <c r="J669" s="2">
        <f t="shared" si="50"/>
        <v>108.25547445255475</v>
      </c>
      <c r="K669" s="27">
        <f t="shared" si="54"/>
        <v>4.6844939379138379</v>
      </c>
    </row>
    <row r="670" spans="1:11" x14ac:dyDescent="0.3">
      <c r="A670" s="26">
        <v>0.56081499999999995</v>
      </c>
      <c r="B670" s="2">
        <v>0.1023</v>
      </c>
      <c r="C670" s="2" t="s">
        <v>5</v>
      </c>
      <c r="D670" s="2">
        <v>-1</v>
      </c>
      <c r="E670" s="2">
        <v>99.751999999999995</v>
      </c>
      <c r="F670" s="3">
        <v>669</v>
      </c>
      <c r="G670" s="3">
        <f t="shared" si="51"/>
        <v>-0.14199999999999591</v>
      </c>
      <c r="H670" s="3">
        <f t="shared" si="52"/>
        <v>-1.3880742913000577</v>
      </c>
      <c r="I670" s="3">
        <f t="shared" si="53"/>
        <v>0.14199999999999591</v>
      </c>
      <c r="J670" s="3">
        <f t="shared" si="50"/>
        <v>108.25547445255475</v>
      </c>
      <c r="K670" s="29">
        <f t="shared" si="54"/>
        <v>4.6844939379138379</v>
      </c>
    </row>
    <row r="671" spans="1:11" x14ac:dyDescent="0.3">
      <c r="A671" s="28">
        <v>0.56263600000000002</v>
      </c>
      <c r="B671" s="3">
        <v>9.5600000000000004E-2</v>
      </c>
      <c r="C671" s="3" t="s">
        <v>5</v>
      </c>
      <c r="D671" s="3">
        <v>1</v>
      </c>
      <c r="E671" s="3">
        <v>99.61</v>
      </c>
      <c r="F671" s="2">
        <v>670</v>
      </c>
      <c r="G671" s="2">
        <f t="shared" si="51"/>
        <v>5.700000000000216E-2</v>
      </c>
      <c r="H671" s="2">
        <f t="shared" si="52"/>
        <v>0.59623430962345358</v>
      </c>
      <c r="I671" s="2">
        <f t="shared" si="53"/>
        <v>5.700000000000216E-2</v>
      </c>
      <c r="J671" s="2">
        <f t="shared" si="50"/>
        <v>108.25547445255475</v>
      </c>
      <c r="K671" s="27">
        <f t="shared" si="54"/>
        <v>4.6844939379138379</v>
      </c>
    </row>
    <row r="672" spans="1:11" x14ac:dyDescent="0.3">
      <c r="A672" s="26">
        <v>0.56318699999999999</v>
      </c>
      <c r="B672" s="2">
        <v>8.6400000000000005E-2</v>
      </c>
      <c r="C672" s="2" t="s">
        <v>5</v>
      </c>
      <c r="D672" s="2">
        <v>-1</v>
      </c>
      <c r="E672" s="2">
        <v>99.667000000000002</v>
      </c>
      <c r="F672" s="3">
        <v>671</v>
      </c>
      <c r="G672" s="3">
        <f t="shared" si="51"/>
        <v>-6.3000000000002387E-2</v>
      </c>
      <c r="H672" s="3">
        <f t="shared" si="52"/>
        <v>-0.72916666666669427</v>
      </c>
      <c r="I672" s="3">
        <f t="shared" si="53"/>
        <v>6.3000000000002387E-2</v>
      </c>
      <c r="J672" s="3">
        <f t="shared" si="50"/>
        <v>108.25547445255475</v>
      </c>
      <c r="K672" s="29">
        <f t="shared" si="54"/>
        <v>4.6844939379138379</v>
      </c>
    </row>
    <row r="673" spans="1:11" x14ac:dyDescent="0.3">
      <c r="A673" s="28">
        <v>0.56349499999999997</v>
      </c>
      <c r="B673" s="3">
        <v>0.11899999999999999</v>
      </c>
      <c r="C673" s="3" t="s">
        <v>5</v>
      </c>
      <c r="D673" s="3">
        <v>1</v>
      </c>
      <c r="E673" s="3">
        <v>99.603999999999999</v>
      </c>
      <c r="F673" s="2">
        <v>672</v>
      </c>
      <c r="G673" s="2">
        <f t="shared" si="51"/>
        <v>8.4999999999993747E-2</v>
      </c>
      <c r="H673" s="2">
        <f t="shared" si="52"/>
        <v>0.71428571428566179</v>
      </c>
      <c r="I673" s="2">
        <f t="shared" si="53"/>
        <v>8.4999999999993747E-2</v>
      </c>
      <c r="J673" s="2">
        <f t="shared" si="50"/>
        <v>108.25547445255475</v>
      </c>
      <c r="K673" s="27">
        <f t="shared" si="54"/>
        <v>4.6844939379138379</v>
      </c>
    </row>
    <row r="674" spans="1:11" x14ac:dyDescent="0.3">
      <c r="A674" s="26">
        <v>0.56360600000000005</v>
      </c>
      <c r="B674" s="2">
        <v>9.8000000000000004E-2</v>
      </c>
      <c r="C674" s="2">
        <v>217</v>
      </c>
      <c r="D674" s="2">
        <v>-1</v>
      </c>
      <c r="E674" s="2">
        <v>99.688999999999993</v>
      </c>
      <c r="F674" s="3">
        <v>673</v>
      </c>
      <c r="G674" s="3">
        <f t="shared" si="51"/>
        <v>-0.10799999999998988</v>
      </c>
      <c r="H674" s="3">
        <f t="shared" si="52"/>
        <v>-1.1020408163264273</v>
      </c>
      <c r="I674" s="3">
        <f t="shared" si="53"/>
        <v>0.10799999999998988</v>
      </c>
      <c r="J674" s="3">
        <f t="shared" si="50"/>
        <v>217</v>
      </c>
      <c r="K674" s="29">
        <f t="shared" si="54"/>
        <v>5.3798973535404597</v>
      </c>
    </row>
    <row r="675" spans="1:11" x14ac:dyDescent="0.3">
      <c r="A675" s="28">
        <v>0.56493800000000005</v>
      </c>
      <c r="B675" s="3">
        <v>0.1179</v>
      </c>
      <c r="C675" s="3" t="s">
        <v>5</v>
      </c>
      <c r="D675" s="3">
        <v>-1</v>
      </c>
      <c r="E675" s="3">
        <v>99.581000000000003</v>
      </c>
      <c r="F675" s="2">
        <v>674</v>
      </c>
      <c r="G675" s="2">
        <f t="shared" si="51"/>
        <v>-0.12100000000000932</v>
      </c>
      <c r="H675" s="2">
        <f t="shared" si="52"/>
        <v>-1.0262934690416396</v>
      </c>
      <c r="I675" s="2">
        <f t="shared" si="53"/>
        <v>0.12100000000000932</v>
      </c>
      <c r="J675" s="2">
        <f t="shared" si="50"/>
        <v>108.25547445255475</v>
      </c>
      <c r="K675" s="27">
        <f t="shared" si="54"/>
        <v>4.6844939379138379</v>
      </c>
    </row>
    <row r="676" spans="1:11" x14ac:dyDescent="0.3">
      <c r="A676" s="26">
        <v>0.565913</v>
      </c>
      <c r="B676" s="2">
        <v>0.10539999999999999</v>
      </c>
      <c r="C676" s="2" t="s">
        <v>5</v>
      </c>
      <c r="D676" s="2">
        <v>-1</v>
      </c>
      <c r="E676" s="2">
        <v>99.46</v>
      </c>
      <c r="F676" s="3">
        <v>675</v>
      </c>
      <c r="G676" s="3">
        <f t="shared" si="51"/>
        <v>-5.5999999999997385E-2</v>
      </c>
      <c r="H676" s="3">
        <f t="shared" si="52"/>
        <v>-0.53130929791268866</v>
      </c>
      <c r="I676" s="3">
        <f t="shared" si="53"/>
        <v>5.5999999999997385E-2</v>
      </c>
      <c r="J676" s="3">
        <f t="shared" si="50"/>
        <v>108.25547445255475</v>
      </c>
      <c r="K676" s="29">
        <f t="shared" si="54"/>
        <v>4.6844939379138379</v>
      </c>
    </row>
    <row r="677" spans="1:11" x14ac:dyDescent="0.3">
      <c r="A677" s="28">
        <v>0.56660299999999997</v>
      </c>
      <c r="B677" s="3">
        <v>0.1202</v>
      </c>
      <c r="C677" s="3" t="s">
        <v>5</v>
      </c>
      <c r="D677" s="3">
        <v>1</v>
      </c>
      <c r="E677" s="3">
        <v>99.403999999999996</v>
      </c>
      <c r="F677" s="2">
        <v>676</v>
      </c>
      <c r="G677" s="2">
        <f t="shared" si="51"/>
        <v>4.600000000000648E-2</v>
      </c>
      <c r="H677" s="2">
        <f t="shared" si="52"/>
        <v>0.38269550748757469</v>
      </c>
      <c r="I677" s="2">
        <f t="shared" si="53"/>
        <v>4.600000000000648E-2</v>
      </c>
      <c r="J677" s="2">
        <f t="shared" si="50"/>
        <v>108.25547445255475</v>
      </c>
      <c r="K677" s="27">
        <f t="shared" si="54"/>
        <v>4.6844939379138379</v>
      </c>
    </row>
    <row r="678" spans="1:11" x14ac:dyDescent="0.3">
      <c r="A678" s="26">
        <v>0.56706699999999999</v>
      </c>
      <c r="B678" s="2">
        <v>0.11210000000000001</v>
      </c>
      <c r="C678" s="2" t="s">
        <v>5</v>
      </c>
      <c r="D678" s="2">
        <v>1</v>
      </c>
      <c r="E678" s="2">
        <v>99.45</v>
      </c>
      <c r="F678" s="3">
        <v>677</v>
      </c>
      <c r="G678" s="3">
        <f t="shared" si="51"/>
        <v>3.6999999999991928E-2</v>
      </c>
      <c r="H678" s="3">
        <f t="shared" si="52"/>
        <v>0.33006244424613673</v>
      </c>
      <c r="I678" s="3">
        <f t="shared" si="53"/>
        <v>3.6999999999991928E-2</v>
      </c>
      <c r="J678" s="3">
        <f t="shared" si="50"/>
        <v>108.25547445255475</v>
      </c>
      <c r="K678" s="29">
        <f t="shared" si="54"/>
        <v>4.6844939379138379</v>
      </c>
    </row>
    <row r="679" spans="1:11" x14ac:dyDescent="0.3">
      <c r="A679" s="28">
        <v>0.56878499999999999</v>
      </c>
      <c r="B679" s="3">
        <v>0.1074</v>
      </c>
      <c r="C679" s="3" t="s">
        <v>5</v>
      </c>
      <c r="D679" s="3">
        <v>-1</v>
      </c>
      <c r="E679" s="3">
        <v>99.486999999999995</v>
      </c>
      <c r="F679" s="2">
        <v>678</v>
      </c>
      <c r="G679" s="2">
        <f t="shared" si="51"/>
        <v>-6.2999999999988177E-2</v>
      </c>
      <c r="H679" s="2">
        <f t="shared" si="52"/>
        <v>-0.58659217877083969</v>
      </c>
      <c r="I679" s="2">
        <f t="shared" si="53"/>
        <v>6.2999999999988177E-2</v>
      </c>
      <c r="J679" s="2">
        <f t="shared" si="50"/>
        <v>108.25547445255475</v>
      </c>
      <c r="K679" s="27">
        <f t="shared" si="54"/>
        <v>4.6844939379138379</v>
      </c>
    </row>
    <row r="680" spans="1:11" x14ac:dyDescent="0.3">
      <c r="A680" s="26">
        <v>0.56908400000000003</v>
      </c>
      <c r="B680" s="2">
        <v>0.11849999999999999</v>
      </c>
      <c r="C680" s="2" t="s">
        <v>5</v>
      </c>
      <c r="D680" s="2">
        <v>1</v>
      </c>
      <c r="E680" s="2">
        <v>99.424000000000007</v>
      </c>
      <c r="F680" s="3">
        <v>679</v>
      </c>
      <c r="G680" s="3">
        <f t="shared" si="51"/>
        <v>9.0999999999993975E-2</v>
      </c>
      <c r="H680" s="3">
        <f t="shared" si="52"/>
        <v>0.767932489451426</v>
      </c>
      <c r="I680" s="3">
        <f t="shared" si="53"/>
        <v>9.0999999999993975E-2</v>
      </c>
      <c r="J680" s="3">
        <f t="shared" si="50"/>
        <v>108.25547445255475</v>
      </c>
      <c r="K680" s="29">
        <f t="shared" si="54"/>
        <v>4.6844939379138379</v>
      </c>
    </row>
    <row r="681" spans="1:11" x14ac:dyDescent="0.3">
      <c r="A681" s="28">
        <v>0.57027499999999998</v>
      </c>
      <c r="B681" s="3">
        <v>0.1062</v>
      </c>
      <c r="C681" s="3" t="s">
        <v>5</v>
      </c>
      <c r="D681" s="3">
        <v>1</v>
      </c>
      <c r="E681" s="3">
        <v>99.515000000000001</v>
      </c>
      <c r="F681" s="2">
        <v>680</v>
      </c>
      <c r="G681" s="2">
        <f t="shared" si="51"/>
        <v>0.17300000000000182</v>
      </c>
      <c r="H681" s="2">
        <f t="shared" si="52"/>
        <v>1.6290018832391884</v>
      </c>
      <c r="I681" s="2">
        <f t="shared" si="53"/>
        <v>0.17300000000000182</v>
      </c>
      <c r="J681" s="2">
        <f t="shared" si="50"/>
        <v>108.25547445255475</v>
      </c>
      <c r="K681" s="27">
        <f t="shared" si="54"/>
        <v>4.6844939379138379</v>
      </c>
    </row>
    <row r="682" spans="1:11" x14ac:dyDescent="0.3">
      <c r="A682" s="26">
        <v>0.57054800000000006</v>
      </c>
      <c r="B682" s="2">
        <v>9.5200000000000007E-2</v>
      </c>
      <c r="C682" s="2" t="s">
        <v>5</v>
      </c>
      <c r="D682" s="2">
        <v>1</v>
      </c>
      <c r="E682" s="2">
        <v>99.688000000000002</v>
      </c>
      <c r="F682" s="2">
        <v>681</v>
      </c>
      <c r="G682" s="2">
        <f t="shared" si="51"/>
        <v>4.2000000000001592E-2</v>
      </c>
      <c r="H682" s="2">
        <f t="shared" si="52"/>
        <v>0.44117647058825199</v>
      </c>
      <c r="I682" s="2">
        <f t="shared" si="53"/>
        <v>4.2000000000001592E-2</v>
      </c>
      <c r="J682" s="2">
        <f t="shared" si="50"/>
        <v>108.25547445255475</v>
      </c>
      <c r="K682" s="27">
        <f t="shared" si="54"/>
        <v>4.6844939379138379</v>
      </c>
    </row>
    <row r="683" spans="1:11" x14ac:dyDescent="0.3">
      <c r="A683" s="28">
        <v>0.57165600000000005</v>
      </c>
      <c r="B683" s="3">
        <v>0.1012</v>
      </c>
      <c r="C683" s="3" t="s">
        <v>5</v>
      </c>
      <c r="D683" s="3">
        <v>-1</v>
      </c>
      <c r="E683" s="3">
        <v>99.73</v>
      </c>
      <c r="F683" s="3">
        <v>682</v>
      </c>
      <c r="G683" s="3">
        <f t="shared" si="51"/>
        <v>-4.1000000000011028E-2</v>
      </c>
      <c r="H683" s="3">
        <f t="shared" si="52"/>
        <v>-0.40513833992105758</v>
      </c>
      <c r="I683" s="3">
        <f t="shared" si="53"/>
        <v>4.1000000000011028E-2</v>
      </c>
      <c r="J683" s="3">
        <f t="shared" si="50"/>
        <v>108.25547445255475</v>
      </c>
      <c r="K683" s="29">
        <f t="shared" si="54"/>
        <v>4.6844939379138379</v>
      </c>
    </row>
    <row r="684" spans="1:11" x14ac:dyDescent="0.3">
      <c r="A684" s="26">
        <v>0.57264499999999996</v>
      </c>
      <c r="B684" s="2">
        <v>0.1065</v>
      </c>
      <c r="C684" s="2" t="s">
        <v>5</v>
      </c>
      <c r="D684" s="2">
        <v>-1</v>
      </c>
      <c r="E684" s="2">
        <v>99.688999999999993</v>
      </c>
      <c r="F684" s="2">
        <v>683</v>
      </c>
      <c r="G684" s="2">
        <f t="shared" si="51"/>
        <v>-2.3999999999986699E-2</v>
      </c>
      <c r="H684" s="2">
        <f t="shared" si="52"/>
        <v>-0.22535211267593144</v>
      </c>
      <c r="I684" s="2">
        <f t="shared" si="53"/>
        <v>2.3999999999986699E-2</v>
      </c>
      <c r="J684" s="2">
        <f t="shared" si="50"/>
        <v>108.25547445255475</v>
      </c>
      <c r="K684" s="27">
        <f t="shared" si="54"/>
        <v>4.6844939379138379</v>
      </c>
    </row>
    <row r="685" spans="1:11" x14ac:dyDescent="0.3">
      <c r="A685" s="28">
        <v>0.57326500000000002</v>
      </c>
      <c r="B685" s="3">
        <v>9.5100000000000004E-2</v>
      </c>
      <c r="C685" s="3" t="s">
        <v>5</v>
      </c>
      <c r="D685" s="3">
        <v>1</v>
      </c>
      <c r="E685" s="3">
        <v>99.665000000000006</v>
      </c>
      <c r="F685" s="3">
        <v>684</v>
      </c>
      <c r="G685" s="3">
        <f t="shared" si="51"/>
        <v>7.3999999999998067E-2</v>
      </c>
      <c r="H685" s="3">
        <f t="shared" si="52"/>
        <v>0.77812828601470097</v>
      </c>
      <c r="I685" s="3">
        <f t="shared" si="53"/>
        <v>7.3999999999998067E-2</v>
      </c>
      <c r="J685" s="3">
        <f t="shared" si="50"/>
        <v>108.25547445255475</v>
      </c>
      <c r="K685" s="29">
        <f t="shared" si="54"/>
        <v>4.6844939379138379</v>
      </c>
    </row>
    <row r="686" spans="1:11" x14ac:dyDescent="0.3">
      <c r="A686" s="26">
        <v>0.57397600000000004</v>
      </c>
      <c r="B686" s="2">
        <v>9.5500000000000002E-2</v>
      </c>
      <c r="C686" s="2" t="s">
        <v>5</v>
      </c>
      <c r="D686" s="2">
        <v>-1</v>
      </c>
      <c r="E686" s="2">
        <v>99.739000000000004</v>
      </c>
      <c r="F686" s="2">
        <v>685</v>
      </c>
      <c r="G686" s="2">
        <f t="shared" si="51"/>
        <v>-1.1000000000009891E-2</v>
      </c>
      <c r="H686" s="2">
        <f t="shared" si="52"/>
        <v>-0.115183246073402</v>
      </c>
      <c r="I686" s="2">
        <f t="shared" si="53"/>
        <v>1.1000000000009891E-2</v>
      </c>
      <c r="J686" s="2">
        <f t="shared" si="50"/>
        <v>108.25547445255475</v>
      </c>
      <c r="K686" s="27">
        <f t="shared" si="54"/>
        <v>4.6844939379138379</v>
      </c>
    </row>
    <row r="687" spans="1:11" x14ac:dyDescent="0.3">
      <c r="A687" s="28">
        <v>0.574851</v>
      </c>
      <c r="B687" s="3">
        <v>0.1101</v>
      </c>
      <c r="C687" s="3" t="s">
        <v>5</v>
      </c>
      <c r="D687" s="3">
        <v>-1</v>
      </c>
      <c r="E687" s="3">
        <v>99.727999999999994</v>
      </c>
      <c r="F687" s="3">
        <v>686</v>
      </c>
      <c r="G687" s="3">
        <f t="shared" si="51"/>
        <v>-8.6999999999989086E-2</v>
      </c>
      <c r="H687" s="3">
        <f t="shared" si="52"/>
        <v>-0.79019073569472376</v>
      </c>
      <c r="I687" s="3">
        <f t="shared" si="53"/>
        <v>8.6999999999989086E-2</v>
      </c>
      <c r="J687" s="3">
        <f t="shared" si="50"/>
        <v>108.25547445255475</v>
      </c>
      <c r="K687" s="29">
        <f t="shared" si="54"/>
        <v>4.6844939379138379</v>
      </c>
    </row>
    <row r="688" spans="1:11" x14ac:dyDescent="0.3">
      <c r="A688" s="26">
        <v>0.57496100000000006</v>
      </c>
      <c r="B688" s="2">
        <v>9.9199999999999997E-2</v>
      </c>
      <c r="C688" s="2" t="s">
        <v>5</v>
      </c>
      <c r="D688" s="2">
        <v>-1</v>
      </c>
      <c r="E688" s="2">
        <v>99.641000000000005</v>
      </c>
      <c r="F688" s="2">
        <v>687</v>
      </c>
      <c r="G688" s="2">
        <f t="shared" si="51"/>
        <v>-2.8000000000005798E-2</v>
      </c>
      <c r="H688" s="2">
        <f t="shared" si="52"/>
        <v>-0.28225806451618751</v>
      </c>
      <c r="I688" s="2">
        <f t="shared" si="53"/>
        <v>2.8000000000005798E-2</v>
      </c>
      <c r="J688" s="2">
        <f t="shared" si="50"/>
        <v>108.25547445255475</v>
      </c>
      <c r="K688" s="27">
        <f t="shared" si="54"/>
        <v>4.6844939379138379</v>
      </c>
    </row>
    <row r="689" spans="1:11" x14ac:dyDescent="0.3">
      <c r="A689" s="28">
        <v>0.57645299999999999</v>
      </c>
      <c r="B689" s="3">
        <v>8.6900000000000005E-2</v>
      </c>
      <c r="C689" s="3" t="s">
        <v>5</v>
      </c>
      <c r="D689" s="3">
        <v>-1</v>
      </c>
      <c r="E689" s="3">
        <v>99.613</v>
      </c>
      <c r="F689" s="3">
        <v>688</v>
      </c>
      <c r="G689" s="3">
        <f t="shared" si="51"/>
        <v>-4.0000000000006253E-2</v>
      </c>
      <c r="H689" s="3">
        <f t="shared" si="52"/>
        <v>-0.4602991944764816</v>
      </c>
      <c r="I689" s="3">
        <f t="shared" si="53"/>
        <v>4.0000000000006253E-2</v>
      </c>
      <c r="J689" s="3">
        <f t="shared" si="50"/>
        <v>108.25547445255475</v>
      </c>
      <c r="K689" s="29">
        <f t="shared" si="54"/>
        <v>4.6844939379138379</v>
      </c>
    </row>
    <row r="690" spans="1:11" x14ac:dyDescent="0.3">
      <c r="A690" s="26">
        <v>0.579183</v>
      </c>
      <c r="B690" s="2">
        <v>0.11360000000000001</v>
      </c>
      <c r="C690" s="2">
        <v>72</v>
      </c>
      <c r="D690" s="2">
        <v>1</v>
      </c>
      <c r="E690" s="2">
        <v>99.572999999999993</v>
      </c>
      <c r="F690" s="2">
        <v>689</v>
      </c>
      <c r="G690" s="2">
        <f t="shared" si="51"/>
        <v>7.000000000000739E-2</v>
      </c>
      <c r="H690" s="2">
        <f t="shared" si="52"/>
        <v>0.61619718309865656</v>
      </c>
      <c r="I690" s="2">
        <f t="shared" si="53"/>
        <v>7.000000000000739E-2</v>
      </c>
      <c r="J690" s="2">
        <f t="shared" si="50"/>
        <v>72</v>
      </c>
      <c r="K690" s="27">
        <f t="shared" si="54"/>
        <v>4.2766661190160553</v>
      </c>
    </row>
    <row r="691" spans="1:11" x14ac:dyDescent="0.3">
      <c r="A691" s="28">
        <v>0.57931699999999997</v>
      </c>
      <c r="B691" s="3">
        <v>0.10639999999999999</v>
      </c>
      <c r="C691" s="3" t="s">
        <v>5</v>
      </c>
      <c r="D691" s="3">
        <v>1</v>
      </c>
      <c r="E691" s="3">
        <v>99.643000000000001</v>
      </c>
      <c r="F691" s="3">
        <v>690</v>
      </c>
      <c r="G691" s="3">
        <f t="shared" si="51"/>
        <v>3.1000000000005912E-2</v>
      </c>
      <c r="H691" s="3">
        <f t="shared" si="52"/>
        <v>0.29135338345870221</v>
      </c>
      <c r="I691" s="3">
        <f t="shared" si="53"/>
        <v>3.1000000000005912E-2</v>
      </c>
      <c r="J691" s="3">
        <f t="shared" si="50"/>
        <v>108.25547445255475</v>
      </c>
      <c r="K691" s="29">
        <f t="shared" si="54"/>
        <v>4.6844939379138379</v>
      </c>
    </row>
    <row r="692" spans="1:11" x14ac:dyDescent="0.3">
      <c r="A692" s="26">
        <v>0.58004199999999995</v>
      </c>
      <c r="B692" s="2">
        <v>8.6999999999999994E-2</v>
      </c>
      <c r="C692" s="2">
        <v>69</v>
      </c>
      <c r="D692" s="2">
        <v>-1</v>
      </c>
      <c r="E692" s="2">
        <v>99.674000000000007</v>
      </c>
      <c r="F692" s="2">
        <v>691</v>
      </c>
      <c r="G692" s="2">
        <f t="shared" si="51"/>
        <v>-5.0000000000011369E-2</v>
      </c>
      <c r="H692" s="2">
        <f t="shared" si="52"/>
        <v>-0.57471264367829167</v>
      </c>
      <c r="I692" s="2">
        <f t="shared" si="53"/>
        <v>5.0000000000011369E-2</v>
      </c>
      <c r="J692" s="2">
        <f t="shared" si="50"/>
        <v>69</v>
      </c>
      <c r="K692" s="27">
        <f t="shared" si="54"/>
        <v>4.2341065045972597</v>
      </c>
    </row>
    <row r="693" spans="1:11" x14ac:dyDescent="0.3">
      <c r="A693" s="28">
        <v>0.58077599999999996</v>
      </c>
      <c r="B693" s="3">
        <v>0.1017</v>
      </c>
      <c r="C693" s="3" t="s">
        <v>5</v>
      </c>
      <c r="D693" s="3">
        <v>-1</v>
      </c>
      <c r="E693" s="3">
        <v>99.623999999999995</v>
      </c>
      <c r="F693" s="3">
        <v>692</v>
      </c>
      <c r="G693" s="3">
        <f t="shared" si="51"/>
        <v>-0.10499999999998977</v>
      </c>
      <c r="H693" s="3">
        <f t="shared" si="52"/>
        <v>-1.0324483775810203</v>
      </c>
      <c r="I693" s="3">
        <f t="shared" si="53"/>
        <v>0.10499999999998977</v>
      </c>
      <c r="J693" s="3">
        <f t="shared" si="50"/>
        <v>108.25547445255475</v>
      </c>
      <c r="K693" s="29">
        <f t="shared" si="54"/>
        <v>4.6844939379138379</v>
      </c>
    </row>
    <row r="694" spans="1:11" x14ac:dyDescent="0.3">
      <c r="A694" s="26">
        <v>0.58148</v>
      </c>
      <c r="B694" s="2">
        <v>8.8599999999999998E-2</v>
      </c>
      <c r="C694" s="2" t="s">
        <v>5</v>
      </c>
      <c r="D694" s="2">
        <v>-1</v>
      </c>
      <c r="E694" s="2">
        <v>99.519000000000005</v>
      </c>
      <c r="F694" s="2">
        <v>693</v>
      </c>
      <c r="G694" s="2">
        <f t="shared" si="51"/>
        <v>-4.8000000000001819E-2</v>
      </c>
      <c r="H694" s="2">
        <f t="shared" si="52"/>
        <v>-0.54176072234765038</v>
      </c>
      <c r="I694" s="2">
        <f t="shared" si="53"/>
        <v>4.8000000000001819E-2</v>
      </c>
      <c r="J694" s="2">
        <f t="shared" si="50"/>
        <v>108.25547445255475</v>
      </c>
      <c r="K694" s="27">
        <f t="shared" si="54"/>
        <v>4.6844939379138379</v>
      </c>
    </row>
    <row r="695" spans="1:11" x14ac:dyDescent="0.3">
      <c r="A695" s="28">
        <v>0.58241500000000002</v>
      </c>
      <c r="B695" s="3">
        <v>0.1011</v>
      </c>
      <c r="C695" s="3" t="s">
        <v>5</v>
      </c>
      <c r="D695" s="3">
        <v>1</v>
      </c>
      <c r="E695" s="3">
        <v>99.471000000000004</v>
      </c>
      <c r="F695" s="3">
        <v>694</v>
      </c>
      <c r="G695" s="3">
        <f t="shared" si="51"/>
        <v>8.100000000000307E-2</v>
      </c>
      <c r="H695" s="3">
        <f t="shared" si="52"/>
        <v>0.80118694362020848</v>
      </c>
      <c r="I695" s="3">
        <f t="shared" si="53"/>
        <v>8.100000000000307E-2</v>
      </c>
      <c r="J695" s="3">
        <f t="shared" si="50"/>
        <v>108.25547445255475</v>
      </c>
      <c r="K695" s="29">
        <f t="shared" si="54"/>
        <v>4.6844939379138379</v>
      </c>
    </row>
    <row r="696" spans="1:11" x14ac:dyDescent="0.3">
      <c r="A696" s="26">
        <v>0.58388099999999998</v>
      </c>
      <c r="B696" s="2">
        <v>9.7799999999999998E-2</v>
      </c>
      <c r="C696" s="2" t="s">
        <v>5</v>
      </c>
      <c r="D696" s="2">
        <v>1</v>
      </c>
      <c r="E696" s="2">
        <v>99.552000000000007</v>
      </c>
      <c r="F696" s="2">
        <v>695</v>
      </c>
      <c r="G696" s="2">
        <f t="shared" si="51"/>
        <v>0.11199999999999477</v>
      </c>
      <c r="H696" s="2">
        <f t="shared" si="52"/>
        <v>1.1451942740285763</v>
      </c>
      <c r="I696" s="2">
        <f t="shared" si="53"/>
        <v>0.11199999999999477</v>
      </c>
      <c r="J696" s="2">
        <f t="shared" si="50"/>
        <v>108.25547445255475</v>
      </c>
      <c r="K696" s="27">
        <f t="shared" si="54"/>
        <v>4.6844939379138379</v>
      </c>
    </row>
    <row r="697" spans="1:11" x14ac:dyDescent="0.3">
      <c r="A697" s="28">
        <v>0.58502900000000002</v>
      </c>
      <c r="B697" s="3">
        <v>0.10050000000000001</v>
      </c>
      <c r="C697" s="3">
        <v>121</v>
      </c>
      <c r="D697" s="3">
        <v>1</v>
      </c>
      <c r="E697" s="3">
        <v>99.664000000000001</v>
      </c>
      <c r="F697" s="3">
        <v>696</v>
      </c>
      <c r="G697" s="3">
        <f t="shared" si="51"/>
        <v>8.1999999999993634E-2</v>
      </c>
      <c r="H697" s="3">
        <f t="shared" si="52"/>
        <v>0.8159203980098868</v>
      </c>
      <c r="I697" s="3">
        <f t="shared" si="53"/>
        <v>8.1999999999993634E-2</v>
      </c>
      <c r="J697" s="3">
        <f t="shared" si="50"/>
        <v>121</v>
      </c>
      <c r="K697" s="29">
        <f t="shared" si="54"/>
        <v>4.7957905455967413</v>
      </c>
    </row>
    <row r="698" spans="1:11" x14ac:dyDescent="0.3">
      <c r="A698" s="26">
        <v>0.58518300000000001</v>
      </c>
      <c r="B698" s="2">
        <v>0.10390000000000001</v>
      </c>
      <c r="C698" s="2" t="s">
        <v>5</v>
      </c>
      <c r="D698" s="2">
        <v>1</v>
      </c>
      <c r="E698" s="2">
        <v>99.745999999999995</v>
      </c>
      <c r="F698" s="2">
        <v>697</v>
      </c>
      <c r="G698" s="2">
        <f t="shared" si="51"/>
        <v>2.9000000000010573E-2</v>
      </c>
      <c r="H698" s="2">
        <f t="shared" si="52"/>
        <v>0.27911453320510654</v>
      </c>
      <c r="I698" s="2">
        <f t="shared" si="53"/>
        <v>2.9000000000010573E-2</v>
      </c>
      <c r="J698" s="2">
        <f t="shared" si="50"/>
        <v>108.25547445255475</v>
      </c>
      <c r="K698" s="27">
        <f t="shared" si="54"/>
        <v>4.6844939379138379</v>
      </c>
    </row>
    <row r="699" spans="1:11" x14ac:dyDescent="0.3">
      <c r="A699" s="28">
        <v>0.585503</v>
      </c>
      <c r="B699" s="3">
        <v>0.1101</v>
      </c>
      <c r="C699" s="3" t="s">
        <v>5</v>
      </c>
      <c r="D699" s="3">
        <v>1</v>
      </c>
      <c r="E699" s="3">
        <v>99.775000000000006</v>
      </c>
      <c r="F699" s="2">
        <v>698</v>
      </c>
      <c r="G699" s="2">
        <f t="shared" si="51"/>
        <v>1.8999999999991246E-2</v>
      </c>
      <c r="H699" s="2">
        <f t="shared" si="52"/>
        <v>0.17257039055396226</v>
      </c>
      <c r="I699" s="2">
        <f t="shared" si="53"/>
        <v>1.8999999999991246E-2</v>
      </c>
      <c r="J699" s="2">
        <f t="shared" si="50"/>
        <v>108.25547445255475</v>
      </c>
      <c r="K699" s="27">
        <f t="shared" si="54"/>
        <v>4.6844939379138379</v>
      </c>
    </row>
    <row r="700" spans="1:11" x14ac:dyDescent="0.3">
      <c r="A700" s="26">
        <v>0.58855199999999996</v>
      </c>
      <c r="B700" s="2">
        <v>0.1033</v>
      </c>
      <c r="C700" s="2" t="s">
        <v>5</v>
      </c>
      <c r="D700" s="2">
        <v>-1</v>
      </c>
      <c r="E700" s="2">
        <v>99.793999999999997</v>
      </c>
      <c r="F700" s="3">
        <v>699</v>
      </c>
      <c r="G700" s="3">
        <f t="shared" si="51"/>
        <v>-8.7000000000003297E-2</v>
      </c>
      <c r="H700" s="3">
        <f t="shared" si="52"/>
        <v>-0.84220716360119352</v>
      </c>
      <c r="I700" s="3">
        <f t="shared" si="53"/>
        <v>8.7000000000003297E-2</v>
      </c>
      <c r="J700" s="3">
        <f t="shared" si="50"/>
        <v>108.25547445255475</v>
      </c>
      <c r="K700" s="29">
        <f t="shared" si="54"/>
        <v>4.6844939379138379</v>
      </c>
    </row>
    <row r="701" spans="1:11" x14ac:dyDescent="0.3">
      <c r="A701" s="28">
        <v>0.59043599999999996</v>
      </c>
      <c r="B701" s="3">
        <v>9.98E-2</v>
      </c>
      <c r="C701" s="3" t="s">
        <v>5</v>
      </c>
      <c r="D701" s="3">
        <v>1</v>
      </c>
      <c r="E701" s="3">
        <v>99.706999999999994</v>
      </c>
      <c r="F701" s="2">
        <v>700</v>
      </c>
      <c r="G701" s="2">
        <f t="shared" si="51"/>
        <v>8.7000000000003297E-2</v>
      </c>
      <c r="H701" s="2">
        <f t="shared" si="52"/>
        <v>0.87174348697398096</v>
      </c>
      <c r="I701" s="2">
        <f t="shared" si="53"/>
        <v>8.7000000000003297E-2</v>
      </c>
      <c r="J701" s="2">
        <f t="shared" si="50"/>
        <v>108.25547445255475</v>
      </c>
      <c r="K701" s="27">
        <f t="shared" si="54"/>
        <v>4.6844939379138379</v>
      </c>
    </row>
    <row r="702" spans="1:11" x14ac:dyDescent="0.3">
      <c r="A702" s="26">
        <v>0.59082199999999996</v>
      </c>
      <c r="B702" s="2">
        <v>8.0699999999999994E-2</v>
      </c>
      <c r="C702" s="2" t="s">
        <v>5</v>
      </c>
      <c r="D702" s="2">
        <v>1</v>
      </c>
      <c r="E702" s="2">
        <v>99.793999999999997</v>
      </c>
      <c r="F702" s="3">
        <v>701</v>
      </c>
      <c r="G702" s="3">
        <f t="shared" si="51"/>
        <v>5.700000000000216E-2</v>
      </c>
      <c r="H702" s="3">
        <f t="shared" si="52"/>
        <v>0.70631970260225729</v>
      </c>
      <c r="I702" s="3">
        <f t="shared" si="53"/>
        <v>5.700000000000216E-2</v>
      </c>
      <c r="J702" s="3">
        <f t="shared" si="50"/>
        <v>108.25547445255475</v>
      </c>
      <c r="K702" s="29">
        <f t="shared" si="54"/>
        <v>4.6844939379138379</v>
      </c>
    </row>
    <row r="703" spans="1:11" x14ac:dyDescent="0.3">
      <c r="A703" s="28">
        <v>0.59325000000000006</v>
      </c>
      <c r="B703" s="3">
        <v>0.1045</v>
      </c>
      <c r="C703" s="3" t="s">
        <v>5</v>
      </c>
      <c r="D703" s="3">
        <v>-1</v>
      </c>
      <c r="E703" s="3">
        <v>99.850999999999999</v>
      </c>
      <c r="F703" s="2">
        <v>702</v>
      </c>
      <c r="G703" s="2">
        <f t="shared" si="51"/>
        <v>-3.1999999999996476E-2</v>
      </c>
      <c r="H703" s="2">
        <f t="shared" si="52"/>
        <v>-0.3062200956937462</v>
      </c>
      <c r="I703" s="2">
        <f t="shared" si="53"/>
        <v>3.1999999999996476E-2</v>
      </c>
      <c r="J703" s="2">
        <f t="shared" si="50"/>
        <v>108.25547445255475</v>
      </c>
      <c r="K703" s="27">
        <f t="shared" si="54"/>
        <v>4.6844939379138379</v>
      </c>
    </row>
    <row r="704" spans="1:11" x14ac:dyDescent="0.3">
      <c r="A704" s="26">
        <v>0.59469399999999994</v>
      </c>
      <c r="B704" s="2">
        <v>0.10340000000000001</v>
      </c>
      <c r="C704" s="2" t="s">
        <v>5</v>
      </c>
      <c r="D704" s="2">
        <v>1</v>
      </c>
      <c r="E704" s="2">
        <v>99.819000000000003</v>
      </c>
      <c r="F704" s="3">
        <v>703</v>
      </c>
      <c r="G704" s="3">
        <f t="shared" si="51"/>
        <v>3.3000000000001251E-2</v>
      </c>
      <c r="H704" s="3">
        <f t="shared" si="52"/>
        <v>0.31914893617022483</v>
      </c>
      <c r="I704" s="3">
        <f t="shared" si="53"/>
        <v>3.3000000000001251E-2</v>
      </c>
      <c r="J704" s="3">
        <f t="shared" si="50"/>
        <v>108.25547445255475</v>
      </c>
      <c r="K704" s="29">
        <f t="shared" si="54"/>
        <v>4.6844939379138379</v>
      </c>
    </row>
    <row r="705" spans="1:11" x14ac:dyDescent="0.3">
      <c r="A705" s="28">
        <v>0.59544299999999994</v>
      </c>
      <c r="B705" s="3">
        <v>0.1149</v>
      </c>
      <c r="C705" s="3" t="s">
        <v>5</v>
      </c>
      <c r="D705" s="3">
        <v>-1</v>
      </c>
      <c r="E705" s="3">
        <v>99.852000000000004</v>
      </c>
      <c r="F705" s="2">
        <v>704</v>
      </c>
      <c r="G705" s="2">
        <f t="shared" si="51"/>
        <v>-7.9000000000007731E-2</v>
      </c>
      <c r="H705" s="2">
        <f t="shared" si="52"/>
        <v>-0.68755439512626393</v>
      </c>
      <c r="I705" s="2">
        <f t="shared" si="53"/>
        <v>7.9000000000007731E-2</v>
      </c>
      <c r="J705" s="2">
        <f t="shared" si="50"/>
        <v>108.25547445255475</v>
      </c>
      <c r="K705" s="27">
        <f t="shared" si="54"/>
        <v>4.6844939379138379</v>
      </c>
    </row>
    <row r="706" spans="1:11" x14ac:dyDescent="0.3">
      <c r="A706" s="26">
        <v>0.59597999999999995</v>
      </c>
      <c r="B706" s="2">
        <v>0.1144</v>
      </c>
      <c r="C706" s="2" t="s">
        <v>5</v>
      </c>
      <c r="D706" s="2">
        <v>-1</v>
      </c>
      <c r="E706" s="2">
        <v>99.772999999999996</v>
      </c>
      <c r="F706" s="3">
        <v>705</v>
      </c>
      <c r="G706" s="3">
        <f t="shared" si="51"/>
        <v>-0.11999999999999034</v>
      </c>
      <c r="H706" s="3">
        <f t="shared" si="52"/>
        <v>-1.0489510489509644</v>
      </c>
      <c r="I706" s="3">
        <f t="shared" si="53"/>
        <v>0.11999999999999034</v>
      </c>
      <c r="J706" s="3">
        <f t="shared" ref="J706:J769" si="55">IF(C706="",$AA$1,C706)</f>
        <v>108.25547445255475</v>
      </c>
      <c r="K706" s="29">
        <f t="shared" si="54"/>
        <v>4.6844939379138379</v>
      </c>
    </row>
    <row r="707" spans="1:11" x14ac:dyDescent="0.3">
      <c r="A707" s="28">
        <v>0.59636199999999995</v>
      </c>
      <c r="B707" s="3">
        <v>0.10879999999999999</v>
      </c>
      <c r="C707" s="3" t="s">
        <v>5</v>
      </c>
      <c r="D707" s="3">
        <v>-1</v>
      </c>
      <c r="E707" s="3">
        <v>99.653000000000006</v>
      </c>
      <c r="F707" s="2">
        <v>706</v>
      </c>
      <c r="G707" s="2">
        <f t="shared" ref="G707:G770" si="56">E708-E707</f>
        <v>-1.1000000000009891E-2</v>
      </c>
      <c r="H707" s="2">
        <f t="shared" ref="H707:H770" si="57">IF(B707&lt;&gt;0,G707/B707,"")</f>
        <v>-0.1011029411765615</v>
      </c>
      <c r="I707" s="2">
        <f t="shared" ref="I707:I770" si="58">D707*G707</f>
        <v>1.1000000000009891E-2</v>
      </c>
      <c r="J707" s="2">
        <f t="shared" si="55"/>
        <v>108.25547445255475</v>
      </c>
      <c r="K707" s="27">
        <f t="shared" ref="K707:K770" si="59">LN(J707)</f>
        <v>4.6844939379138379</v>
      </c>
    </row>
    <row r="708" spans="1:11" x14ac:dyDescent="0.3">
      <c r="A708" s="26">
        <v>0.59695900000000002</v>
      </c>
      <c r="B708" s="2">
        <v>9.4399999999999998E-2</v>
      </c>
      <c r="C708" s="2" t="s">
        <v>5</v>
      </c>
      <c r="D708" s="2">
        <v>1</v>
      </c>
      <c r="E708" s="2">
        <v>99.641999999999996</v>
      </c>
      <c r="F708" s="3">
        <v>707</v>
      </c>
      <c r="G708" s="3">
        <f t="shared" si="56"/>
        <v>4.9999999999997158E-2</v>
      </c>
      <c r="H708" s="3">
        <f t="shared" si="57"/>
        <v>0.52966101694912249</v>
      </c>
      <c r="I708" s="3">
        <f t="shared" si="58"/>
        <v>4.9999999999997158E-2</v>
      </c>
      <c r="J708" s="3">
        <f t="shared" si="55"/>
        <v>108.25547445255475</v>
      </c>
      <c r="K708" s="29">
        <f t="shared" si="59"/>
        <v>4.6844939379138379</v>
      </c>
    </row>
    <row r="709" spans="1:11" x14ac:dyDescent="0.3">
      <c r="A709" s="28">
        <v>0.59709999999999996</v>
      </c>
      <c r="B709" s="3">
        <v>0.1048</v>
      </c>
      <c r="C709" s="3" t="s">
        <v>5</v>
      </c>
      <c r="D709" s="3">
        <v>-1</v>
      </c>
      <c r="E709" s="3">
        <v>99.691999999999993</v>
      </c>
      <c r="F709" s="2">
        <v>708</v>
      </c>
      <c r="G709" s="2">
        <f t="shared" si="56"/>
        <v>-1.6999999999995907E-2</v>
      </c>
      <c r="H709" s="2">
        <f t="shared" si="57"/>
        <v>-0.16221374045797621</v>
      </c>
      <c r="I709" s="2">
        <f t="shared" si="58"/>
        <v>1.6999999999995907E-2</v>
      </c>
      <c r="J709" s="2">
        <f t="shared" si="55"/>
        <v>108.25547445255475</v>
      </c>
      <c r="K709" s="27">
        <f t="shared" si="59"/>
        <v>4.6844939379138379</v>
      </c>
    </row>
    <row r="710" spans="1:11" x14ac:dyDescent="0.3">
      <c r="A710" s="26">
        <v>0.59769600000000001</v>
      </c>
      <c r="B710" s="2">
        <v>9.8900000000000002E-2</v>
      </c>
      <c r="C710" s="2" t="s">
        <v>5</v>
      </c>
      <c r="D710" s="2">
        <v>-1</v>
      </c>
      <c r="E710" s="2">
        <v>99.674999999999997</v>
      </c>
      <c r="F710" s="3">
        <v>709</v>
      </c>
      <c r="G710" s="3">
        <f t="shared" si="56"/>
        <v>-8.4999999999993747E-2</v>
      </c>
      <c r="H710" s="3">
        <f t="shared" si="57"/>
        <v>-0.85945399393320265</v>
      </c>
      <c r="I710" s="3">
        <f t="shared" si="58"/>
        <v>8.4999999999993747E-2</v>
      </c>
      <c r="J710" s="3">
        <f t="shared" si="55"/>
        <v>108.25547445255475</v>
      </c>
      <c r="K710" s="29">
        <f t="shared" si="59"/>
        <v>4.6844939379138379</v>
      </c>
    </row>
    <row r="711" spans="1:11" x14ac:dyDescent="0.3">
      <c r="A711" s="28">
        <v>0.59907200000000005</v>
      </c>
      <c r="B711" s="3">
        <v>9.2200000000000004E-2</v>
      </c>
      <c r="C711" s="3" t="s">
        <v>5</v>
      </c>
      <c r="D711" s="3">
        <v>-1</v>
      </c>
      <c r="E711" s="3">
        <v>99.59</v>
      </c>
      <c r="F711" s="2">
        <v>710</v>
      </c>
      <c r="G711" s="2">
        <f t="shared" si="56"/>
        <v>-6.1000000000007049E-2</v>
      </c>
      <c r="H711" s="2">
        <f t="shared" si="57"/>
        <v>-0.66160520607382911</v>
      </c>
      <c r="I711" s="2">
        <f t="shared" si="58"/>
        <v>6.1000000000007049E-2</v>
      </c>
      <c r="J711" s="2">
        <f t="shared" si="55"/>
        <v>108.25547445255475</v>
      </c>
      <c r="K711" s="27">
        <f t="shared" si="59"/>
        <v>4.6844939379138379</v>
      </c>
    </row>
    <row r="712" spans="1:11" x14ac:dyDescent="0.3">
      <c r="A712" s="26">
        <v>0.59989999999999999</v>
      </c>
      <c r="B712" s="2">
        <v>0.1235</v>
      </c>
      <c r="C712" s="2" t="s">
        <v>5</v>
      </c>
      <c r="D712" s="2">
        <v>1</v>
      </c>
      <c r="E712" s="2">
        <v>99.528999999999996</v>
      </c>
      <c r="F712" s="3">
        <v>711</v>
      </c>
      <c r="G712" s="3">
        <f t="shared" si="56"/>
        <v>0.17900000000000205</v>
      </c>
      <c r="H712" s="3">
        <f t="shared" si="57"/>
        <v>1.4493927125506239</v>
      </c>
      <c r="I712" s="3">
        <f t="shared" si="58"/>
        <v>0.17900000000000205</v>
      </c>
      <c r="J712" s="3">
        <f t="shared" si="55"/>
        <v>108.25547445255475</v>
      </c>
      <c r="K712" s="29">
        <f t="shared" si="59"/>
        <v>4.6844939379138379</v>
      </c>
    </row>
    <row r="713" spans="1:11" x14ac:dyDescent="0.3">
      <c r="A713" s="28">
        <v>0.60267700000000002</v>
      </c>
      <c r="B713" s="3">
        <v>9.1999999999999998E-2</v>
      </c>
      <c r="C713" s="3" t="s">
        <v>5</v>
      </c>
      <c r="D713" s="3">
        <v>1</v>
      </c>
      <c r="E713" s="3">
        <v>99.707999999999998</v>
      </c>
      <c r="F713" s="2">
        <v>712</v>
      </c>
      <c r="G713" s="2">
        <f t="shared" si="56"/>
        <v>6.9000000000002615E-2</v>
      </c>
      <c r="H713" s="2">
        <f t="shared" si="57"/>
        <v>0.75000000000002842</v>
      </c>
      <c r="I713" s="2">
        <f t="shared" si="58"/>
        <v>6.9000000000002615E-2</v>
      </c>
      <c r="J713" s="2">
        <f t="shared" si="55"/>
        <v>108.25547445255475</v>
      </c>
      <c r="K713" s="27">
        <f t="shared" si="59"/>
        <v>4.6844939379138379</v>
      </c>
    </row>
    <row r="714" spans="1:11" x14ac:dyDescent="0.3">
      <c r="A714" s="26">
        <v>0.60431400000000002</v>
      </c>
      <c r="B714" s="2">
        <v>8.6900000000000005E-2</v>
      </c>
      <c r="C714" s="2">
        <v>26</v>
      </c>
      <c r="D714" s="2">
        <v>1</v>
      </c>
      <c r="E714" s="2">
        <v>99.777000000000001</v>
      </c>
      <c r="F714" s="3">
        <v>713</v>
      </c>
      <c r="G714" s="3">
        <f t="shared" si="56"/>
        <v>2.7000000000001023E-2</v>
      </c>
      <c r="H714" s="3">
        <f t="shared" si="57"/>
        <v>0.31070195627158831</v>
      </c>
      <c r="I714" s="3">
        <f t="shared" si="58"/>
        <v>2.7000000000001023E-2</v>
      </c>
      <c r="J714" s="3">
        <f t="shared" si="55"/>
        <v>26</v>
      </c>
      <c r="K714" s="29">
        <f t="shared" si="59"/>
        <v>3.2580965380214821</v>
      </c>
    </row>
    <row r="715" spans="1:11" x14ac:dyDescent="0.3">
      <c r="A715" s="28">
        <v>0.60474799999999995</v>
      </c>
      <c r="B715" s="3">
        <v>9.74E-2</v>
      </c>
      <c r="C715" s="3" t="s">
        <v>5</v>
      </c>
      <c r="D715" s="3">
        <v>-1</v>
      </c>
      <c r="E715" s="3">
        <v>99.804000000000002</v>
      </c>
      <c r="F715" s="2">
        <v>714</v>
      </c>
      <c r="G715" s="2">
        <f t="shared" si="56"/>
        <v>-6.3000000000002387E-2</v>
      </c>
      <c r="H715" s="2">
        <f t="shared" si="57"/>
        <v>-0.64681724845998345</v>
      </c>
      <c r="I715" s="2">
        <f t="shared" si="58"/>
        <v>6.3000000000002387E-2</v>
      </c>
      <c r="J715" s="2">
        <f t="shared" si="55"/>
        <v>108.25547445255475</v>
      </c>
      <c r="K715" s="27">
        <f t="shared" si="59"/>
        <v>4.6844939379138379</v>
      </c>
    </row>
    <row r="716" spans="1:11" x14ac:dyDescent="0.3">
      <c r="A716" s="26">
        <v>0.60626800000000003</v>
      </c>
      <c r="B716" s="2">
        <v>9.4299999999999995E-2</v>
      </c>
      <c r="C716" s="2" t="s">
        <v>5</v>
      </c>
      <c r="D716" s="2">
        <v>-1</v>
      </c>
      <c r="E716" s="2">
        <v>99.741</v>
      </c>
      <c r="F716" s="2">
        <v>715</v>
      </c>
      <c r="G716" s="2">
        <f t="shared" si="56"/>
        <v>-2.5000000000005684E-2</v>
      </c>
      <c r="H716" s="2">
        <f t="shared" si="57"/>
        <v>-0.26511134676570186</v>
      </c>
      <c r="I716" s="2">
        <f t="shared" si="58"/>
        <v>2.5000000000005684E-2</v>
      </c>
      <c r="J716" s="2">
        <f t="shared" si="55"/>
        <v>108.25547445255475</v>
      </c>
      <c r="K716" s="27">
        <f t="shared" si="59"/>
        <v>4.6844939379138379</v>
      </c>
    </row>
    <row r="717" spans="1:11" x14ac:dyDescent="0.3">
      <c r="A717" s="28">
        <v>0.60720300000000005</v>
      </c>
      <c r="B717" s="3">
        <v>9.2200000000000004E-2</v>
      </c>
      <c r="C717" s="3" t="s">
        <v>5</v>
      </c>
      <c r="D717" s="3">
        <v>-1</v>
      </c>
      <c r="E717" s="3">
        <v>99.715999999999994</v>
      </c>
      <c r="F717" s="3">
        <v>716</v>
      </c>
      <c r="G717" s="3">
        <f t="shared" si="56"/>
        <v>-8.99999999999892E-2</v>
      </c>
      <c r="H717" s="3">
        <f t="shared" si="57"/>
        <v>-0.97613882863328849</v>
      </c>
      <c r="I717" s="3">
        <f t="shared" si="58"/>
        <v>8.99999999999892E-2</v>
      </c>
      <c r="J717" s="3">
        <f t="shared" si="55"/>
        <v>108.25547445255475</v>
      </c>
      <c r="K717" s="29">
        <f t="shared" si="59"/>
        <v>4.6844939379138379</v>
      </c>
    </row>
    <row r="718" spans="1:11" x14ac:dyDescent="0.3">
      <c r="A718" s="26">
        <v>0.607483</v>
      </c>
      <c r="B718" s="2">
        <v>9.6799999999999997E-2</v>
      </c>
      <c r="C718" s="2" t="s">
        <v>5</v>
      </c>
      <c r="D718" s="2">
        <v>-1</v>
      </c>
      <c r="E718" s="2">
        <v>99.626000000000005</v>
      </c>
      <c r="F718" s="2">
        <v>717</v>
      </c>
      <c r="G718" s="2">
        <f t="shared" si="56"/>
        <v>9.9999999999056399E-4</v>
      </c>
      <c r="H718" s="2">
        <f t="shared" si="57"/>
        <v>1.0330578512299215E-2</v>
      </c>
      <c r="I718" s="2">
        <f t="shared" si="58"/>
        <v>-9.9999999999056399E-4</v>
      </c>
      <c r="J718" s="2">
        <f t="shared" si="55"/>
        <v>108.25547445255475</v>
      </c>
      <c r="K718" s="27">
        <f t="shared" si="59"/>
        <v>4.6844939379138379</v>
      </c>
    </row>
    <row r="719" spans="1:11" x14ac:dyDescent="0.3">
      <c r="A719" s="28">
        <v>0.60851500000000003</v>
      </c>
      <c r="B719" s="3">
        <v>9.5899999999999999E-2</v>
      </c>
      <c r="C719" s="3" t="s">
        <v>5</v>
      </c>
      <c r="D719" s="3">
        <v>-1</v>
      </c>
      <c r="E719" s="3">
        <v>99.626999999999995</v>
      </c>
      <c r="F719" s="3">
        <v>718</v>
      </c>
      <c r="G719" s="3">
        <f t="shared" si="56"/>
        <v>-5.4000000000002046E-2</v>
      </c>
      <c r="H719" s="3">
        <f t="shared" si="57"/>
        <v>-0.56308654848802964</v>
      </c>
      <c r="I719" s="3">
        <f t="shared" si="58"/>
        <v>5.4000000000002046E-2</v>
      </c>
      <c r="J719" s="3">
        <f t="shared" si="55"/>
        <v>108.25547445255475</v>
      </c>
      <c r="K719" s="29">
        <f t="shared" si="59"/>
        <v>4.6844939379138379</v>
      </c>
    </row>
    <row r="720" spans="1:11" x14ac:dyDescent="0.3">
      <c r="A720" s="26">
        <v>0.60967499999999997</v>
      </c>
      <c r="B720" s="2">
        <v>0.1016</v>
      </c>
      <c r="C720" s="2">
        <v>8</v>
      </c>
      <c r="D720" s="2">
        <v>-1</v>
      </c>
      <c r="E720" s="2">
        <v>99.572999999999993</v>
      </c>
      <c r="F720" s="2">
        <v>719</v>
      </c>
      <c r="G720" s="2">
        <f t="shared" si="56"/>
        <v>-1.2999999999991019E-2</v>
      </c>
      <c r="H720" s="2">
        <f t="shared" si="57"/>
        <v>-0.1279527559054234</v>
      </c>
      <c r="I720" s="2">
        <f t="shared" si="58"/>
        <v>1.2999999999991019E-2</v>
      </c>
      <c r="J720" s="2">
        <f t="shared" si="55"/>
        <v>8</v>
      </c>
      <c r="K720" s="27">
        <f t="shared" si="59"/>
        <v>2.0794415416798357</v>
      </c>
    </row>
    <row r="721" spans="1:11" x14ac:dyDescent="0.3">
      <c r="A721" s="28">
        <v>0.61047499999999999</v>
      </c>
      <c r="B721" s="3">
        <v>0.10879999999999999</v>
      </c>
      <c r="C721" s="3">
        <v>28</v>
      </c>
      <c r="D721" s="3">
        <v>1</v>
      </c>
      <c r="E721" s="3">
        <v>99.56</v>
      </c>
      <c r="F721" s="3">
        <v>720</v>
      </c>
      <c r="G721" s="3">
        <f t="shared" si="56"/>
        <v>3.6999999999991928E-2</v>
      </c>
      <c r="H721" s="3">
        <f t="shared" si="57"/>
        <v>0.34007352941169056</v>
      </c>
      <c r="I721" s="3">
        <f t="shared" si="58"/>
        <v>3.6999999999991928E-2</v>
      </c>
      <c r="J721" s="3">
        <f t="shared" si="55"/>
        <v>28</v>
      </c>
      <c r="K721" s="29">
        <f t="shared" si="59"/>
        <v>3.3322045101752038</v>
      </c>
    </row>
    <row r="722" spans="1:11" x14ac:dyDescent="0.3">
      <c r="A722" s="26">
        <v>0.61098399999999997</v>
      </c>
      <c r="B722" s="2">
        <v>0.11210000000000001</v>
      </c>
      <c r="C722" s="2" t="s">
        <v>5</v>
      </c>
      <c r="D722" s="2">
        <v>1</v>
      </c>
      <c r="E722" s="2">
        <v>99.596999999999994</v>
      </c>
      <c r="F722" s="2">
        <v>721</v>
      </c>
      <c r="G722" s="2">
        <f t="shared" si="56"/>
        <v>5.5000000000006821E-2</v>
      </c>
      <c r="H722" s="2">
        <f t="shared" si="57"/>
        <v>0.4906333630687495</v>
      </c>
      <c r="I722" s="2">
        <f t="shared" si="58"/>
        <v>5.5000000000006821E-2</v>
      </c>
      <c r="J722" s="2">
        <f t="shared" si="55"/>
        <v>108.25547445255475</v>
      </c>
      <c r="K722" s="27">
        <f t="shared" si="59"/>
        <v>4.6844939379138379</v>
      </c>
    </row>
    <row r="723" spans="1:11" x14ac:dyDescent="0.3">
      <c r="A723" s="28">
        <v>0.61332900000000001</v>
      </c>
      <c r="B723" s="3">
        <v>0.1075</v>
      </c>
      <c r="C723" s="3" t="s">
        <v>5</v>
      </c>
      <c r="D723" s="3">
        <v>1</v>
      </c>
      <c r="E723" s="3">
        <v>99.652000000000001</v>
      </c>
      <c r="F723" s="3">
        <v>722</v>
      </c>
      <c r="G723" s="3">
        <f t="shared" si="56"/>
        <v>5.1000000000001933E-2</v>
      </c>
      <c r="H723" s="3">
        <f t="shared" si="57"/>
        <v>0.4744186046511808</v>
      </c>
      <c r="I723" s="3">
        <f t="shared" si="58"/>
        <v>5.1000000000001933E-2</v>
      </c>
      <c r="J723" s="3">
        <f t="shared" si="55"/>
        <v>108.25547445255475</v>
      </c>
      <c r="K723" s="29">
        <f t="shared" si="59"/>
        <v>4.6844939379138379</v>
      </c>
    </row>
    <row r="724" spans="1:11" x14ac:dyDescent="0.3">
      <c r="A724" s="26">
        <v>0.61404499999999995</v>
      </c>
      <c r="B724" s="2">
        <v>0.1041</v>
      </c>
      <c r="C724" s="2" t="s">
        <v>5</v>
      </c>
      <c r="D724" s="2">
        <v>1</v>
      </c>
      <c r="E724" s="2">
        <v>99.703000000000003</v>
      </c>
      <c r="F724" s="2">
        <v>723</v>
      </c>
      <c r="G724" s="2">
        <f t="shared" si="56"/>
        <v>9.0000000000003411E-3</v>
      </c>
      <c r="H724" s="2">
        <f t="shared" si="57"/>
        <v>8.6455331412107025E-2</v>
      </c>
      <c r="I724" s="2">
        <f t="shared" si="58"/>
        <v>9.0000000000003411E-3</v>
      </c>
      <c r="J724" s="2">
        <f t="shared" si="55"/>
        <v>108.25547445255475</v>
      </c>
      <c r="K724" s="27">
        <f t="shared" si="59"/>
        <v>4.6844939379138379</v>
      </c>
    </row>
    <row r="725" spans="1:11" x14ac:dyDescent="0.3">
      <c r="A725" s="28">
        <v>0.62085599999999996</v>
      </c>
      <c r="B725" s="3">
        <v>8.1199999999999994E-2</v>
      </c>
      <c r="C725" s="3" t="s">
        <v>5</v>
      </c>
      <c r="D725" s="3">
        <v>1</v>
      </c>
      <c r="E725" s="3">
        <v>99.712000000000003</v>
      </c>
      <c r="F725" s="3">
        <v>724</v>
      </c>
      <c r="G725" s="3">
        <f t="shared" si="56"/>
        <v>3.3999999999991815E-2</v>
      </c>
      <c r="H725" s="3">
        <f t="shared" si="57"/>
        <v>0.41871921182255933</v>
      </c>
      <c r="I725" s="3">
        <f t="shared" si="58"/>
        <v>3.3999999999991815E-2</v>
      </c>
      <c r="J725" s="3">
        <f t="shared" si="55"/>
        <v>108.25547445255475</v>
      </c>
      <c r="K725" s="29">
        <f t="shared" si="59"/>
        <v>4.6844939379138379</v>
      </c>
    </row>
    <row r="726" spans="1:11" x14ac:dyDescent="0.3">
      <c r="A726" s="26">
        <v>0.62127600000000005</v>
      </c>
      <c r="B726" s="2">
        <v>0.12239999999999999</v>
      </c>
      <c r="C726" s="2" t="s">
        <v>5</v>
      </c>
      <c r="D726" s="2">
        <v>1</v>
      </c>
      <c r="E726" s="2">
        <v>99.745999999999995</v>
      </c>
      <c r="F726" s="2">
        <v>725</v>
      </c>
      <c r="G726" s="2">
        <f t="shared" si="56"/>
        <v>0.15200000000000102</v>
      </c>
      <c r="H726" s="2">
        <f t="shared" si="57"/>
        <v>1.2418300653594856</v>
      </c>
      <c r="I726" s="2">
        <f t="shared" si="58"/>
        <v>0.15200000000000102</v>
      </c>
      <c r="J726" s="2">
        <f t="shared" si="55"/>
        <v>108.25547445255475</v>
      </c>
      <c r="K726" s="27">
        <f t="shared" si="59"/>
        <v>4.6844939379138379</v>
      </c>
    </row>
    <row r="727" spans="1:11" x14ac:dyDescent="0.3">
      <c r="A727" s="28">
        <v>0.62129699999999999</v>
      </c>
      <c r="B727" s="3">
        <v>0.112</v>
      </c>
      <c r="C727" s="3" t="s">
        <v>5</v>
      </c>
      <c r="D727" s="3">
        <v>-1</v>
      </c>
      <c r="E727" s="3">
        <v>99.897999999999996</v>
      </c>
      <c r="F727" s="3">
        <v>726</v>
      </c>
      <c r="G727" s="3">
        <f t="shared" si="56"/>
        <v>-0.11499999999999488</v>
      </c>
      <c r="H727" s="3">
        <f t="shared" si="57"/>
        <v>-1.0267857142856687</v>
      </c>
      <c r="I727" s="3">
        <f t="shared" si="58"/>
        <v>0.11499999999999488</v>
      </c>
      <c r="J727" s="3">
        <f t="shared" si="55"/>
        <v>108.25547445255475</v>
      </c>
      <c r="K727" s="29">
        <f t="shared" si="59"/>
        <v>4.6844939379138379</v>
      </c>
    </row>
    <row r="728" spans="1:11" x14ac:dyDescent="0.3">
      <c r="A728" s="26">
        <v>0.62146699999999999</v>
      </c>
      <c r="B728" s="2">
        <v>9.4399999999999998E-2</v>
      </c>
      <c r="C728" s="2" t="s">
        <v>5</v>
      </c>
      <c r="D728" s="2">
        <v>1</v>
      </c>
      <c r="E728" s="2">
        <v>99.783000000000001</v>
      </c>
      <c r="F728" s="2">
        <v>727</v>
      </c>
      <c r="G728" s="2">
        <f t="shared" si="56"/>
        <v>6.0000000000002274E-2</v>
      </c>
      <c r="H728" s="2">
        <f t="shared" si="57"/>
        <v>0.63559322033900711</v>
      </c>
      <c r="I728" s="2">
        <f t="shared" si="58"/>
        <v>6.0000000000002274E-2</v>
      </c>
      <c r="J728" s="2">
        <f t="shared" si="55"/>
        <v>108.25547445255475</v>
      </c>
      <c r="K728" s="27">
        <f t="shared" si="59"/>
        <v>4.6844939379138379</v>
      </c>
    </row>
    <row r="729" spans="1:11" x14ac:dyDescent="0.3">
      <c r="A729" s="28">
        <v>0.62283500000000003</v>
      </c>
      <c r="B729" s="3">
        <v>8.9300000000000004E-2</v>
      </c>
      <c r="C729" s="3" t="s">
        <v>5</v>
      </c>
      <c r="D729" s="3">
        <v>-1</v>
      </c>
      <c r="E729" s="3">
        <v>99.843000000000004</v>
      </c>
      <c r="F729" s="3">
        <v>728</v>
      </c>
      <c r="G729" s="3">
        <f t="shared" si="56"/>
        <v>-8.5000000000007958E-2</v>
      </c>
      <c r="H729" s="3">
        <f t="shared" si="57"/>
        <v>-0.9518477043673903</v>
      </c>
      <c r="I729" s="3">
        <f t="shared" si="58"/>
        <v>8.5000000000007958E-2</v>
      </c>
      <c r="J729" s="3">
        <f t="shared" si="55"/>
        <v>108.25547445255475</v>
      </c>
      <c r="K729" s="29">
        <f t="shared" si="59"/>
        <v>4.6844939379138379</v>
      </c>
    </row>
    <row r="730" spans="1:11" x14ac:dyDescent="0.3">
      <c r="A730" s="26">
        <v>0.62289600000000001</v>
      </c>
      <c r="B730" s="2">
        <v>0.1075</v>
      </c>
      <c r="C730" s="2" t="s">
        <v>5</v>
      </c>
      <c r="D730" s="2">
        <v>1</v>
      </c>
      <c r="E730" s="2">
        <v>99.757999999999996</v>
      </c>
      <c r="F730" s="2">
        <v>729</v>
      </c>
      <c r="G730" s="2">
        <f t="shared" si="56"/>
        <v>1.2000000000000455E-2</v>
      </c>
      <c r="H730" s="2">
        <f t="shared" si="57"/>
        <v>0.11162790697674842</v>
      </c>
      <c r="I730" s="2">
        <f t="shared" si="58"/>
        <v>1.2000000000000455E-2</v>
      </c>
      <c r="J730" s="2">
        <f t="shared" si="55"/>
        <v>108.25547445255475</v>
      </c>
      <c r="K730" s="27">
        <f t="shared" si="59"/>
        <v>4.6844939379138379</v>
      </c>
    </row>
    <row r="731" spans="1:11" x14ac:dyDescent="0.3">
      <c r="A731" s="28">
        <v>0.62587000000000004</v>
      </c>
      <c r="B731" s="3">
        <v>0.1045</v>
      </c>
      <c r="C731" s="3" t="s">
        <v>5</v>
      </c>
      <c r="D731" s="3">
        <v>-1</v>
      </c>
      <c r="E731" s="3">
        <v>99.77</v>
      </c>
      <c r="F731" s="3">
        <v>730</v>
      </c>
      <c r="G731" s="3">
        <f t="shared" si="56"/>
        <v>-6.799999999999784E-2</v>
      </c>
      <c r="H731" s="3">
        <f t="shared" si="57"/>
        <v>-0.6507177033492616</v>
      </c>
      <c r="I731" s="3">
        <f t="shared" si="58"/>
        <v>6.799999999999784E-2</v>
      </c>
      <c r="J731" s="3">
        <f t="shared" si="55"/>
        <v>108.25547445255475</v>
      </c>
      <c r="K731" s="29">
        <f t="shared" si="59"/>
        <v>4.6844939379138379</v>
      </c>
    </row>
    <row r="732" spans="1:11" x14ac:dyDescent="0.3">
      <c r="A732" s="26">
        <v>0.62625699999999995</v>
      </c>
      <c r="B732" s="2">
        <v>0.10730000000000001</v>
      </c>
      <c r="C732" s="2">
        <v>31</v>
      </c>
      <c r="D732" s="2">
        <v>-1</v>
      </c>
      <c r="E732" s="2">
        <v>99.701999999999998</v>
      </c>
      <c r="F732" s="2">
        <v>731</v>
      </c>
      <c r="G732" s="2">
        <f t="shared" si="56"/>
        <v>-3.9000000000001478E-2</v>
      </c>
      <c r="H732" s="2">
        <f t="shared" si="57"/>
        <v>-0.36346691519106689</v>
      </c>
      <c r="I732" s="2">
        <f t="shared" si="58"/>
        <v>3.9000000000001478E-2</v>
      </c>
      <c r="J732" s="2">
        <f t="shared" si="55"/>
        <v>31</v>
      </c>
      <c r="K732" s="27">
        <f t="shared" si="59"/>
        <v>3.4339872044851463</v>
      </c>
    </row>
    <row r="733" spans="1:11" x14ac:dyDescent="0.3">
      <c r="A733" s="28">
        <v>0.626363</v>
      </c>
      <c r="B733" s="3">
        <v>9.6100000000000005E-2</v>
      </c>
      <c r="C733" s="3" t="s">
        <v>5</v>
      </c>
      <c r="D733" s="3">
        <v>1</v>
      </c>
      <c r="E733" s="3">
        <v>99.662999999999997</v>
      </c>
      <c r="F733" s="2">
        <v>732</v>
      </c>
      <c r="G733" s="2">
        <f t="shared" si="56"/>
        <v>5.700000000000216E-2</v>
      </c>
      <c r="H733" s="2">
        <f t="shared" si="57"/>
        <v>0.59313215400626595</v>
      </c>
      <c r="I733" s="2">
        <f t="shared" si="58"/>
        <v>5.700000000000216E-2</v>
      </c>
      <c r="J733" s="2">
        <f t="shared" si="55"/>
        <v>108.25547445255475</v>
      </c>
      <c r="K733" s="27">
        <f t="shared" si="59"/>
        <v>4.6844939379138379</v>
      </c>
    </row>
    <row r="734" spans="1:11" x14ac:dyDescent="0.3">
      <c r="A734" s="26">
        <v>0.62697800000000004</v>
      </c>
      <c r="B734" s="2">
        <v>0.1004</v>
      </c>
      <c r="C734" s="2">
        <v>2</v>
      </c>
      <c r="D734" s="2">
        <v>1</v>
      </c>
      <c r="E734" s="2">
        <v>99.72</v>
      </c>
      <c r="F734" s="3">
        <v>733</v>
      </c>
      <c r="G734" s="3">
        <f t="shared" si="56"/>
        <v>7.9999999999955662E-3</v>
      </c>
      <c r="H734" s="3">
        <f t="shared" si="57"/>
        <v>7.9681274900354246E-2</v>
      </c>
      <c r="I734" s="3">
        <f t="shared" si="58"/>
        <v>7.9999999999955662E-3</v>
      </c>
      <c r="J734" s="3">
        <f t="shared" si="55"/>
        <v>2</v>
      </c>
      <c r="K734" s="29">
        <f t="shared" si="59"/>
        <v>0.69314718055994529</v>
      </c>
    </row>
    <row r="735" spans="1:11" x14ac:dyDescent="0.3">
      <c r="A735" s="28">
        <v>0.62882700000000002</v>
      </c>
      <c r="B735" s="3">
        <v>9.5899999999999999E-2</v>
      </c>
      <c r="C735" s="3" t="s">
        <v>5</v>
      </c>
      <c r="D735" s="3">
        <v>1</v>
      </c>
      <c r="E735" s="3">
        <v>99.727999999999994</v>
      </c>
      <c r="F735" s="2">
        <v>734</v>
      </c>
      <c r="G735" s="2">
        <f t="shared" si="56"/>
        <v>1.2000000000000455E-2</v>
      </c>
      <c r="H735" s="2">
        <f t="shared" si="57"/>
        <v>0.12513034410845103</v>
      </c>
      <c r="I735" s="2">
        <f t="shared" si="58"/>
        <v>1.2000000000000455E-2</v>
      </c>
      <c r="J735" s="2">
        <f t="shared" si="55"/>
        <v>108.25547445255475</v>
      </c>
      <c r="K735" s="27">
        <f t="shared" si="59"/>
        <v>4.6844939379138379</v>
      </c>
    </row>
    <row r="736" spans="1:11" x14ac:dyDescent="0.3">
      <c r="A736" s="26">
        <v>0.630328</v>
      </c>
      <c r="B736" s="2">
        <v>9.35E-2</v>
      </c>
      <c r="C736" s="2">
        <v>64</v>
      </c>
      <c r="D736" s="2">
        <v>1</v>
      </c>
      <c r="E736" s="2">
        <v>99.74</v>
      </c>
      <c r="F736" s="3">
        <v>735</v>
      </c>
      <c r="G736" s="3">
        <f t="shared" si="56"/>
        <v>4.5000000000001705E-2</v>
      </c>
      <c r="H736" s="3">
        <f t="shared" si="57"/>
        <v>0.48128342245991129</v>
      </c>
      <c r="I736" s="3">
        <f t="shared" si="58"/>
        <v>4.5000000000001705E-2</v>
      </c>
      <c r="J736" s="3">
        <f t="shared" si="55"/>
        <v>64</v>
      </c>
      <c r="K736" s="29">
        <f t="shared" si="59"/>
        <v>4.1588830833596715</v>
      </c>
    </row>
    <row r="737" spans="1:11" x14ac:dyDescent="0.3">
      <c r="A737" s="28">
        <v>0.63284200000000002</v>
      </c>
      <c r="B737" s="3">
        <v>0.1171</v>
      </c>
      <c r="C737" s="3" t="s">
        <v>5</v>
      </c>
      <c r="D737" s="3">
        <v>-1</v>
      </c>
      <c r="E737" s="3">
        <v>99.784999999999997</v>
      </c>
      <c r="F737" s="2">
        <v>736</v>
      </c>
      <c r="G737" s="2">
        <f t="shared" si="56"/>
        <v>-3.4999999999996589E-2</v>
      </c>
      <c r="H737" s="2">
        <f t="shared" si="57"/>
        <v>-0.29888983774548755</v>
      </c>
      <c r="I737" s="2">
        <f t="shared" si="58"/>
        <v>3.4999999999996589E-2</v>
      </c>
      <c r="J737" s="2">
        <f t="shared" si="55"/>
        <v>108.25547445255475</v>
      </c>
      <c r="K737" s="27">
        <f t="shared" si="59"/>
        <v>4.6844939379138379</v>
      </c>
    </row>
    <row r="738" spans="1:11" x14ac:dyDescent="0.3">
      <c r="A738" s="26">
        <v>0.63321799999999995</v>
      </c>
      <c r="B738" s="2">
        <v>8.5699999999999998E-2</v>
      </c>
      <c r="C738" s="2" t="s">
        <v>5</v>
      </c>
      <c r="D738" s="2">
        <v>-1</v>
      </c>
      <c r="E738" s="2">
        <v>99.75</v>
      </c>
      <c r="F738" s="3">
        <v>737</v>
      </c>
      <c r="G738" s="3">
        <f t="shared" si="56"/>
        <v>-1.9999999999996021E-2</v>
      </c>
      <c r="H738" s="3">
        <f t="shared" si="57"/>
        <v>-0.2333722287047377</v>
      </c>
      <c r="I738" s="3">
        <f t="shared" si="58"/>
        <v>1.9999999999996021E-2</v>
      </c>
      <c r="J738" s="3">
        <f t="shared" si="55"/>
        <v>108.25547445255475</v>
      </c>
      <c r="K738" s="29">
        <f t="shared" si="59"/>
        <v>4.6844939379138379</v>
      </c>
    </row>
    <row r="739" spans="1:11" x14ac:dyDescent="0.3">
      <c r="A739" s="28">
        <v>0.63508600000000004</v>
      </c>
      <c r="B739" s="3">
        <v>9.4899999999999998E-2</v>
      </c>
      <c r="C739" s="3" t="s">
        <v>5</v>
      </c>
      <c r="D739" s="3">
        <v>1</v>
      </c>
      <c r="E739" s="3">
        <v>99.73</v>
      </c>
      <c r="F739" s="2">
        <v>738</v>
      </c>
      <c r="G739" s="2">
        <f t="shared" si="56"/>
        <v>3.3999999999991815E-2</v>
      </c>
      <c r="H739" s="2">
        <f t="shared" si="57"/>
        <v>0.35827186512109394</v>
      </c>
      <c r="I739" s="2">
        <f t="shared" si="58"/>
        <v>3.3999999999991815E-2</v>
      </c>
      <c r="J739" s="2">
        <f t="shared" si="55"/>
        <v>108.25547445255475</v>
      </c>
      <c r="K739" s="27">
        <f t="shared" si="59"/>
        <v>4.6844939379138379</v>
      </c>
    </row>
    <row r="740" spans="1:11" x14ac:dyDescent="0.3">
      <c r="A740" s="26">
        <v>0.63798999999999995</v>
      </c>
      <c r="B740" s="2">
        <v>0.1137</v>
      </c>
      <c r="C740" s="2" t="s">
        <v>5</v>
      </c>
      <c r="D740" s="2">
        <v>-1</v>
      </c>
      <c r="E740" s="2">
        <v>99.763999999999996</v>
      </c>
      <c r="F740" s="3">
        <v>739</v>
      </c>
      <c r="G740" s="3">
        <f t="shared" si="56"/>
        <v>-4.9999999999954525E-3</v>
      </c>
      <c r="H740" s="3">
        <f t="shared" si="57"/>
        <v>-4.3975373790637227E-2</v>
      </c>
      <c r="I740" s="3">
        <f t="shared" si="58"/>
        <v>4.9999999999954525E-3</v>
      </c>
      <c r="J740" s="3">
        <f t="shared" si="55"/>
        <v>108.25547445255475</v>
      </c>
      <c r="K740" s="29">
        <f t="shared" si="59"/>
        <v>4.6844939379138379</v>
      </c>
    </row>
    <row r="741" spans="1:11" x14ac:dyDescent="0.3">
      <c r="A741" s="28">
        <v>0.63838799999999996</v>
      </c>
      <c r="B741" s="3">
        <v>9.7299999999999998E-2</v>
      </c>
      <c r="C741" s="3" t="s">
        <v>5</v>
      </c>
      <c r="D741" s="3">
        <v>-1</v>
      </c>
      <c r="E741" s="3">
        <v>99.759</v>
      </c>
      <c r="F741" s="2">
        <v>740</v>
      </c>
      <c r="G741" s="2">
        <f t="shared" si="56"/>
        <v>-8.100000000000307E-2</v>
      </c>
      <c r="H741" s="2">
        <f t="shared" si="57"/>
        <v>-0.83247687564237483</v>
      </c>
      <c r="I741" s="2">
        <f t="shared" si="58"/>
        <v>8.100000000000307E-2</v>
      </c>
      <c r="J741" s="2">
        <f t="shared" si="55"/>
        <v>108.25547445255475</v>
      </c>
      <c r="K741" s="27">
        <f t="shared" si="59"/>
        <v>4.6844939379138379</v>
      </c>
    </row>
    <row r="742" spans="1:11" x14ac:dyDescent="0.3">
      <c r="A742" s="26">
        <v>0.64022599999999996</v>
      </c>
      <c r="B742" s="2">
        <v>9.2899999999999996E-2</v>
      </c>
      <c r="C742" s="2">
        <v>39</v>
      </c>
      <c r="D742" s="2">
        <v>1</v>
      </c>
      <c r="E742" s="2">
        <v>99.677999999999997</v>
      </c>
      <c r="F742" s="3">
        <v>741</v>
      </c>
      <c r="G742" s="3">
        <f t="shared" si="56"/>
        <v>3.7000000000006139E-2</v>
      </c>
      <c r="H742" s="3">
        <f t="shared" si="57"/>
        <v>0.39827771797638473</v>
      </c>
      <c r="I742" s="3">
        <f t="shared" si="58"/>
        <v>3.7000000000006139E-2</v>
      </c>
      <c r="J742" s="3">
        <f t="shared" si="55"/>
        <v>39</v>
      </c>
      <c r="K742" s="29">
        <f t="shared" si="59"/>
        <v>3.6635616461296463</v>
      </c>
    </row>
    <row r="743" spans="1:11" x14ac:dyDescent="0.3">
      <c r="A743" s="28">
        <v>0.64446800000000004</v>
      </c>
      <c r="B743" s="3">
        <v>9.9500000000000005E-2</v>
      </c>
      <c r="C743" s="3" t="s">
        <v>5</v>
      </c>
      <c r="D743" s="3">
        <v>1</v>
      </c>
      <c r="E743" s="3">
        <v>99.715000000000003</v>
      </c>
      <c r="F743" s="2">
        <v>742</v>
      </c>
      <c r="G743" s="2">
        <f t="shared" si="56"/>
        <v>4.5000000000001705E-2</v>
      </c>
      <c r="H743" s="2">
        <f t="shared" si="57"/>
        <v>0.45226130653268043</v>
      </c>
      <c r="I743" s="2">
        <f t="shared" si="58"/>
        <v>4.5000000000001705E-2</v>
      </c>
      <c r="J743" s="2">
        <f t="shared" si="55"/>
        <v>108.25547445255475</v>
      </c>
      <c r="K743" s="27">
        <f t="shared" si="59"/>
        <v>4.6844939379138379</v>
      </c>
    </row>
    <row r="744" spans="1:11" x14ac:dyDescent="0.3">
      <c r="A744" s="26">
        <v>0.64515699999999998</v>
      </c>
      <c r="B744" s="2">
        <v>8.1199999999999994E-2</v>
      </c>
      <c r="C744" s="2" t="s">
        <v>5</v>
      </c>
      <c r="D744" s="2">
        <v>1</v>
      </c>
      <c r="E744" s="2">
        <v>99.76</v>
      </c>
      <c r="F744" s="3">
        <v>743</v>
      </c>
      <c r="G744" s="3">
        <f t="shared" si="56"/>
        <v>3.3999999999991815E-2</v>
      </c>
      <c r="H744" s="3">
        <f t="shared" si="57"/>
        <v>0.41871921182255933</v>
      </c>
      <c r="I744" s="3">
        <f t="shared" si="58"/>
        <v>3.3999999999991815E-2</v>
      </c>
      <c r="J744" s="3">
        <f t="shared" si="55"/>
        <v>108.25547445255475</v>
      </c>
      <c r="K744" s="29">
        <f t="shared" si="59"/>
        <v>4.6844939379138379</v>
      </c>
    </row>
    <row r="745" spans="1:11" x14ac:dyDescent="0.3">
      <c r="A745" s="28">
        <v>0.64683000000000002</v>
      </c>
      <c r="B745" s="3">
        <v>9.5500000000000002E-2</v>
      </c>
      <c r="C745" s="3">
        <v>208</v>
      </c>
      <c r="D745" s="3">
        <v>1</v>
      </c>
      <c r="E745" s="3">
        <v>99.793999999999997</v>
      </c>
      <c r="F745" s="2">
        <v>744</v>
      </c>
      <c r="G745" s="2">
        <f t="shared" si="56"/>
        <v>0.10099999999999909</v>
      </c>
      <c r="H745" s="2">
        <f t="shared" si="57"/>
        <v>1.0575916230366398</v>
      </c>
      <c r="I745" s="2">
        <f t="shared" si="58"/>
        <v>0.10099999999999909</v>
      </c>
      <c r="J745" s="2">
        <f t="shared" si="55"/>
        <v>208</v>
      </c>
      <c r="K745" s="27">
        <f t="shared" si="59"/>
        <v>5.3375380797013179</v>
      </c>
    </row>
    <row r="746" spans="1:11" x14ac:dyDescent="0.3">
      <c r="A746" s="26">
        <v>0.64748300000000003</v>
      </c>
      <c r="B746" s="2">
        <v>8.1199999999999994E-2</v>
      </c>
      <c r="C746" s="2" t="s">
        <v>5</v>
      </c>
      <c r="D746" s="2">
        <v>-1</v>
      </c>
      <c r="E746" s="2">
        <v>99.894999999999996</v>
      </c>
      <c r="F746" s="3">
        <v>745</v>
      </c>
      <c r="G746" s="3">
        <f t="shared" si="56"/>
        <v>-3.7999999999996703E-2</v>
      </c>
      <c r="H746" s="3">
        <f t="shared" si="57"/>
        <v>-0.46798029556646187</v>
      </c>
      <c r="I746" s="3">
        <f t="shared" si="58"/>
        <v>3.7999999999996703E-2</v>
      </c>
      <c r="J746" s="3">
        <f t="shared" si="55"/>
        <v>108.25547445255475</v>
      </c>
      <c r="K746" s="29">
        <f t="shared" si="59"/>
        <v>4.6844939379138379</v>
      </c>
    </row>
    <row r="747" spans="1:11" x14ac:dyDescent="0.3">
      <c r="A747" s="28">
        <v>0.64884399999999998</v>
      </c>
      <c r="B747" s="3">
        <v>0.1057</v>
      </c>
      <c r="C747" s="3" t="s">
        <v>5</v>
      </c>
      <c r="D747" s="3">
        <v>-1</v>
      </c>
      <c r="E747" s="3">
        <v>99.856999999999999</v>
      </c>
      <c r="F747" s="2">
        <v>746</v>
      </c>
      <c r="G747" s="2">
        <f t="shared" si="56"/>
        <v>-1.6000000000005343E-2</v>
      </c>
      <c r="H747" s="2">
        <f t="shared" si="57"/>
        <v>-0.15137180700099662</v>
      </c>
      <c r="I747" s="2">
        <f t="shared" si="58"/>
        <v>1.6000000000005343E-2</v>
      </c>
      <c r="J747" s="2">
        <f t="shared" si="55"/>
        <v>108.25547445255475</v>
      </c>
      <c r="K747" s="27">
        <f t="shared" si="59"/>
        <v>4.6844939379138379</v>
      </c>
    </row>
    <row r="748" spans="1:11" x14ac:dyDescent="0.3">
      <c r="A748" s="26">
        <v>0.650092</v>
      </c>
      <c r="B748" s="2">
        <v>0.1081</v>
      </c>
      <c r="C748" s="2" t="s">
        <v>5</v>
      </c>
      <c r="D748" s="2">
        <v>1</v>
      </c>
      <c r="E748" s="2">
        <v>99.840999999999994</v>
      </c>
      <c r="F748" s="3">
        <v>747</v>
      </c>
      <c r="G748" s="3">
        <f t="shared" si="56"/>
        <v>0.12199999999999989</v>
      </c>
      <c r="H748" s="3">
        <f t="shared" si="57"/>
        <v>1.1285846438482876</v>
      </c>
      <c r="I748" s="3">
        <f t="shared" si="58"/>
        <v>0.12199999999999989</v>
      </c>
      <c r="J748" s="3">
        <f t="shared" si="55"/>
        <v>108.25547445255475</v>
      </c>
      <c r="K748" s="29">
        <f t="shared" si="59"/>
        <v>4.6844939379138379</v>
      </c>
    </row>
    <row r="749" spans="1:11" x14ac:dyDescent="0.3">
      <c r="A749" s="28">
        <v>0.65061999999999998</v>
      </c>
      <c r="B749" s="3">
        <v>0.1076</v>
      </c>
      <c r="C749" s="3" t="s">
        <v>5</v>
      </c>
      <c r="D749" s="3">
        <v>1</v>
      </c>
      <c r="E749" s="3">
        <v>99.962999999999994</v>
      </c>
      <c r="F749" s="2">
        <v>748</v>
      </c>
      <c r="G749" s="2">
        <f t="shared" si="56"/>
        <v>0.11800000000000921</v>
      </c>
      <c r="H749" s="2">
        <f t="shared" si="57"/>
        <v>1.0966542750930224</v>
      </c>
      <c r="I749" s="2">
        <f t="shared" si="58"/>
        <v>0.11800000000000921</v>
      </c>
      <c r="J749" s="2">
        <f t="shared" si="55"/>
        <v>108.25547445255475</v>
      </c>
      <c r="K749" s="27">
        <f t="shared" si="59"/>
        <v>4.6844939379138379</v>
      </c>
    </row>
    <row r="750" spans="1:11" x14ac:dyDescent="0.3">
      <c r="A750" s="26">
        <v>0.65139499999999995</v>
      </c>
      <c r="B750" s="2">
        <v>8.6400000000000005E-2</v>
      </c>
      <c r="C750" s="2" t="s">
        <v>5</v>
      </c>
      <c r="D750" s="2">
        <v>1</v>
      </c>
      <c r="E750" s="2">
        <v>100.081</v>
      </c>
      <c r="F750" s="2">
        <v>749</v>
      </c>
      <c r="G750" s="2">
        <f t="shared" si="56"/>
        <v>5.4000000000002046E-2</v>
      </c>
      <c r="H750" s="2">
        <f t="shared" si="57"/>
        <v>0.62500000000002365</v>
      </c>
      <c r="I750" s="2">
        <f t="shared" si="58"/>
        <v>5.4000000000002046E-2</v>
      </c>
      <c r="J750" s="2">
        <f t="shared" si="55"/>
        <v>108.25547445255475</v>
      </c>
      <c r="K750" s="27">
        <f t="shared" si="59"/>
        <v>4.6844939379138379</v>
      </c>
    </row>
    <row r="751" spans="1:11" x14ac:dyDescent="0.3">
      <c r="A751" s="28">
        <v>0.65162600000000004</v>
      </c>
      <c r="B751" s="3">
        <v>8.5800000000000001E-2</v>
      </c>
      <c r="C751" s="3">
        <v>86</v>
      </c>
      <c r="D751" s="3">
        <v>1</v>
      </c>
      <c r="E751" s="3">
        <v>100.13500000000001</v>
      </c>
      <c r="F751" s="3">
        <v>750</v>
      </c>
      <c r="G751" s="3">
        <f t="shared" si="56"/>
        <v>5.499999999999261E-2</v>
      </c>
      <c r="H751" s="3">
        <f t="shared" si="57"/>
        <v>0.64102564102555493</v>
      </c>
      <c r="I751" s="3">
        <f t="shared" si="58"/>
        <v>5.499999999999261E-2</v>
      </c>
      <c r="J751" s="3">
        <f t="shared" si="55"/>
        <v>86</v>
      </c>
      <c r="K751" s="29">
        <f t="shared" si="59"/>
        <v>4.4543472962535073</v>
      </c>
    </row>
    <row r="752" spans="1:11" x14ac:dyDescent="0.3">
      <c r="A752" s="26">
        <v>0.65177499999999999</v>
      </c>
      <c r="B752" s="2">
        <v>8.5599999999999996E-2</v>
      </c>
      <c r="C752" s="2" t="s">
        <v>5</v>
      </c>
      <c r="D752" s="2">
        <v>-1</v>
      </c>
      <c r="E752" s="2">
        <v>100.19</v>
      </c>
      <c r="F752" s="2">
        <v>751</v>
      </c>
      <c r="G752" s="2">
        <f t="shared" si="56"/>
        <v>-6.9000000000002615E-2</v>
      </c>
      <c r="H752" s="2">
        <f t="shared" si="57"/>
        <v>-0.80607476635517072</v>
      </c>
      <c r="I752" s="2">
        <f t="shared" si="58"/>
        <v>6.9000000000002615E-2</v>
      </c>
      <c r="J752" s="2">
        <f t="shared" si="55"/>
        <v>108.25547445255475</v>
      </c>
      <c r="K752" s="27">
        <f t="shared" si="59"/>
        <v>4.6844939379138379</v>
      </c>
    </row>
    <row r="753" spans="1:11" x14ac:dyDescent="0.3">
      <c r="A753" s="28">
        <v>0.651918</v>
      </c>
      <c r="B753" s="3">
        <v>0.1081</v>
      </c>
      <c r="C753" s="3" t="s">
        <v>5</v>
      </c>
      <c r="D753" s="3">
        <v>1</v>
      </c>
      <c r="E753" s="3">
        <v>100.121</v>
      </c>
      <c r="F753" s="3">
        <v>752</v>
      </c>
      <c r="G753" s="3">
        <f t="shared" si="56"/>
        <v>6.5000000000011937E-2</v>
      </c>
      <c r="H753" s="3">
        <f t="shared" si="57"/>
        <v>0.60129509713239537</v>
      </c>
      <c r="I753" s="3">
        <f t="shared" si="58"/>
        <v>6.5000000000011937E-2</v>
      </c>
      <c r="J753" s="3">
        <f t="shared" si="55"/>
        <v>108.25547445255475</v>
      </c>
      <c r="K753" s="29">
        <f t="shared" si="59"/>
        <v>4.6844939379138379</v>
      </c>
    </row>
    <row r="754" spans="1:11" x14ac:dyDescent="0.3">
      <c r="A754" s="26">
        <v>0.65210199999999996</v>
      </c>
      <c r="B754" s="2">
        <v>0.1197</v>
      </c>
      <c r="C754" s="2" t="s">
        <v>5</v>
      </c>
      <c r="D754" s="2">
        <v>-1</v>
      </c>
      <c r="E754" s="2">
        <v>100.18600000000001</v>
      </c>
      <c r="F754" s="2">
        <v>753</v>
      </c>
      <c r="G754" s="2">
        <f t="shared" si="56"/>
        <v>-0.11300000000001376</v>
      </c>
      <c r="H754" s="2">
        <f t="shared" si="57"/>
        <v>-0.94402673350053268</v>
      </c>
      <c r="I754" s="2">
        <f t="shared" si="58"/>
        <v>0.11300000000001376</v>
      </c>
      <c r="J754" s="2">
        <f t="shared" si="55"/>
        <v>108.25547445255475</v>
      </c>
      <c r="K754" s="27">
        <f t="shared" si="59"/>
        <v>4.6844939379138379</v>
      </c>
    </row>
    <row r="755" spans="1:11" x14ac:dyDescent="0.3">
      <c r="A755" s="28">
        <v>0.65267699999999995</v>
      </c>
      <c r="B755" s="3">
        <v>8.4699999999999998E-2</v>
      </c>
      <c r="C755" s="3" t="s">
        <v>5</v>
      </c>
      <c r="D755" s="3">
        <v>-1</v>
      </c>
      <c r="E755" s="3">
        <v>100.07299999999999</v>
      </c>
      <c r="F755" s="3">
        <v>754</v>
      </c>
      <c r="G755" s="3">
        <f t="shared" si="56"/>
        <v>-4.1999999999987381E-2</v>
      </c>
      <c r="H755" s="3">
        <f t="shared" si="57"/>
        <v>-0.49586776859489234</v>
      </c>
      <c r="I755" s="3">
        <f t="shared" si="58"/>
        <v>4.1999999999987381E-2</v>
      </c>
      <c r="J755" s="3">
        <f t="shared" si="55"/>
        <v>108.25547445255475</v>
      </c>
      <c r="K755" s="29">
        <f t="shared" si="59"/>
        <v>4.6844939379138379</v>
      </c>
    </row>
    <row r="756" spans="1:11" x14ac:dyDescent="0.3">
      <c r="A756" s="26">
        <v>0.652729</v>
      </c>
      <c r="B756" s="2">
        <v>0.1045</v>
      </c>
      <c r="C756" s="2" t="s">
        <v>5</v>
      </c>
      <c r="D756" s="2">
        <v>1</v>
      </c>
      <c r="E756" s="2">
        <v>100.03100000000001</v>
      </c>
      <c r="F756" s="2">
        <v>755</v>
      </c>
      <c r="G756" s="2">
        <f t="shared" si="56"/>
        <v>0.12299999999999045</v>
      </c>
      <c r="H756" s="2">
        <f t="shared" si="57"/>
        <v>1.1770334928228752</v>
      </c>
      <c r="I756" s="2">
        <f t="shared" si="58"/>
        <v>0.12299999999999045</v>
      </c>
      <c r="J756" s="2">
        <f t="shared" si="55"/>
        <v>108.25547445255475</v>
      </c>
      <c r="K756" s="27">
        <f t="shared" si="59"/>
        <v>4.6844939379138379</v>
      </c>
    </row>
    <row r="757" spans="1:11" x14ac:dyDescent="0.3">
      <c r="A757" s="28">
        <v>0.65337800000000001</v>
      </c>
      <c r="B757" s="3">
        <v>0.1011</v>
      </c>
      <c r="C757" s="3" t="s">
        <v>5</v>
      </c>
      <c r="D757" s="3">
        <v>-1</v>
      </c>
      <c r="E757" s="3">
        <v>100.154</v>
      </c>
      <c r="F757" s="3">
        <v>756</v>
      </c>
      <c r="G757" s="3">
        <f t="shared" si="56"/>
        <v>-0.11499999999999488</v>
      </c>
      <c r="H757" s="3">
        <f t="shared" si="57"/>
        <v>-1.1374876360039059</v>
      </c>
      <c r="I757" s="3">
        <f t="shared" si="58"/>
        <v>0.11499999999999488</v>
      </c>
      <c r="J757" s="3">
        <f t="shared" si="55"/>
        <v>108.25547445255475</v>
      </c>
      <c r="K757" s="29">
        <f t="shared" si="59"/>
        <v>4.6844939379138379</v>
      </c>
    </row>
    <row r="758" spans="1:11" x14ac:dyDescent="0.3">
      <c r="A758" s="26">
        <v>0.65391200000000005</v>
      </c>
      <c r="B758" s="2">
        <v>0.10829999999999999</v>
      </c>
      <c r="C758" s="2">
        <v>16</v>
      </c>
      <c r="D758" s="2">
        <v>1</v>
      </c>
      <c r="E758" s="2">
        <v>100.039</v>
      </c>
      <c r="F758" s="2">
        <v>757</v>
      </c>
      <c r="G758" s="2">
        <f t="shared" si="56"/>
        <v>2.2999999999996135E-2</v>
      </c>
      <c r="H758" s="2">
        <f t="shared" si="57"/>
        <v>0.21237303785776673</v>
      </c>
      <c r="I758" s="2">
        <f t="shared" si="58"/>
        <v>2.2999999999996135E-2</v>
      </c>
      <c r="J758" s="2">
        <f t="shared" si="55"/>
        <v>16</v>
      </c>
      <c r="K758" s="27">
        <f t="shared" si="59"/>
        <v>2.7725887222397811</v>
      </c>
    </row>
    <row r="759" spans="1:11" x14ac:dyDescent="0.3">
      <c r="A759" s="28">
        <v>0.655227</v>
      </c>
      <c r="B759" s="3">
        <v>9.4100000000000003E-2</v>
      </c>
      <c r="C759" s="3" t="s">
        <v>5</v>
      </c>
      <c r="D759" s="3">
        <v>-1</v>
      </c>
      <c r="E759" s="3">
        <v>100.062</v>
      </c>
      <c r="F759" s="3">
        <v>758</v>
      </c>
      <c r="G759" s="3">
        <f t="shared" si="56"/>
        <v>-5.4000000000002046E-2</v>
      </c>
      <c r="H759" s="3">
        <f t="shared" si="57"/>
        <v>-0.57385759829970295</v>
      </c>
      <c r="I759" s="3">
        <f t="shared" si="58"/>
        <v>5.4000000000002046E-2</v>
      </c>
      <c r="J759" s="3">
        <f t="shared" si="55"/>
        <v>108.25547445255475</v>
      </c>
      <c r="K759" s="29">
        <f t="shared" si="59"/>
        <v>4.6844939379138379</v>
      </c>
    </row>
    <row r="760" spans="1:11" x14ac:dyDescent="0.3">
      <c r="A760" s="26">
        <v>0.65649400000000002</v>
      </c>
      <c r="B760" s="2">
        <v>0.1072</v>
      </c>
      <c r="C760" s="2" t="s">
        <v>5</v>
      </c>
      <c r="D760" s="2">
        <v>-1</v>
      </c>
      <c r="E760" s="2">
        <v>100.008</v>
      </c>
      <c r="F760" s="2">
        <v>759</v>
      </c>
      <c r="G760" s="2">
        <f t="shared" si="56"/>
        <v>-5.700000000000216E-2</v>
      </c>
      <c r="H760" s="2">
        <f t="shared" si="57"/>
        <v>-0.53171641791046786</v>
      </c>
      <c r="I760" s="2">
        <f t="shared" si="58"/>
        <v>5.700000000000216E-2</v>
      </c>
      <c r="J760" s="2">
        <f t="shared" si="55"/>
        <v>108.25547445255475</v>
      </c>
      <c r="K760" s="27">
        <f t="shared" si="59"/>
        <v>4.6844939379138379</v>
      </c>
    </row>
    <row r="761" spans="1:11" x14ac:dyDescent="0.3">
      <c r="A761" s="28">
        <v>0.656775</v>
      </c>
      <c r="B761" s="3">
        <v>0.1033</v>
      </c>
      <c r="C761" s="3" t="s">
        <v>5</v>
      </c>
      <c r="D761" s="3">
        <v>1</v>
      </c>
      <c r="E761" s="3">
        <v>99.950999999999993</v>
      </c>
      <c r="F761" s="3">
        <v>760</v>
      </c>
      <c r="G761" s="3">
        <f t="shared" si="56"/>
        <v>4.0000000000006253E-2</v>
      </c>
      <c r="H761" s="3">
        <f t="shared" si="57"/>
        <v>0.3872216844143877</v>
      </c>
      <c r="I761" s="3">
        <f t="shared" si="58"/>
        <v>4.0000000000006253E-2</v>
      </c>
      <c r="J761" s="3">
        <f t="shared" si="55"/>
        <v>108.25547445255475</v>
      </c>
      <c r="K761" s="29">
        <f t="shared" si="59"/>
        <v>4.6844939379138379</v>
      </c>
    </row>
    <row r="762" spans="1:11" x14ac:dyDescent="0.3">
      <c r="A762" s="26">
        <v>0.65775099999999997</v>
      </c>
      <c r="B762" s="2">
        <v>0.1091</v>
      </c>
      <c r="C762" s="2" t="s">
        <v>5</v>
      </c>
      <c r="D762" s="2">
        <v>1</v>
      </c>
      <c r="E762" s="2">
        <v>99.991</v>
      </c>
      <c r="F762" s="2">
        <v>761</v>
      </c>
      <c r="G762" s="2">
        <f t="shared" si="56"/>
        <v>8.2999999999998408E-2</v>
      </c>
      <c r="H762" s="2">
        <f t="shared" si="57"/>
        <v>0.76076993583866548</v>
      </c>
      <c r="I762" s="2">
        <f t="shared" si="58"/>
        <v>8.2999999999998408E-2</v>
      </c>
      <c r="J762" s="2">
        <f t="shared" si="55"/>
        <v>108.25547445255475</v>
      </c>
      <c r="K762" s="27">
        <f t="shared" si="59"/>
        <v>4.6844939379138379</v>
      </c>
    </row>
    <row r="763" spans="1:11" x14ac:dyDescent="0.3">
      <c r="A763" s="28">
        <v>0.659219</v>
      </c>
      <c r="B763" s="3">
        <v>0.11849999999999999</v>
      </c>
      <c r="C763" s="3" t="s">
        <v>5</v>
      </c>
      <c r="D763" s="3">
        <v>1</v>
      </c>
      <c r="E763" s="3">
        <v>100.074</v>
      </c>
      <c r="F763" s="3">
        <v>762</v>
      </c>
      <c r="G763" s="3">
        <f t="shared" si="56"/>
        <v>0.14700000000000557</v>
      </c>
      <c r="H763" s="3">
        <f t="shared" si="57"/>
        <v>1.2405063291139711</v>
      </c>
      <c r="I763" s="3">
        <f t="shared" si="58"/>
        <v>0.14700000000000557</v>
      </c>
      <c r="J763" s="3">
        <f t="shared" si="55"/>
        <v>108.25547445255475</v>
      </c>
      <c r="K763" s="29">
        <f t="shared" si="59"/>
        <v>4.6844939379138379</v>
      </c>
    </row>
    <row r="764" spans="1:11" x14ac:dyDescent="0.3">
      <c r="A764" s="26">
        <v>0.65926099999999999</v>
      </c>
      <c r="B764" s="2">
        <v>0.1113</v>
      </c>
      <c r="C764" s="2" t="s">
        <v>5</v>
      </c>
      <c r="D764" s="2">
        <v>-1</v>
      </c>
      <c r="E764" s="2">
        <v>100.221</v>
      </c>
      <c r="F764" s="2">
        <v>763</v>
      </c>
      <c r="G764" s="2">
        <f t="shared" si="56"/>
        <v>-7.5000000000002842E-2</v>
      </c>
      <c r="H764" s="2">
        <f t="shared" si="57"/>
        <v>-0.67385444743937861</v>
      </c>
      <c r="I764" s="2">
        <f t="shared" si="58"/>
        <v>7.5000000000002842E-2</v>
      </c>
      <c r="J764" s="2">
        <f t="shared" si="55"/>
        <v>108.25547445255475</v>
      </c>
      <c r="K764" s="27">
        <f t="shared" si="59"/>
        <v>4.6844939379138379</v>
      </c>
    </row>
    <row r="765" spans="1:11" x14ac:dyDescent="0.3">
      <c r="A765" s="28">
        <v>0.660972</v>
      </c>
      <c r="B765" s="3">
        <v>0.11219999999999999</v>
      </c>
      <c r="C765" s="3">
        <v>77</v>
      </c>
      <c r="D765" s="3">
        <v>1</v>
      </c>
      <c r="E765" s="3">
        <v>100.146</v>
      </c>
      <c r="F765" s="3">
        <v>764</v>
      </c>
      <c r="G765" s="3">
        <f t="shared" si="56"/>
        <v>7.5000000000002842E-2</v>
      </c>
      <c r="H765" s="3">
        <f t="shared" si="57"/>
        <v>0.66844919786098789</v>
      </c>
      <c r="I765" s="3">
        <f t="shared" si="58"/>
        <v>7.5000000000002842E-2</v>
      </c>
      <c r="J765" s="3">
        <f t="shared" si="55"/>
        <v>77</v>
      </c>
      <c r="K765" s="29">
        <f t="shared" si="59"/>
        <v>4.3438054218536841</v>
      </c>
    </row>
    <row r="766" spans="1:11" x14ac:dyDescent="0.3">
      <c r="A766" s="26">
        <v>0.66102499999999997</v>
      </c>
      <c r="B766" s="2">
        <v>0.12089999999999999</v>
      </c>
      <c r="C766" s="2" t="s">
        <v>5</v>
      </c>
      <c r="D766" s="2">
        <v>1</v>
      </c>
      <c r="E766" s="2">
        <v>100.221</v>
      </c>
      <c r="F766" s="2">
        <v>765</v>
      </c>
      <c r="G766" s="2">
        <f t="shared" si="56"/>
        <v>9.4999999999998863E-2</v>
      </c>
      <c r="H766" s="2">
        <f t="shared" si="57"/>
        <v>0.78577336641851836</v>
      </c>
      <c r="I766" s="2">
        <f t="shared" si="58"/>
        <v>9.4999999999998863E-2</v>
      </c>
      <c r="J766" s="2">
        <f t="shared" si="55"/>
        <v>108.25547445255475</v>
      </c>
      <c r="K766" s="27">
        <f t="shared" si="59"/>
        <v>4.6844939379138379</v>
      </c>
    </row>
    <row r="767" spans="1:11" x14ac:dyDescent="0.3">
      <c r="A767" s="28">
        <v>0.66222300000000001</v>
      </c>
      <c r="B767" s="3">
        <v>9.4299999999999995E-2</v>
      </c>
      <c r="C767" s="3">
        <v>151</v>
      </c>
      <c r="D767" s="3">
        <v>-1</v>
      </c>
      <c r="E767" s="3">
        <v>100.316</v>
      </c>
      <c r="F767" s="2">
        <v>766</v>
      </c>
      <c r="G767" s="2">
        <f t="shared" si="56"/>
        <v>-8.8000000000008072E-2</v>
      </c>
      <c r="H767" s="2">
        <f t="shared" si="57"/>
        <v>-0.93319194061514399</v>
      </c>
      <c r="I767" s="2">
        <f t="shared" si="58"/>
        <v>8.8000000000008072E-2</v>
      </c>
      <c r="J767" s="2">
        <f t="shared" si="55"/>
        <v>151</v>
      </c>
      <c r="K767" s="27">
        <f t="shared" si="59"/>
        <v>5.0172798368149243</v>
      </c>
    </row>
    <row r="768" spans="1:11" x14ac:dyDescent="0.3">
      <c r="A768" s="26">
        <v>0.66278700000000002</v>
      </c>
      <c r="B768" s="2">
        <v>0.10589999999999999</v>
      </c>
      <c r="C768" s="2" t="s">
        <v>5</v>
      </c>
      <c r="D768" s="2">
        <v>-1</v>
      </c>
      <c r="E768" s="2">
        <v>100.22799999999999</v>
      </c>
      <c r="F768" s="3">
        <v>767</v>
      </c>
      <c r="G768" s="3">
        <f t="shared" si="56"/>
        <v>-0.11199999999999477</v>
      </c>
      <c r="H768" s="3">
        <f t="shared" si="57"/>
        <v>-1.0576015108592518</v>
      </c>
      <c r="I768" s="3">
        <f t="shared" si="58"/>
        <v>0.11199999999999477</v>
      </c>
      <c r="J768" s="3">
        <f t="shared" si="55"/>
        <v>108.25547445255475</v>
      </c>
      <c r="K768" s="29">
        <f t="shared" si="59"/>
        <v>4.6844939379138379</v>
      </c>
    </row>
    <row r="769" spans="1:11" x14ac:dyDescent="0.3">
      <c r="A769" s="28">
        <v>0.66333600000000004</v>
      </c>
      <c r="B769" s="3">
        <v>0.10979999999999999</v>
      </c>
      <c r="C769" s="3" t="s">
        <v>5</v>
      </c>
      <c r="D769" s="3">
        <v>1</v>
      </c>
      <c r="E769" s="3">
        <v>100.116</v>
      </c>
      <c r="F769" s="2">
        <v>768</v>
      </c>
      <c r="G769" s="2">
        <f t="shared" si="56"/>
        <v>7.6999999999998181E-2</v>
      </c>
      <c r="H769" s="2">
        <f t="shared" si="57"/>
        <v>0.70127504553732412</v>
      </c>
      <c r="I769" s="2">
        <f t="shared" si="58"/>
        <v>7.6999999999998181E-2</v>
      </c>
      <c r="J769" s="2">
        <f t="shared" si="55"/>
        <v>108.25547445255475</v>
      </c>
      <c r="K769" s="27">
        <f t="shared" si="59"/>
        <v>4.6844939379138379</v>
      </c>
    </row>
    <row r="770" spans="1:11" x14ac:dyDescent="0.3">
      <c r="A770" s="26">
        <v>0.66403500000000004</v>
      </c>
      <c r="B770" s="2">
        <v>9.8799999999999999E-2</v>
      </c>
      <c r="C770" s="2" t="s">
        <v>5</v>
      </c>
      <c r="D770" s="2">
        <v>-1</v>
      </c>
      <c r="E770" s="2">
        <v>100.193</v>
      </c>
      <c r="F770" s="3">
        <v>769</v>
      </c>
      <c r="G770" s="3">
        <f t="shared" si="56"/>
        <v>-5.2999999999997272E-2</v>
      </c>
      <c r="H770" s="3">
        <f t="shared" si="57"/>
        <v>-0.53643724696353512</v>
      </c>
      <c r="I770" s="3">
        <f t="shared" si="58"/>
        <v>5.2999999999997272E-2</v>
      </c>
      <c r="J770" s="3">
        <f t="shared" ref="J770:J833" si="60">IF(C770="",$AA$1,C770)</f>
        <v>108.25547445255475</v>
      </c>
      <c r="K770" s="29">
        <f t="shared" si="59"/>
        <v>4.6844939379138379</v>
      </c>
    </row>
    <row r="771" spans="1:11" x14ac:dyDescent="0.3">
      <c r="A771" s="28">
        <v>0.66487300000000005</v>
      </c>
      <c r="B771" s="3">
        <v>9.8500000000000004E-2</v>
      </c>
      <c r="C771" s="3" t="s">
        <v>5</v>
      </c>
      <c r="D771" s="3">
        <v>-1</v>
      </c>
      <c r="E771" s="3">
        <v>100.14</v>
      </c>
      <c r="F771" s="2">
        <v>770</v>
      </c>
      <c r="G771" s="2">
        <f t="shared" ref="G771:G834" si="61">E772-E771</f>
        <v>-1.6000000000005343E-2</v>
      </c>
      <c r="H771" s="2">
        <f t="shared" ref="H771:H834" si="62">IF(B771&lt;&gt;0,G771/B771,"")</f>
        <v>-0.1624365482234045</v>
      </c>
      <c r="I771" s="2">
        <f t="shared" ref="I771:I834" si="63">D771*G771</f>
        <v>1.6000000000005343E-2</v>
      </c>
      <c r="J771" s="2">
        <f t="shared" si="60"/>
        <v>108.25547445255475</v>
      </c>
      <c r="K771" s="27">
        <f t="shared" ref="K771:K834" si="64">LN(J771)</f>
        <v>4.6844939379138379</v>
      </c>
    </row>
    <row r="772" spans="1:11" x14ac:dyDescent="0.3">
      <c r="A772" s="26">
        <v>0.66866300000000001</v>
      </c>
      <c r="B772" s="2">
        <v>0.1041</v>
      </c>
      <c r="C772" s="2" t="s">
        <v>5</v>
      </c>
      <c r="D772" s="2">
        <v>-1</v>
      </c>
      <c r="E772" s="2">
        <v>100.124</v>
      </c>
      <c r="F772" s="3">
        <v>771</v>
      </c>
      <c r="G772" s="3">
        <f t="shared" si="61"/>
        <v>-7.5999999999993406E-2</v>
      </c>
      <c r="H772" s="3">
        <f t="shared" si="62"/>
        <v>-0.73006724303547943</v>
      </c>
      <c r="I772" s="3">
        <f t="shared" si="63"/>
        <v>7.5999999999993406E-2</v>
      </c>
      <c r="J772" s="3">
        <f t="shared" si="60"/>
        <v>108.25547445255475</v>
      </c>
      <c r="K772" s="29">
        <f t="shared" si="64"/>
        <v>4.6844939379138379</v>
      </c>
    </row>
    <row r="773" spans="1:11" x14ac:dyDescent="0.3">
      <c r="A773" s="28">
        <v>0.66906200000000005</v>
      </c>
      <c r="B773" s="3">
        <v>9.1899999999999996E-2</v>
      </c>
      <c r="C773" s="3" t="s">
        <v>5</v>
      </c>
      <c r="D773" s="3">
        <v>-1</v>
      </c>
      <c r="E773" s="3">
        <v>100.048</v>
      </c>
      <c r="F773" s="2">
        <v>772</v>
      </c>
      <c r="G773" s="2">
        <f t="shared" si="61"/>
        <v>-8.2999999999998408E-2</v>
      </c>
      <c r="H773" s="2">
        <f t="shared" si="62"/>
        <v>-0.90315560391728411</v>
      </c>
      <c r="I773" s="2">
        <f t="shared" si="63"/>
        <v>8.2999999999998408E-2</v>
      </c>
      <c r="J773" s="2">
        <f t="shared" si="60"/>
        <v>108.25547445255475</v>
      </c>
      <c r="K773" s="27">
        <f t="shared" si="64"/>
        <v>4.6844939379138379</v>
      </c>
    </row>
    <row r="774" spans="1:11" x14ac:dyDescent="0.3">
      <c r="A774" s="26">
        <v>0.669408</v>
      </c>
      <c r="B774" s="2">
        <v>0.10100000000000001</v>
      </c>
      <c r="C774" s="2" t="s">
        <v>5</v>
      </c>
      <c r="D774" s="2">
        <v>-1</v>
      </c>
      <c r="E774" s="2">
        <v>99.965000000000003</v>
      </c>
      <c r="F774" s="3">
        <v>773</v>
      </c>
      <c r="G774" s="3">
        <f t="shared" si="61"/>
        <v>-2.4000000000000909E-2</v>
      </c>
      <c r="H774" s="3">
        <f t="shared" si="62"/>
        <v>-0.23762376237624661</v>
      </c>
      <c r="I774" s="3">
        <f t="shared" si="63"/>
        <v>2.4000000000000909E-2</v>
      </c>
      <c r="J774" s="3">
        <f t="shared" si="60"/>
        <v>108.25547445255475</v>
      </c>
      <c r="K774" s="29">
        <f t="shared" si="64"/>
        <v>4.6844939379138379</v>
      </c>
    </row>
    <row r="775" spans="1:11" x14ac:dyDescent="0.3">
      <c r="A775" s="28">
        <v>0.67428699999999997</v>
      </c>
      <c r="B775" s="3">
        <v>0.1067</v>
      </c>
      <c r="C775" s="3" t="s">
        <v>5</v>
      </c>
      <c r="D775" s="3">
        <v>-1</v>
      </c>
      <c r="E775" s="3">
        <v>99.941000000000003</v>
      </c>
      <c r="F775" s="2">
        <v>774</v>
      </c>
      <c r="G775" s="2">
        <f t="shared" si="61"/>
        <v>-2.5000000000005684E-2</v>
      </c>
      <c r="H775" s="2">
        <f t="shared" si="62"/>
        <v>-0.23430178069358654</v>
      </c>
      <c r="I775" s="2">
        <f t="shared" si="63"/>
        <v>2.5000000000005684E-2</v>
      </c>
      <c r="J775" s="2">
        <f t="shared" si="60"/>
        <v>108.25547445255475</v>
      </c>
      <c r="K775" s="27">
        <f t="shared" si="64"/>
        <v>4.6844939379138379</v>
      </c>
    </row>
    <row r="776" spans="1:11" x14ac:dyDescent="0.3">
      <c r="A776" s="26">
        <v>0.67643799999999998</v>
      </c>
      <c r="B776" s="2">
        <v>9.9000000000000005E-2</v>
      </c>
      <c r="C776" s="2" t="s">
        <v>5</v>
      </c>
      <c r="D776" s="2">
        <v>-1</v>
      </c>
      <c r="E776" s="2">
        <v>99.915999999999997</v>
      </c>
      <c r="F776" s="3">
        <v>775</v>
      </c>
      <c r="G776" s="3">
        <f t="shared" si="61"/>
        <v>-0.13400000000000034</v>
      </c>
      <c r="H776" s="3">
        <f t="shared" si="62"/>
        <v>-1.3535353535353569</v>
      </c>
      <c r="I776" s="3">
        <f t="shared" si="63"/>
        <v>0.13400000000000034</v>
      </c>
      <c r="J776" s="3">
        <f t="shared" si="60"/>
        <v>108.25547445255475</v>
      </c>
      <c r="K776" s="29">
        <f t="shared" si="64"/>
        <v>4.6844939379138379</v>
      </c>
    </row>
    <row r="777" spans="1:11" x14ac:dyDescent="0.3">
      <c r="A777" s="28">
        <v>0.67661499999999997</v>
      </c>
      <c r="B777" s="3">
        <v>9.8799999999999999E-2</v>
      </c>
      <c r="C777" s="3" t="s">
        <v>5</v>
      </c>
      <c r="D777" s="3">
        <v>1</v>
      </c>
      <c r="E777" s="3">
        <v>99.781999999999996</v>
      </c>
      <c r="F777" s="2">
        <v>776</v>
      </c>
      <c r="G777" s="2">
        <f t="shared" si="61"/>
        <v>7.2000000000002728E-2</v>
      </c>
      <c r="H777" s="2">
        <f t="shared" si="62"/>
        <v>0.7287449392712827</v>
      </c>
      <c r="I777" s="2">
        <f t="shared" si="63"/>
        <v>7.2000000000002728E-2</v>
      </c>
      <c r="J777" s="2">
        <f t="shared" si="60"/>
        <v>108.25547445255475</v>
      </c>
      <c r="K777" s="27">
        <f t="shared" si="64"/>
        <v>4.6844939379138379</v>
      </c>
    </row>
    <row r="778" spans="1:11" x14ac:dyDescent="0.3">
      <c r="A778" s="26">
        <v>0.68132599999999999</v>
      </c>
      <c r="B778" s="2">
        <v>0.11509999999999999</v>
      </c>
      <c r="C778" s="2">
        <v>160</v>
      </c>
      <c r="D778" s="2">
        <v>1</v>
      </c>
      <c r="E778" s="2">
        <v>99.853999999999999</v>
      </c>
      <c r="F778" s="3">
        <v>777</v>
      </c>
      <c r="G778" s="3">
        <f t="shared" si="61"/>
        <v>9.7999999999998977E-2</v>
      </c>
      <c r="H778" s="3">
        <f t="shared" si="62"/>
        <v>0.85143353605559502</v>
      </c>
      <c r="I778" s="3">
        <f t="shared" si="63"/>
        <v>9.7999999999998977E-2</v>
      </c>
      <c r="J778" s="3">
        <f t="shared" si="60"/>
        <v>160</v>
      </c>
      <c r="K778" s="29">
        <f t="shared" si="64"/>
        <v>5.0751738152338266</v>
      </c>
    </row>
    <row r="779" spans="1:11" x14ac:dyDescent="0.3">
      <c r="A779" s="28">
        <v>0.68574999999999997</v>
      </c>
      <c r="B779" s="3">
        <v>0.1007</v>
      </c>
      <c r="C779" s="3" t="s">
        <v>5</v>
      </c>
      <c r="D779" s="3">
        <v>1</v>
      </c>
      <c r="E779" s="3">
        <v>99.951999999999998</v>
      </c>
      <c r="F779" s="2">
        <v>778</v>
      </c>
      <c r="G779" s="2">
        <f t="shared" si="61"/>
        <v>2.5999999999996248E-2</v>
      </c>
      <c r="H779" s="2">
        <f t="shared" si="62"/>
        <v>0.25819265143988329</v>
      </c>
      <c r="I779" s="2">
        <f t="shared" si="63"/>
        <v>2.5999999999996248E-2</v>
      </c>
      <c r="J779" s="2">
        <f t="shared" si="60"/>
        <v>108.25547445255475</v>
      </c>
      <c r="K779" s="27">
        <f t="shared" si="64"/>
        <v>4.6844939379138379</v>
      </c>
    </row>
    <row r="780" spans="1:11" x14ac:dyDescent="0.3">
      <c r="A780" s="26">
        <v>0.68751300000000004</v>
      </c>
      <c r="B780" s="2">
        <v>9.1399999999999995E-2</v>
      </c>
      <c r="C780" s="2" t="s">
        <v>5</v>
      </c>
      <c r="D780" s="2">
        <v>-1</v>
      </c>
      <c r="E780" s="2">
        <v>99.977999999999994</v>
      </c>
      <c r="F780" s="3">
        <v>779</v>
      </c>
      <c r="G780" s="3">
        <f t="shared" si="61"/>
        <v>-9.9999999999909051E-3</v>
      </c>
      <c r="H780" s="3">
        <f t="shared" si="62"/>
        <v>-0.10940919037189174</v>
      </c>
      <c r="I780" s="3">
        <f t="shared" si="63"/>
        <v>9.9999999999909051E-3</v>
      </c>
      <c r="J780" s="3">
        <f t="shared" si="60"/>
        <v>108.25547445255475</v>
      </c>
      <c r="K780" s="29">
        <f t="shared" si="64"/>
        <v>4.6844939379138379</v>
      </c>
    </row>
    <row r="781" spans="1:11" x14ac:dyDescent="0.3">
      <c r="A781" s="28">
        <v>0.68872</v>
      </c>
      <c r="B781" s="3">
        <v>0.1055</v>
      </c>
      <c r="C781" s="3" t="s">
        <v>5</v>
      </c>
      <c r="D781" s="3">
        <v>1</v>
      </c>
      <c r="E781" s="3">
        <v>99.968000000000004</v>
      </c>
      <c r="F781" s="2">
        <v>780</v>
      </c>
      <c r="G781" s="2">
        <f t="shared" si="61"/>
        <v>1.9999999999996021E-2</v>
      </c>
      <c r="H781" s="2">
        <f t="shared" si="62"/>
        <v>0.18957345971560211</v>
      </c>
      <c r="I781" s="2">
        <f t="shared" si="63"/>
        <v>1.9999999999996021E-2</v>
      </c>
      <c r="J781" s="2">
        <f t="shared" si="60"/>
        <v>108.25547445255475</v>
      </c>
      <c r="K781" s="27">
        <f t="shared" si="64"/>
        <v>4.6844939379138379</v>
      </c>
    </row>
    <row r="782" spans="1:11" x14ac:dyDescent="0.3">
      <c r="A782" s="26">
        <v>0.69149799999999995</v>
      </c>
      <c r="B782" s="2">
        <v>0.1032</v>
      </c>
      <c r="C782" s="2" t="s">
        <v>5</v>
      </c>
      <c r="D782" s="2">
        <v>1</v>
      </c>
      <c r="E782" s="2">
        <v>99.988</v>
      </c>
      <c r="F782" s="3">
        <v>781</v>
      </c>
      <c r="G782" s="3">
        <f t="shared" si="61"/>
        <v>7.899999999999352E-2</v>
      </c>
      <c r="H782" s="3">
        <f t="shared" si="62"/>
        <v>0.76550387596892944</v>
      </c>
      <c r="I782" s="3">
        <f t="shared" si="63"/>
        <v>7.899999999999352E-2</v>
      </c>
      <c r="J782" s="3">
        <f t="shared" si="60"/>
        <v>108.25547445255475</v>
      </c>
      <c r="K782" s="29">
        <f t="shared" si="64"/>
        <v>4.6844939379138379</v>
      </c>
    </row>
    <row r="783" spans="1:11" x14ac:dyDescent="0.3">
      <c r="A783" s="28">
        <v>0.69210300000000002</v>
      </c>
      <c r="B783" s="3">
        <v>8.6900000000000005E-2</v>
      </c>
      <c r="C783" s="3" t="s">
        <v>5</v>
      </c>
      <c r="D783" s="3">
        <v>1</v>
      </c>
      <c r="E783" s="3">
        <v>100.06699999999999</v>
      </c>
      <c r="F783" s="2">
        <v>782</v>
      </c>
      <c r="G783" s="2">
        <f t="shared" si="61"/>
        <v>1.5000000000000568E-2</v>
      </c>
      <c r="H783" s="2">
        <f t="shared" si="62"/>
        <v>0.17261219792866014</v>
      </c>
      <c r="I783" s="2">
        <f t="shared" si="63"/>
        <v>1.5000000000000568E-2</v>
      </c>
      <c r="J783" s="2">
        <f t="shared" si="60"/>
        <v>108.25547445255475</v>
      </c>
      <c r="K783" s="27">
        <f t="shared" si="64"/>
        <v>4.6844939379138379</v>
      </c>
    </row>
    <row r="784" spans="1:11" x14ac:dyDescent="0.3">
      <c r="A784" s="26">
        <v>0.69508199999999998</v>
      </c>
      <c r="B784" s="2">
        <v>0.1096</v>
      </c>
      <c r="C784" s="2" t="s">
        <v>5</v>
      </c>
      <c r="D784" s="2">
        <v>-1</v>
      </c>
      <c r="E784" s="2">
        <v>100.08199999999999</v>
      </c>
      <c r="F784" s="2">
        <v>783</v>
      </c>
      <c r="G784" s="2">
        <f t="shared" si="61"/>
        <v>-7.9999999999998295E-2</v>
      </c>
      <c r="H784" s="2">
        <f t="shared" si="62"/>
        <v>-0.72992700729925453</v>
      </c>
      <c r="I784" s="2">
        <f t="shared" si="63"/>
        <v>7.9999999999998295E-2</v>
      </c>
      <c r="J784" s="2">
        <f t="shared" si="60"/>
        <v>108.25547445255475</v>
      </c>
      <c r="K784" s="27">
        <f t="shared" si="64"/>
        <v>4.6844939379138379</v>
      </c>
    </row>
    <row r="785" spans="1:11" x14ac:dyDescent="0.3">
      <c r="A785" s="28">
        <v>0.69632000000000005</v>
      </c>
      <c r="B785" s="3">
        <v>0.10580000000000001</v>
      </c>
      <c r="C785" s="3" t="s">
        <v>5</v>
      </c>
      <c r="D785" s="3">
        <v>-1</v>
      </c>
      <c r="E785" s="3">
        <v>100.002</v>
      </c>
      <c r="F785" s="3">
        <v>784</v>
      </c>
      <c r="G785" s="3">
        <f t="shared" si="61"/>
        <v>-0.13100000000000023</v>
      </c>
      <c r="H785" s="3">
        <f t="shared" si="62"/>
        <v>-1.2381852551984898</v>
      </c>
      <c r="I785" s="3">
        <f t="shared" si="63"/>
        <v>0.13100000000000023</v>
      </c>
      <c r="J785" s="3">
        <f t="shared" si="60"/>
        <v>108.25547445255475</v>
      </c>
      <c r="K785" s="29">
        <f t="shared" si="64"/>
        <v>4.6844939379138379</v>
      </c>
    </row>
    <row r="786" spans="1:11" x14ac:dyDescent="0.3">
      <c r="A786" s="26">
        <v>0.69643200000000005</v>
      </c>
      <c r="B786" s="2">
        <v>9.8299999999999998E-2</v>
      </c>
      <c r="C786" s="2">
        <v>60</v>
      </c>
      <c r="D786" s="2">
        <v>1</v>
      </c>
      <c r="E786" s="2">
        <v>99.870999999999995</v>
      </c>
      <c r="F786" s="2">
        <v>785</v>
      </c>
      <c r="G786" s="2">
        <f t="shared" si="61"/>
        <v>6.1000000000007049E-2</v>
      </c>
      <c r="H786" s="2">
        <f t="shared" si="62"/>
        <v>0.620549338758973</v>
      </c>
      <c r="I786" s="2">
        <f t="shared" si="63"/>
        <v>6.1000000000007049E-2</v>
      </c>
      <c r="J786" s="2">
        <f t="shared" si="60"/>
        <v>60</v>
      </c>
      <c r="K786" s="27">
        <f t="shared" si="64"/>
        <v>4.0943445622221004</v>
      </c>
    </row>
    <row r="787" spans="1:11" x14ac:dyDescent="0.3">
      <c r="A787" s="28">
        <v>0.69692100000000001</v>
      </c>
      <c r="B787" s="3">
        <v>0.105</v>
      </c>
      <c r="C787" s="3" t="s">
        <v>5</v>
      </c>
      <c r="D787" s="3">
        <v>-1</v>
      </c>
      <c r="E787" s="3">
        <v>99.932000000000002</v>
      </c>
      <c r="F787" s="3">
        <v>786</v>
      </c>
      <c r="G787" s="3">
        <f t="shared" si="61"/>
        <v>-7.000000000000739E-2</v>
      </c>
      <c r="H787" s="3">
        <f t="shared" si="62"/>
        <v>-0.66666666666673702</v>
      </c>
      <c r="I787" s="3">
        <f t="shared" si="63"/>
        <v>7.000000000000739E-2</v>
      </c>
      <c r="J787" s="3">
        <f t="shared" si="60"/>
        <v>108.25547445255475</v>
      </c>
      <c r="K787" s="29">
        <f t="shared" si="64"/>
        <v>4.6844939379138379</v>
      </c>
    </row>
    <row r="788" spans="1:11" x14ac:dyDescent="0.3">
      <c r="A788" s="26">
        <v>0.69699599999999995</v>
      </c>
      <c r="B788" s="2">
        <v>8.4500000000000006E-2</v>
      </c>
      <c r="C788" s="2" t="s">
        <v>5</v>
      </c>
      <c r="D788" s="2">
        <v>1</v>
      </c>
      <c r="E788" s="2">
        <v>99.861999999999995</v>
      </c>
      <c r="F788" s="2">
        <v>787</v>
      </c>
      <c r="G788" s="2">
        <f t="shared" si="61"/>
        <v>2.8000000000005798E-2</v>
      </c>
      <c r="H788" s="2">
        <f t="shared" si="62"/>
        <v>0.33136094674563071</v>
      </c>
      <c r="I788" s="2">
        <f t="shared" si="63"/>
        <v>2.8000000000005798E-2</v>
      </c>
      <c r="J788" s="2">
        <f t="shared" si="60"/>
        <v>108.25547445255475</v>
      </c>
      <c r="K788" s="27">
        <f t="shared" si="64"/>
        <v>4.6844939379138379</v>
      </c>
    </row>
    <row r="789" spans="1:11" x14ac:dyDescent="0.3">
      <c r="A789" s="28">
        <v>0.69788899999999998</v>
      </c>
      <c r="B789" s="3">
        <v>9.6799999999999997E-2</v>
      </c>
      <c r="C789" s="3" t="s">
        <v>5</v>
      </c>
      <c r="D789" s="3">
        <v>-1</v>
      </c>
      <c r="E789" s="3">
        <v>99.89</v>
      </c>
      <c r="F789" s="3">
        <v>788</v>
      </c>
      <c r="G789" s="3">
        <f t="shared" si="61"/>
        <v>7.0000000000050022E-3</v>
      </c>
      <c r="H789" s="3">
        <f t="shared" si="62"/>
        <v>7.2314049586828535E-2</v>
      </c>
      <c r="I789" s="3">
        <f t="shared" si="63"/>
        <v>-7.0000000000050022E-3</v>
      </c>
      <c r="J789" s="3">
        <f t="shared" si="60"/>
        <v>108.25547445255475</v>
      </c>
      <c r="K789" s="29">
        <f t="shared" si="64"/>
        <v>4.6844939379138379</v>
      </c>
    </row>
    <row r="790" spans="1:11" x14ac:dyDescent="0.3">
      <c r="A790" s="26">
        <v>0.70108899999999996</v>
      </c>
      <c r="B790" s="2">
        <v>8.8499999999999995E-2</v>
      </c>
      <c r="C790" s="2" t="s">
        <v>5</v>
      </c>
      <c r="D790" s="2">
        <v>-1</v>
      </c>
      <c r="E790" s="2">
        <v>99.897000000000006</v>
      </c>
      <c r="F790" s="2">
        <v>789</v>
      </c>
      <c r="G790" s="2">
        <f t="shared" si="61"/>
        <v>-7.1000000000012164E-2</v>
      </c>
      <c r="H790" s="2">
        <f t="shared" si="62"/>
        <v>-0.80225988700578721</v>
      </c>
      <c r="I790" s="2">
        <f t="shared" si="63"/>
        <v>7.1000000000012164E-2</v>
      </c>
      <c r="J790" s="2">
        <f t="shared" si="60"/>
        <v>108.25547445255475</v>
      </c>
      <c r="K790" s="27">
        <f t="shared" si="64"/>
        <v>4.6844939379138379</v>
      </c>
    </row>
    <row r="791" spans="1:11" x14ac:dyDescent="0.3">
      <c r="A791" s="28">
        <v>0.70448999999999995</v>
      </c>
      <c r="B791" s="3">
        <v>9.4500000000000001E-2</v>
      </c>
      <c r="C791" s="3">
        <v>194</v>
      </c>
      <c r="D791" s="3">
        <v>1</v>
      </c>
      <c r="E791" s="3">
        <v>99.825999999999993</v>
      </c>
      <c r="F791" s="3">
        <v>790</v>
      </c>
      <c r="G791" s="3">
        <f t="shared" si="61"/>
        <v>9.7000000000008413E-2</v>
      </c>
      <c r="H791" s="3">
        <f t="shared" si="62"/>
        <v>1.0264550264551155</v>
      </c>
      <c r="I791" s="3">
        <f t="shared" si="63"/>
        <v>9.7000000000008413E-2</v>
      </c>
      <c r="J791" s="3">
        <f t="shared" si="60"/>
        <v>194</v>
      </c>
      <c r="K791" s="29">
        <f t="shared" si="64"/>
        <v>5.2678581590633282</v>
      </c>
    </row>
    <row r="792" spans="1:11" x14ac:dyDescent="0.3">
      <c r="A792" s="26">
        <v>0.70524100000000001</v>
      </c>
      <c r="B792" s="2">
        <v>0.1118</v>
      </c>
      <c r="C792" s="2" t="s">
        <v>5</v>
      </c>
      <c r="D792" s="2">
        <v>1</v>
      </c>
      <c r="E792" s="2">
        <v>99.923000000000002</v>
      </c>
      <c r="F792" s="2">
        <v>791</v>
      </c>
      <c r="G792" s="2">
        <f t="shared" si="61"/>
        <v>4.6999999999997044E-2</v>
      </c>
      <c r="H792" s="2">
        <f t="shared" si="62"/>
        <v>0.4203935599284172</v>
      </c>
      <c r="I792" s="2">
        <f t="shared" si="63"/>
        <v>4.6999999999997044E-2</v>
      </c>
      <c r="J792" s="2">
        <f t="shared" si="60"/>
        <v>108.25547445255475</v>
      </c>
      <c r="K792" s="27">
        <f t="shared" si="64"/>
        <v>4.6844939379138379</v>
      </c>
    </row>
    <row r="793" spans="1:11" x14ac:dyDescent="0.3">
      <c r="A793" s="28">
        <v>0.70569700000000002</v>
      </c>
      <c r="B793" s="3">
        <v>0.1062</v>
      </c>
      <c r="C793" s="3" t="s">
        <v>5</v>
      </c>
      <c r="D793" s="3">
        <v>-1</v>
      </c>
      <c r="E793" s="3">
        <v>99.97</v>
      </c>
      <c r="F793" s="3">
        <v>792</v>
      </c>
      <c r="G793" s="3">
        <f t="shared" si="61"/>
        <v>-5.7999999999992724E-2</v>
      </c>
      <c r="H793" s="3">
        <f t="shared" si="62"/>
        <v>-0.54613935969861316</v>
      </c>
      <c r="I793" s="3">
        <f t="shared" si="63"/>
        <v>5.7999999999992724E-2</v>
      </c>
      <c r="J793" s="3">
        <f t="shared" si="60"/>
        <v>108.25547445255475</v>
      </c>
      <c r="K793" s="29">
        <f t="shared" si="64"/>
        <v>4.6844939379138379</v>
      </c>
    </row>
    <row r="794" spans="1:11" x14ac:dyDescent="0.3">
      <c r="A794" s="26">
        <v>0.70746699999999996</v>
      </c>
      <c r="B794" s="2">
        <v>9.3899999999999997E-2</v>
      </c>
      <c r="C794" s="2">
        <v>164</v>
      </c>
      <c r="D794" s="2">
        <v>1</v>
      </c>
      <c r="E794" s="2">
        <v>99.912000000000006</v>
      </c>
      <c r="F794" s="2">
        <v>793</v>
      </c>
      <c r="G794" s="2">
        <f t="shared" si="61"/>
        <v>8.2999999999998408E-2</v>
      </c>
      <c r="H794" s="2">
        <f t="shared" si="62"/>
        <v>0.88391906283278388</v>
      </c>
      <c r="I794" s="2">
        <f t="shared" si="63"/>
        <v>8.2999999999998408E-2</v>
      </c>
      <c r="J794" s="2">
        <f t="shared" si="60"/>
        <v>164</v>
      </c>
      <c r="K794" s="27">
        <f t="shared" si="64"/>
        <v>5.0998664278241987</v>
      </c>
    </row>
    <row r="795" spans="1:11" x14ac:dyDescent="0.3">
      <c r="A795" s="28">
        <v>0.70885900000000002</v>
      </c>
      <c r="B795" s="3">
        <v>0.1062</v>
      </c>
      <c r="C795" s="3" t="s">
        <v>5</v>
      </c>
      <c r="D795" s="3">
        <v>-1</v>
      </c>
      <c r="E795" s="3">
        <v>99.995000000000005</v>
      </c>
      <c r="F795" s="3">
        <v>794</v>
      </c>
      <c r="G795" s="3">
        <f t="shared" si="61"/>
        <v>-5.700000000000216E-2</v>
      </c>
      <c r="H795" s="3">
        <f t="shared" si="62"/>
        <v>-0.53672316384182828</v>
      </c>
      <c r="I795" s="3">
        <f t="shared" si="63"/>
        <v>5.700000000000216E-2</v>
      </c>
      <c r="J795" s="3">
        <f t="shared" si="60"/>
        <v>108.25547445255475</v>
      </c>
      <c r="K795" s="29">
        <f t="shared" si="64"/>
        <v>4.6844939379138379</v>
      </c>
    </row>
    <row r="796" spans="1:11" x14ac:dyDescent="0.3">
      <c r="A796" s="26">
        <v>0.71210300000000004</v>
      </c>
      <c r="B796" s="2">
        <v>0.1101</v>
      </c>
      <c r="C796" s="2" t="s">
        <v>5</v>
      </c>
      <c r="D796" s="2">
        <v>-1</v>
      </c>
      <c r="E796" s="2">
        <v>99.938000000000002</v>
      </c>
      <c r="F796" s="2">
        <v>795</v>
      </c>
      <c r="G796" s="2">
        <f t="shared" si="61"/>
        <v>-4.9999999999954525E-3</v>
      </c>
      <c r="H796" s="2">
        <f t="shared" si="62"/>
        <v>-4.5413260672074955E-2</v>
      </c>
      <c r="I796" s="2">
        <f t="shared" si="63"/>
        <v>4.9999999999954525E-3</v>
      </c>
      <c r="J796" s="2">
        <f t="shared" si="60"/>
        <v>108.25547445255475</v>
      </c>
      <c r="K796" s="27">
        <f t="shared" si="64"/>
        <v>4.6844939379138379</v>
      </c>
    </row>
    <row r="797" spans="1:11" x14ac:dyDescent="0.3">
      <c r="A797" s="28">
        <v>0.71245599999999998</v>
      </c>
      <c r="B797" s="3">
        <v>0.10340000000000001</v>
      </c>
      <c r="C797" s="3" t="s">
        <v>5</v>
      </c>
      <c r="D797" s="3">
        <v>1</v>
      </c>
      <c r="E797" s="3">
        <v>99.933000000000007</v>
      </c>
      <c r="F797" s="3">
        <v>796</v>
      </c>
      <c r="G797" s="3">
        <f t="shared" si="61"/>
        <v>6.8999999999988404E-2</v>
      </c>
      <c r="H797" s="3">
        <f t="shared" si="62"/>
        <v>0.66731141199215083</v>
      </c>
      <c r="I797" s="3">
        <f t="shared" si="63"/>
        <v>6.8999999999988404E-2</v>
      </c>
      <c r="J797" s="3">
        <f t="shared" si="60"/>
        <v>108.25547445255475</v>
      </c>
      <c r="K797" s="29">
        <f t="shared" si="64"/>
        <v>4.6844939379138379</v>
      </c>
    </row>
    <row r="798" spans="1:11" x14ac:dyDescent="0.3">
      <c r="A798" s="26">
        <v>0.71343299999999998</v>
      </c>
      <c r="B798" s="2">
        <v>9.6699999999999994E-2</v>
      </c>
      <c r="C798" s="2" t="s">
        <v>5</v>
      </c>
      <c r="D798" s="2">
        <v>-1</v>
      </c>
      <c r="E798" s="2">
        <v>100.002</v>
      </c>
      <c r="F798" s="2">
        <v>797</v>
      </c>
      <c r="G798" s="2">
        <f t="shared" si="61"/>
        <v>-6.599999999998829E-2</v>
      </c>
      <c r="H798" s="2">
        <f t="shared" si="62"/>
        <v>-0.68252326783855521</v>
      </c>
      <c r="I798" s="2">
        <f t="shared" si="63"/>
        <v>6.599999999998829E-2</v>
      </c>
      <c r="J798" s="2">
        <f t="shared" si="60"/>
        <v>108.25547445255475</v>
      </c>
      <c r="K798" s="27">
        <f t="shared" si="64"/>
        <v>4.6844939379138379</v>
      </c>
    </row>
    <row r="799" spans="1:11" x14ac:dyDescent="0.3">
      <c r="A799" s="28">
        <v>0.713951</v>
      </c>
      <c r="B799" s="3">
        <v>9.74E-2</v>
      </c>
      <c r="C799" s="3" t="s">
        <v>5</v>
      </c>
      <c r="D799" s="3">
        <v>-1</v>
      </c>
      <c r="E799" s="3">
        <v>99.936000000000007</v>
      </c>
      <c r="F799" s="3">
        <v>798</v>
      </c>
      <c r="G799" s="3">
        <f t="shared" si="61"/>
        <v>-1.1000000000009891E-2</v>
      </c>
      <c r="H799" s="3">
        <f t="shared" si="62"/>
        <v>-0.11293634496930073</v>
      </c>
      <c r="I799" s="3">
        <f t="shared" si="63"/>
        <v>1.1000000000009891E-2</v>
      </c>
      <c r="J799" s="3">
        <f t="shared" si="60"/>
        <v>108.25547445255475</v>
      </c>
      <c r="K799" s="29">
        <f t="shared" si="64"/>
        <v>4.6844939379138379</v>
      </c>
    </row>
    <row r="800" spans="1:11" x14ac:dyDescent="0.3">
      <c r="A800" s="26">
        <v>0.71477800000000002</v>
      </c>
      <c r="B800" s="2">
        <v>9.2600000000000002E-2</v>
      </c>
      <c r="C800" s="2" t="s">
        <v>5</v>
      </c>
      <c r="D800" s="2">
        <v>-1</v>
      </c>
      <c r="E800" s="2">
        <v>99.924999999999997</v>
      </c>
      <c r="F800" s="2">
        <v>799</v>
      </c>
      <c r="G800" s="2">
        <f t="shared" si="61"/>
        <v>-4.8000000000001819E-2</v>
      </c>
      <c r="H800" s="2">
        <f t="shared" si="62"/>
        <v>-0.51835853131751419</v>
      </c>
      <c r="I800" s="2">
        <f t="shared" si="63"/>
        <v>4.8000000000001819E-2</v>
      </c>
      <c r="J800" s="2">
        <f t="shared" si="60"/>
        <v>108.25547445255475</v>
      </c>
      <c r="K800" s="27">
        <f t="shared" si="64"/>
        <v>4.6844939379138379</v>
      </c>
    </row>
    <row r="801" spans="1:11" x14ac:dyDescent="0.3">
      <c r="A801" s="28">
        <v>0.71589700000000001</v>
      </c>
      <c r="B801" s="3">
        <v>0.1023</v>
      </c>
      <c r="C801" s="3" t="s">
        <v>5</v>
      </c>
      <c r="D801" s="3">
        <v>-1</v>
      </c>
      <c r="E801" s="3">
        <v>99.876999999999995</v>
      </c>
      <c r="F801" s="2">
        <v>800</v>
      </c>
      <c r="G801" s="2">
        <f t="shared" si="61"/>
        <v>-2.4000000000000909E-2</v>
      </c>
      <c r="H801" s="2">
        <f t="shared" si="62"/>
        <v>-0.2346041055718564</v>
      </c>
      <c r="I801" s="2">
        <f t="shared" si="63"/>
        <v>2.4000000000000909E-2</v>
      </c>
      <c r="J801" s="2">
        <f t="shared" si="60"/>
        <v>108.25547445255475</v>
      </c>
      <c r="K801" s="27">
        <f t="shared" si="64"/>
        <v>4.6844939379138379</v>
      </c>
    </row>
    <row r="802" spans="1:11" x14ac:dyDescent="0.3">
      <c r="A802" s="26">
        <v>0.71788799999999997</v>
      </c>
      <c r="B802" s="2">
        <v>0.11260000000000001</v>
      </c>
      <c r="C802" s="2" t="s">
        <v>5</v>
      </c>
      <c r="D802" s="2">
        <v>1</v>
      </c>
      <c r="E802" s="2">
        <v>99.852999999999994</v>
      </c>
      <c r="F802" s="3">
        <v>801</v>
      </c>
      <c r="G802" s="3">
        <f t="shared" si="61"/>
        <v>9.4000000000008299E-2</v>
      </c>
      <c r="H802" s="3">
        <f t="shared" si="62"/>
        <v>0.83481349911197422</v>
      </c>
      <c r="I802" s="3">
        <f t="shared" si="63"/>
        <v>9.4000000000008299E-2</v>
      </c>
      <c r="J802" s="3">
        <f t="shared" si="60"/>
        <v>108.25547445255475</v>
      </c>
      <c r="K802" s="29">
        <f t="shared" si="64"/>
        <v>4.6844939379138379</v>
      </c>
    </row>
    <row r="803" spans="1:11" x14ac:dyDescent="0.3">
      <c r="A803" s="28">
        <v>0.71810399999999996</v>
      </c>
      <c r="B803" s="3">
        <v>0.1045</v>
      </c>
      <c r="C803" s="3" t="s">
        <v>5</v>
      </c>
      <c r="D803" s="3">
        <v>1</v>
      </c>
      <c r="E803" s="3">
        <v>99.947000000000003</v>
      </c>
      <c r="F803" s="2">
        <v>802</v>
      </c>
      <c r="G803" s="2">
        <f t="shared" si="61"/>
        <v>7.3999999999998067E-2</v>
      </c>
      <c r="H803" s="2">
        <f t="shared" si="62"/>
        <v>0.70813397129184752</v>
      </c>
      <c r="I803" s="2">
        <f t="shared" si="63"/>
        <v>7.3999999999998067E-2</v>
      </c>
      <c r="J803" s="2">
        <f t="shared" si="60"/>
        <v>108.25547445255475</v>
      </c>
      <c r="K803" s="27">
        <f t="shared" si="64"/>
        <v>4.6844939379138379</v>
      </c>
    </row>
    <row r="804" spans="1:11" x14ac:dyDescent="0.3">
      <c r="A804" s="26">
        <v>0.71846200000000005</v>
      </c>
      <c r="B804" s="2">
        <v>0.1048</v>
      </c>
      <c r="C804" s="2" t="s">
        <v>5</v>
      </c>
      <c r="D804" s="2">
        <v>-1</v>
      </c>
      <c r="E804" s="2">
        <v>100.021</v>
      </c>
      <c r="F804" s="3">
        <v>803</v>
      </c>
      <c r="G804" s="3">
        <f t="shared" si="61"/>
        <v>-3.6000000000001364E-2</v>
      </c>
      <c r="H804" s="3">
        <f t="shared" si="62"/>
        <v>-0.3435114503816924</v>
      </c>
      <c r="I804" s="3">
        <f t="shared" si="63"/>
        <v>3.6000000000001364E-2</v>
      </c>
      <c r="J804" s="3">
        <f t="shared" si="60"/>
        <v>108.25547445255475</v>
      </c>
      <c r="K804" s="29">
        <f t="shared" si="64"/>
        <v>4.6844939379138379</v>
      </c>
    </row>
    <row r="805" spans="1:11" x14ac:dyDescent="0.3">
      <c r="A805" s="28">
        <v>0.72009900000000004</v>
      </c>
      <c r="B805" s="3">
        <v>0.1037</v>
      </c>
      <c r="C805" s="3" t="s">
        <v>5</v>
      </c>
      <c r="D805" s="3">
        <v>1</v>
      </c>
      <c r="E805" s="3">
        <v>99.984999999999999</v>
      </c>
      <c r="F805" s="2">
        <v>804</v>
      </c>
      <c r="G805" s="2">
        <f t="shared" si="61"/>
        <v>4.0000000000006253E-2</v>
      </c>
      <c r="H805" s="2">
        <f t="shared" si="62"/>
        <v>0.38572806171655016</v>
      </c>
      <c r="I805" s="2">
        <f t="shared" si="63"/>
        <v>4.0000000000006253E-2</v>
      </c>
      <c r="J805" s="2">
        <f t="shared" si="60"/>
        <v>108.25547445255475</v>
      </c>
      <c r="K805" s="27">
        <f t="shared" si="64"/>
        <v>4.6844939379138379</v>
      </c>
    </row>
    <row r="806" spans="1:11" x14ac:dyDescent="0.3">
      <c r="A806" s="26">
        <v>0.72131800000000001</v>
      </c>
      <c r="B806" s="2">
        <v>8.6599999999999996E-2</v>
      </c>
      <c r="C806" s="2" t="s">
        <v>5</v>
      </c>
      <c r="D806" s="2">
        <v>-1</v>
      </c>
      <c r="E806" s="2">
        <v>100.02500000000001</v>
      </c>
      <c r="F806" s="3">
        <v>805</v>
      </c>
      <c r="G806" s="3">
        <f t="shared" si="61"/>
        <v>-3.7000000000006139E-2</v>
      </c>
      <c r="H806" s="3">
        <f t="shared" si="62"/>
        <v>-0.42725173210168754</v>
      </c>
      <c r="I806" s="3">
        <f t="shared" si="63"/>
        <v>3.7000000000006139E-2</v>
      </c>
      <c r="J806" s="3">
        <f t="shared" si="60"/>
        <v>108.25547445255475</v>
      </c>
      <c r="K806" s="29">
        <f t="shared" si="64"/>
        <v>4.6844939379138379</v>
      </c>
    </row>
    <row r="807" spans="1:11" x14ac:dyDescent="0.3">
      <c r="A807" s="28">
        <v>0.722661</v>
      </c>
      <c r="B807" s="3">
        <v>9.2700000000000005E-2</v>
      </c>
      <c r="C807" s="3" t="s">
        <v>5</v>
      </c>
      <c r="D807" s="3">
        <v>1</v>
      </c>
      <c r="E807" s="3">
        <v>99.988</v>
      </c>
      <c r="F807" s="2">
        <v>806</v>
      </c>
      <c r="G807" s="2">
        <f t="shared" si="61"/>
        <v>5.4000000000002046E-2</v>
      </c>
      <c r="H807" s="2">
        <f t="shared" si="62"/>
        <v>0.58252427184468225</v>
      </c>
      <c r="I807" s="2">
        <f t="shared" si="63"/>
        <v>5.4000000000002046E-2</v>
      </c>
      <c r="J807" s="2">
        <f t="shared" si="60"/>
        <v>108.25547445255475</v>
      </c>
      <c r="K807" s="27">
        <f t="shared" si="64"/>
        <v>4.6844939379138379</v>
      </c>
    </row>
    <row r="808" spans="1:11" x14ac:dyDescent="0.3">
      <c r="A808" s="26">
        <v>0.72343800000000003</v>
      </c>
      <c r="B808" s="2">
        <v>9.5399999999999999E-2</v>
      </c>
      <c r="C808" s="2" t="s">
        <v>5</v>
      </c>
      <c r="D808" s="2">
        <v>1</v>
      </c>
      <c r="E808" s="2">
        <v>100.042</v>
      </c>
      <c r="F808" s="3">
        <v>807</v>
      </c>
      <c r="G808" s="3">
        <f t="shared" si="61"/>
        <v>0.10800000000000409</v>
      </c>
      <c r="H808" s="3">
        <f t="shared" si="62"/>
        <v>1.132075471698156</v>
      </c>
      <c r="I808" s="3">
        <f t="shared" si="63"/>
        <v>0.10800000000000409</v>
      </c>
      <c r="J808" s="3">
        <f t="shared" si="60"/>
        <v>108.25547445255475</v>
      </c>
      <c r="K808" s="29">
        <f t="shared" si="64"/>
        <v>4.6844939379138379</v>
      </c>
    </row>
    <row r="809" spans="1:11" x14ac:dyDescent="0.3">
      <c r="A809" s="28">
        <v>0.72393099999999999</v>
      </c>
      <c r="B809" s="3">
        <v>9.4299999999999995E-2</v>
      </c>
      <c r="C809" s="3" t="s">
        <v>5</v>
      </c>
      <c r="D809" s="3">
        <v>1</v>
      </c>
      <c r="E809" s="3">
        <v>100.15</v>
      </c>
      <c r="F809" s="2">
        <v>808</v>
      </c>
      <c r="G809" s="2">
        <f t="shared" si="61"/>
        <v>8.0999999999988859E-2</v>
      </c>
      <c r="H809" s="2">
        <f t="shared" si="62"/>
        <v>0.85896076352056061</v>
      </c>
      <c r="I809" s="2">
        <f t="shared" si="63"/>
        <v>8.0999999999988859E-2</v>
      </c>
      <c r="J809" s="2">
        <f t="shared" si="60"/>
        <v>108.25547445255475</v>
      </c>
      <c r="K809" s="27">
        <f t="shared" si="64"/>
        <v>4.6844939379138379</v>
      </c>
    </row>
    <row r="810" spans="1:11" x14ac:dyDescent="0.3">
      <c r="A810" s="26">
        <v>0.72405399999999998</v>
      </c>
      <c r="B810" s="2">
        <v>9.4899999999999998E-2</v>
      </c>
      <c r="C810" s="2" t="s">
        <v>5</v>
      </c>
      <c r="D810" s="2">
        <v>1</v>
      </c>
      <c r="E810" s="2">
        <v>100.23099999999999</v>
      </c>
      <c r="F810" s="3">
        <v>809</v>
      </c>
      <c r="G810" s="3">
        <f t="shared" si="61"/>
        <v>3.2000000000010687E-2</v>
      </c>
      <c r="H810" s="3">
        <f t="shared" si="62"/>
        <v>0.33719704952592927</v>
      </c>
      <c r="I810" s="3">
        <f t="shared" si="63"/>
        <v>3.2000000000010687E-2</v>
      </c>
      <c r="J810" s="3">
        <f t="shared" si="60"/>
        <v>108.25547445255475</v>
      </c>
      <c r="K810" s="29">
        <f t="shared" si="64"/>
        <v>4.6844939379138379</v>
      </c>
    </row>
    <row r="811" spans="1:11" x14ac:dyDescent="0.3">
      <c r="A811" s="28">
        <v>0.72510200000000002</v>
      </c>
      <c r="B811" s="3">
        <v>7.85E-2</v>
      </c>
      <c r="C811" s="3" t="s">
        <v>5</v>
      </c>
      <c r="D811" s="3">
        <v>1</v>
      </c>
      <c r="E811" s="3">
        <v>100.26300000000001</v>
      </c>
      <c r="F811" s="2">
        <v>810</v>
      </c>
      <c r="G811" s="2">
        <f t="shared" si="61"/>
        <v>7.5999999999993406E-2</v>
      </c>
      <c r="H811" s="2">
        <f t="shared" si="62"/>
        <v>0.96815286624195418</v>
      </c>
      <c r="I811" s="2">
        <f t="shared" si="63"/>
        <v>7.5999999999993406E-2</v>
      </c>
      <c r="J811" s="2">
        <f t="shared" si="60"/>
        <v>108.25547445255475</v>
      </c>
      <c r="K811" s="27">
        <f t="shared" si="64"/>
        <v>4.6844939379138379</v>
      </c>
    </row>
    <row r="812" spans="1:11" x14ac:dyDescent="0.3">
      <c r="A812" s="26">
        <v>0.72604900000000006</v>
      </c>
      <c r="B812" s="2">
        <v>0.10539999999999999</v>
      </c>
      <c r="C812" s="2" t="s">
        <v>5</v>
      </c>
      <c r="D812" s="2">
        <v>-1</v>
      </c>
      <c r="E812" s="2">
        <v>100.339</v>
      </c>
      <c r="F812" s="3">
        <v>811</v>
      </c>
      <c r="G812" s="3">
        <f t="shared" si="61"/>
        <v>-1.6999999999995907E-2</v>
      </c>
      <c r="H812" s="3">
        <f t="shared" si="62"/>
        <v>-0.16129032258060633</v>
      </c>
      <c r="I812" s="3">
        <f t="shared" si="63"/>
        <v>1.6999999999995907E-2</v>
      </c>
      <c r="J812" s="3">
        <f t="shared" si="60"/>
        <v>108.25547445255475</v>
      </c>
      <c r="K812" s="29">
        <f t="shared" si="64"/>
        <v>4.6844939379138379</v>
      </c>
    </row>
    <row r="813" spans="1:11" x14ac:dyDescent="0.3">
      <c r="A813" s="28">
        <v>0.72652399999999995</v>
      </c>
      <c r="B813" s="3">
        <v>0.115</v>
      </c>
      <c r="C813" s="3" t="s">
        <v>5</v>
      </c>
      <c r="D813" s="3">
        <v>1</v>
      </c>
      <c r="E813" s="3">
        <v>100.322</v>
      </c>
      <c r="F813" s="2">
        <v>812</v>
      </c>
      <c r="G813" s="2">
        <f t="shared" si="61"/>
        <v>3.3000000000001251E-2</v>
      </c>
      <c r="H813" s="2">
        <f t="shared" si="62"/>
        <v>0.28695652173914132</v>
      </c>
      <c r="I813" s="2">
        <f t="shared" si="63"/>
        <v>3.3000000000001251E-2</v>
      </c>
      <c r="J813" s="2">
        <f t="shared" si="60"/>
        <v>108.25547445255475</v>
      </c>
      <c r="K813" s="27">
        <f t="shared" si="64"/>
        <v>4.6844939379138379</v>
      </c>
    </row>
    <row r="814" spans="1:11" x14ac:dyDescent="0.3">
      <c r="A814" s="26">
        <v>0.72736599999999996</v>
      </c>
      <c r="B814" s="2">
        <v>0.1106</v>
      </c>
      <c r="C814" s="2" t="s">
        <v>5</v>
      </c>
      <c r="D814" s="2">
        <v>1</v>
      </c>
      <c r="E814" s="2">
        <v>100.355</v>
      </c>
      <c r="F814" s="3">
        <v>813</v>
      </c>
      <c r="G814" s="3">
        <f t="shared" si="61"/>
        <v>3.7999999999996703E-2</v>
      </c>
      <c r="H814" s="3">
        <f t="shared" si="62"/>
        <v>0.34358047016271881</v>
      </c>
      <c r="I814" s="3">
        <f t="shared" si="63"/>
        <v>3.7999999999996703E-2</v>
      </c>
      <c r="J814" s="3">
        <f t="shared" si="60"/>
        <v>108.25547445255475</v>
      </c>
      <c r="K814" s="29">
        <f t="shared" si="64"/>
        <v>4.6844939379138379</v>
      </c>
    </row>
    <row r="815" spans="1:11" x14ac:dyDescent="0.3">
      <c r="A815" s="28">
        <v>0.727468</v>
      </c>
      <c r="B815" s="3">
        <v>0.10920000000000001</v>
      </c>
      <c r="C815" s="3" t="s">
        <v>5</v>
      </c>
      <c r="D815" s="3">
        <v>1</v>
      </c>
      <c r="E815" s="3">
        <v>100.393</v>
      </c>
      <c r="F815" s="2">
        <v>814</v>
      </c>
      <c r="G815" s="2">
        <f t="shared" si="61"/>
        <v>4.5000000000001705E-2</v>
      </c>
      <c r="H815" s="2">
        <f t="shared" si="62"/>
        <v>0.41208791208792767</v>
      </c>
      <c r="I815" s="2">
        <f t="shared" si="63"/>
        <v>4.5000000000001705E-2</v>
      </c>
      <c r="J815" s="2">
        <f t="shared" si="60"/>
        <v>108.25547445255475</v>
      </c>
      <c r="K815" s="27">
        <f t="shared" si="64"/>
        <v>4.6844939379138379</v>
      </c>
    </row>
    <row r="816" spans="1:11" x14ac:dyDescent="0.3">
      <c r="A816" s="26">
        <v>0.72747200000000001</v>
      </c>
      <c r="B816" s="2">
        <v>7.8100000000000003E-2</v>
      </c>
      <c r="C816" s="2" t="s">
        <v>5</v>
      </c>
      <c r="D816" s="2">
        <v>1</v>
      </c>
      <c r="E816" s="2">
        <v>100.438</v>
      </c>
      <c r="F816" s="3">
        <v>815</v>
      </c>
      <c r="G816" s="3">
        <f t="shared" si="61"/>
        <v>4.2000000000001592E-2</v>
      </c>
      <c r="H816" s="3">
        <f t="shared" si="62"/>
        <v>0.53777208706788204</v>
      </c>
      <c r="I816" s="3">
        <f t="shared" si="63"/>
        <v>4.2000000000001592E-2</v>
      </c>
      <c r="J816" s="3">
        <f t="shared" si="60"/>
        <v>108.25547445255475</v>
      </c>
      <c r="K816" s="29">
        <f t="shared" si="64"/>
        <v>4.6844939379138379</v>
      </c>
    </row>
    <row r="817" spans="1:11" x14ac:dyDescent="0.3">
      <c r="A817" s="28">
        <v>0.727854</v>
      </c>
      <c r="B817" s="3">
        <v>0.1144</v>
      </c>
      <c r="C817" s="3">
        <v>123</v>
      </c>
      <c r="D817" s="3">
        <v>-1</v>
      </c>
      <c r="E817" s="3">
        <v>100.48</v>
      </c>
      <c r="F817" s="2">
        <v>816</v>
      </c>
      <c r="G817" s="2">
        <f t="shared" si="61"/>
        <v>-0.10000000000000853</v>
      </c>
      <c r="H817" s="2">
        <f t="shared" si="62"/>
        <v>-0.87412587412594867</v>
      </c>
      <c r="I817" s="2">
        <f t="shared" si="63"/>
        <v>0.10000000000000853</v>
      </c>
      <c r="J817" s="2">
        <f t="shared" si="60"/>
        <v>123</v>
      </c>
      <c r="K817" s="27">
        <f t="shared" si="64"/>
        <v>4.8121843553724171</v>
      </c>
    </row>
    <row r="818" spans="1:11" x14ac:dyDescent="0.3">
      <c r="A818" s="26">
        <v>0.72900100000000001</v>
      </c>
      <c r="B818" s="2">
        <v>9.9199999999999997E-2</v>
      </c>
      <c r="C818" s="2" t="s">
        <v>5</v>
      </c>
      <c r="D818" s="2">
        <v>-1</v>
      </c>
      <c r="E818" s="2">
        <v>100.38</v>
      </c>
      <c r="F818" s="2">
        <v>817</v>
      </c>
      <c r="G818" s="2">
        <f t="shared" si="61"/>
        <v>-6.0999999999992838E-2</v>
      </c>
      <c r="H818" s="2">
        <f t="shared" si="62"/>
        <v>-0.61491935483863747</v>
      </c>
      <c r="I818" s="2">
        <f t="shared" si="63"/>
        <v>6.0999999999992838E-2</v>
      </c>
      <c r="J818" s="2">
        <f t="shared" si="60"/>
        <v>108.25547445255475</v>
      </c>
      <c r="K818" s="27">
        <f t="shared" si="64"/>
        <v>4.6844939379138379</v>
      </c>
    </row>
    <row r="819" spans="1:11" x14ac:dyDescent="0.3">
      <c r="A819" s="28">
        <v>0.72921199999999997</v>
      </c>
      <c r="B819" s="3">
        <v>7.9699999999999993E-2</v>
      </c>
      <c r="C819" s="3" t="s">
        <v>5</v>
      </c>
      <c r="D819" s="3">
        <v>-1</v>
      </c>
      <c r="E819" s="3">
        <v>100.319</v>
      </c>
      <c r="F819" s="3">
        <v>818</v>
      </c>
      <c r="G819" s="3">
        <f t="shared" si="61"/>
        <v>-9.1999999999998749E-2</v>
      </c>
      <c r="H819" s="3">
        <f t="shared" si="62"/>
        <v>-1.1543287327477887</v>
      </c>
      <c r="I819" s="3">
        <f t="shared" si="63"/>
        <v>9.1999999999998749E-2</v>
      </c>
      <c r="J819" s="3">
        <f t="shared" si="60"/>
        <v>108.25547445255475</v>
      </c>
      <c r="K819" s="29">
        <f t="shared" si="64"/>
        <v>4.6844939379138379</v>
      </c>
    </row>
    <row r="820" spans="1:11" x14ac:dyDescent="0.3">
      <c r="A820" s="26">
        <v>0.73085800000000001</v>
      </c>
      <c r="B820" s="2">
        <v>0.105</v>
      </c>
      <c r="C820" s="2">
        <v>71</v>
      </c>
      <c r="D820" s="2">
        <v>-1</v>
      </c>
      <c r="E820" s="2">
        <v>100.227</v>
      </c>
      <c r="F820" s="2">
        <v>819</v>
      </c>
      <c r="G820" s="2">
        <f t="shared" si="61"/>
        <v>-6.4999999999997726E-2</v>
      </c>
      <c r="H820" s="2">
        <f t="shared" si="62"/>
        <v>-0.61904761904759742</v>
      </c>
      <c r="I820" s="2">
        <f t="shared" si="63"/>
        <v>6.4999999999997726E-2</v>
      </c>
      <c r="J820" s="2">
        <f t="shared" si="60"/>
        <v>71</v>
      </c>
      <c r="K820" s="27">
        <f t="shared" si="64"/>
        <v>4.2626798770413155</v>
      </c>
    </row>
    <row r="821" spans="1:11" x14ac:dyDescent="0.3">
      <c r="A821" s="28">
        <v>0.73092800000000002</v>
      </c>
      <c r="B821" s="3">
        <v>9.06E-2</v>
      </c>
      <c r="C821" s="3" t="s">
        <v>5</v>
      </c>
      <c r="D821" s="3">
        <v>-1</v>
      </c>
      <c r="E821" s="3">
        <v>100.16200000000001</v>
      </c>
      <c r="F821" s="3">
        <v>820</v>
      </c>
      <c r="G821" s="3">
        <f t="shared" si="61"/>
        <v>-9.3000000000003524E-2</v>
      </c>
      <c r="H821" s="3">
        <f t="shared" si="62"/>
        <v>-1.0264900662252046</v>
      </c>
      <c r="I821" s="3">
        <f t="shared" si="63"/>
        <v>9.3000000000003524E-2</v>
      </c>
      <c r="J821" s="3">
        <f t="shared" si="60"/>
        <v>108.25547445255475</v>
      </c>
      <c r="K821" s="29">
        <f t="shared" si="64"/>
        <v>4.6844939379138379</v>
      </c>
    </row>
    <row r="822" spans="1:11" x14ac:dyDescent="0.3">
      <c r="A822" s="26">
        <v>0.73347099999999998</v>
      </c>
      <c r="B822" s="2">
        <v>9.7900000000000001E-2</v>
      </c>
      <c r="C822" s="2" t="s">
        <v>5</v>
      </c>
      <c r="D822" s="2">
        <v>-1</v>
      </c>
      <c r="E822" s="2">
        <v>100.069</v>
      </c>
      <c r="F822" s="2">
        <v>821</v>
      </c>
      <c r="G822" s="2">
        <f t="shared" si="61"/>
        <v>-0.15399999999999636</v>
      </c>
      <c r="H822" s="2">
        <f t="shared" si="62"/>
        <v>-1.5730337078651313</v>
      </c>
      <c r="I822" s="2">
        <f t="shared" si="63"/>
        <v>0.15399999999999636</v>
      </c>
      <c r="J822" s="2">
        <f t="shared" si="60"/>
        <v>108.25547445255475</v>
      </c>
      <c r="K822" s="27">
        <f t="shared" si="64"/>
        <v>4.6844939379138379</v>
      </c>
    </row>
    <row r="823" spans="1:11" x14ac:dyDescent="0.3">
      <c r="A823" s="28">
        <v>0.73365100000000005</v>
      </c>
      <c r="B823" s="3">
        <v>0.1123</v>
      </c>
      <c r="C823" s="3" t="s">
        <v>5</v>
      </c>
      <c r="D823" s="3">
        <v>1</v>
      </c>
      <c r="E823" s="3">
        <v>99.915000000000006</v>
      </c>
      <c r="F823" s="3">
        <v>822</v>
      </c>
      <c r="G823" s="3">
        <f t="shared" si="61"/>
        <v>9.4999999999998863E-2</v>
      </c>
      <c r="H823" s="3">
        <f t="shared" si="62"/>
        <v>0.84594835262688217</v>
      </c>
      <c r="I823" s="3">
        <f t="shared" si="63"/>
        <v>9.4999999999998863E-2</v>
      </c>
      <c r="J823" s="3">
        <f t="shared" si="60"/>
        <v>108.25547445255475</v>
      </c>
      <c r="K823" s="29">
        <f t="shared" si="64"/>
        <v>4.6844939379138379</v>
      </c>
    </row>
    <row r="824" spans="1:11" x14ac:dyDescent="0.3">
      <c r="A824" s="26">
        <v>0.73405900000000002</v>
      </c>
      <c r="B824" s="2">
        <v>7.8100000000000003E-2</v>
      </c>
      <c r="C824" s="2" t="s">
        <v>5</v>
      </c>
      <c r="D824" s="2">
        <v>1</v>
      </c>
      <c r="E824" s="2">
        <v>100.01</v>
      </c>
      <c r="F824" s="2">
        <v>823</v>
      </c>
      <c r="G824" s="2">
        <f t="shared" si="61"/>
        <v>6.8999999999988404E-2</v>
      </c>
      <c r="H824" s="2">
        <f t="shared" si="62"/>
        <v>0.88348271446848148</v>
      </c>
      <c r="I824" s="2">
        <f t="shared" si="63"/>
        <v>6.8999999999988404E-2</v>
      </c>
      <c r="J824" s="2">
        <f t="shared" si="60"/>
        <v>108.25547445255475</v>
      </c>
      <c r="K824" s="27">
        <f t="shared" si="64"/>
        <v>4.6844939379138379</v>
      </c>
    </row>
    <row r="825" spans="1:11" x14ac:dyDescent="0.3">
      <c r="A825" s="28">
        <v>0.73617600000000005</v>
      </c>
      <c r="B825" s="3">
        <v>0.108</v>
      </c>
      <c r="C825" s="3">
        <v>267</v>
      </c>
      <c r="D825" s="3">
        <v>1</v>
      </c>
      <c r="E825" s="3">
        <v>100.07899999999999</v>
      </c>
      <c r="F825" s="3">
        <v>824</v>
      </c>
      <c r="G825" s="3">
        <f t="shared" si="61"/>
        <v>0.15400000000001057</v>
      </c>
      <c r="H825" s="3">
        <f t="shared" si="62"/>
        <v>1.4259259259260237</v>
      </c>
      <c r="I825" s="3">
        <f t="shared" si="63"/>
        <v>0.15400000000001057</v>
      </c>
      <c r="J825" s="3">
        <f t="shared" si="60"/>
        <v>267</v>
      </c>
      <c r="K825" s="29">
        <f t="shared" si="64"/>
        <v>5.5872486584002496</v>
      </c>
    </row>
    <row r="826" spans="1:11" x14ac:dyDescent="0.3">
      <c r="A826" s="26">
        <v>0.73621300000000001</v>
      </c>
      <c r="B826" s="2">
        <v>0.1186</v>
      </c>
      <c r="C826" s="2" t="s">
        <v>5</v>
      </c>
      <c r="D826" s="2">
        <v>-1</v>
      </c>
      <c r="E826" s="2">
        <v>100.233</v>
      </c>
      <c r="F826" s="2">
        <v>825</v>
      </c>
      <c r="G826" s="2">
        <f t="shared" si="61"/>
        <v>-2.6000000000010459E-2</v>
      </c>
      <c r="H826" s="2">
        <f t="shared" si="62"/>
        <v>-0.21922428330531585</v>
      </c>
      <c r="I826" s="2">
        <f t="shared" si="63"/>
        <v>2.6000000000010459E-2</v>
      </c>
      <c r="J826" s="2">
        <f t="shared" si="60"/>
        <v>108.25547445255475</v>
      </c>
      <c r="K826" s="27">
        <f t="shared" si="64"/>
        <v>4.6844939379138379</v>
      </c>
    </row>
    <row r="827" spans="1:11" x14ac:dyDescent="0.3">
      <c r="A827" s="28">
        <v>0.73770100000000005</v>
      </c>
      <c r="B827" s="3">
        <v>0.10100000000000001</v>
      </c>
      <c r="C827" s="3">
        <v>42</v>
      </c>
      <c r="D827" s="3">
        <v>1</v>
      </c>
      <c r="E827" s="3">
        <v>100.20699999999999</v>
      </c>
      <c r="F827" s="3">
        <v>826</v>
      </c>
      <c r="G827" s="3">
        <f t="shared" si="61"/>
        <v>3.4000000000006025E-2</v>
      </c>
      <c r="H827" s="3">
        <f t="shared" si="62"/>
        <v>0.33663366336639627</v>
      </c>
      <c r="I827" s="3">
        <f t="shared" si="63"/>
        <v>3.4000000000006025E-2</v>
      </c>
      <c r="J827" s="3">
        <f t="shared" si="60"/>
        <v>42</v>
      </c>
      <c r="K827" s="29">
        <f t="shared" si="64"/>
        <v>3.7376696182833684</v>
      </c>
    </row>
    <row r="828" spans="1:11" x14ac:dyDescent="0.3">
      <c r="A828" s="26">
        <v>0.73939299999999997</v>
      </c>
      <c r="B828" s="2">
        <v>0.1244</v>
      </c>
      <c r="C828" s="2" t="s">
        <v>5</v>
      </c>
      <c r="D828" s="2">
        <v>-1</v>
      </c>
      <c r="E828" s="2">
        <v>100.241</v>
      </c>
      <c r="F828" s="2">
        <v>827</v>
      </c>
      <c r="G828" s="2">
        <f t="shared" si="61"/>
        <v>-4.8000000000001819E-2</v>
      </c>
      <c r="H828" s="2">
        <f t="shared" si="62"/>
        <v>-0.38585209003216897</v>
      </c>
      <c r="I828" s="2">
        <f t="shared" si="63"/>
        <v>4.8000000000001819E-2</v>
      </c>
      <c r="J828" s="2">
        <f t="shared" si="60"/>
        <v>108.25547445255475</v>
      </c>
      <c r="K828" s="27">
        <f t="shared" si="64"/>
        <v>4.6844939379138379</v>
      </c>
    </row>
    <row r="829" spans="1:11" x14ac:dyDescent="0.3">
      <c r="A829" s="28">
        <v>0.74177599999999999</v>
      </c>
      <c r="B829" s="3">
        <v>9.9199999999999997E-2</v>
      </c>
      <c r="C829" s="3" t="s">
        <v>5</v>
      </c>
      <c r="D829" s="3">
        <v>1</v>
      </c>
      <c r="E829" s="3">
        <v>100.193</v>
      </c>
      <c r="F829" s="3">
        <v>828</v>
      </c>
      <c r="G829" s="3">
        <f t="shared" si="61"/>
        <v>3.0000000000001137E-2</v>
      </c>
      <c r="H829" s="3">
        <f t="shared" si="62"/>
        <v>0.30241935483872112</v>
      </c>
      <c r="I829" s="3">
        <f t="shared" si="63"/>
        <v>3.0000000000001137E-2</v>
      </c>
      <c r="J829" s="3">
        <f t="shared" si="60"/>
        <v>108.25547445255475</v>
      </c>
      <c r="K829" s="29">
        <f t="shared" si="64"/>
        <v>4.6844939379138379</v>
      </c>
    </row>
    <row r="830" spans="1:11" x14ac:dyDescent="0.3">
      <c r="A830" s="26">
        <v>0.74282800000000004</v>
      </c>
      <c r="B830" s="2">
        <v>0.1066</v>
      </c>
      <c r="C830" s="2" t="s">
        <v>5</v>
      </c>
      <c r="D830" s="2">
        <v>-1</v>
      </c>
      <c r="E830" s="2">
        <v>100.223</v>
      </c>
      <c r="F830" s="2">
        <v>829</v>
      </c>
      <c r="G830" s="2">
        <f t="shared" si="61"/>
        <v>-1.0000000000047748E-3</v>
      </c>
      <c r="H830" s="2">
        <f t="shared" si="62"/>
        <v>-9.3808630394444162E-3</v>
      </c>
      <c r="I830" s="2">
        <f t="shared" si="63"/>
        <v>1.0000000000047748E-3</v>
      </c>
      <c r="J830" s="2">
        <f t="shared" si="60"/>
        <v>108.25547445255475</v>
      </c>
      <c r="K830" s="27">
        <f t="shared" si="64"/>
        <v>4.6844939379138379</v>
      </c>
    </row>
    <row r="831" spans="1:11" x14ac:dyDescent="0.3">
      <c r="A831" s="28">
        <v>0.74308799999999997</v>
      </c>
      <c r="B831" s="3">
        <v>0.10580000000000001</v>
      </c>
      <c r="C831" s="3" t="s">
        <v>5</v>
      </c>
      <c r="D831" s="3">
        <v>1</v>
      </c>
      <c r="E831" s="3">
        <v>100.22199999999999</v>
      </c>
      <c r="F831" s="3">
        <v>830</v>
      </c>
      <c r="G831" s="3">
        <f t="shared" si="61"/>
        <v>0.13400000000000034</v>
      </c>
      <c r="H831" s="3">
        <f t="shared" si="62"/>
        <v>1.2665406427221204</v>
      </c>
      <c r="I831" s="3">
        <f t="shared" si="63"/>
        <v>0.13400000000000034</v>
      </c>
      <c r="J831" s="3">
        <f t="shared" si="60"/>
        <v>108.25547445255475</v>
      </c>
      <c r="K831" s="29">
        <f t="shared" si="64"/>
        <v>4.6844939379138379</v>
      </c>
    </row>
    <row r="832" spans="1:11" x14ac:dyDescent="0.3">
      <c r="A832" s="26">
        <v>0.74639900000000003</v>
      </c>
      <c r="B832" s="2">
        <v>0.10340000000000001</v>
      </c>
      <c r="C832" s="2" t="s">
        <v>5</v>
      </c>
      <c r="D832" s="2">
        <v>1</v>
      </c>
      <c r="E832" s="2">
        <v>100.35599999999999</v>
      </c>
      <c r="F832" s="2">
        <v>831</v>
      </c>
      <c r="G832" s="2">
        <f t="shared" si="61"/>
        <v>5.4000000000002046E-2</v>
      </c>
      <c r="H832" s="2">
        <f t="shared" si="62"/>
        <v>0.52224371373309519</v>
      </c>
      <c r="I832" s="2">
        <f t="shared" si="63"/>
        <v>5.4000000000002046E-2</v>
      </c>
      <c r="J832" s="2">
        <f t="shared" si="60"/>
        <v>108.25547445255475</v>
      </c>
      <c r="K832" s="27">
        <f t="shared" si="64"/>
        <v>4.6844939379138379</v>
      </c>
    </row>
    <row r="833" spans="1:11" x14ac:dyDescent="0.3">
      <c r="A833" s="28">
        <v>0.74924199999999996</v>
      </c>
      <c r="B833" s="3">
        <v>0.12130000000000001</v>
      </c>
      <c r="C833" s="3" t="s">
        <v>5</v>
      </c>
      <c r="D833" s="3">
        <v>-1</v>
      </c>
      <c r="E833" s="3">
        <v>100.41</v>
      </c>
      <c r="F833" s="3">
        <v>832</v>
      </c>
      <c r="G833" s="3">
        <f t="shared" si="61"/>
        <v>-3.9999999999992042E-2</v>
      </c>
      <c r="H833" s="3">
        <f t="shared" si="62"/>
        <v>-0.32976092333051971</v>
      </c>
      <c r="I833" s="3">
        <f t="shared" si="63"/>
        <v>3.9999999999992042E-2</v>
      </c>
      <c r="J833" s="3">
        <f t="shared" si="60"/>
        <v>108.25547445255475</v>
      </c>
      <c r="K833" s="29">
        <f t="shared" si="64"/>
        <v>4.6844939379138379</v>
      </c>
    </row>
    <row r="834" spans="1:11" x14ac:dyDescent="0.3">
      <c r="A834" s="26">
        <v>0.74992700000000001</v>
      </c>
      <c r="B834" s="2">
        <v>0.1066</v>
      </c>
      <c r="C834" s="2" t="s">
        <v>5</v>
      </c>
      <c r="D834" s="2">
        <v>1</v>
      </c>
      <c r="E834" s="2">
        <v>100.37</v>
      </c>
      <c r="F834" s="2">
        <v>833</v>
      </c>
      <c r="G834" s="2">
        <f t="shared" si="61"/>
        <v>3.9000000000001478E-2</v>
      </c>
      <c r="H834" s="2">
        <f t="shared" si="62"/>
        <v>0.36585365853659924</v>
      </c>
      <c r="I834" s="2">
        <f t="shared" si="63"/>
        <v>3.9000000000001478E-2</v>
      </c>
      <c r="J834" s="2">
        <f t="shared" ref="J834:J897" si="65">IF(C834="",$AA$1,C834)</f>
        <v>108.25547445255475</v>
      </c>
      <c r="K834" s="27">
        <f t="shared" si="64"/>
        <v>4.6844939379138379</v>
      </c>
    </row>
    <row r="835" spans="1:11" x14ac:dyDescent="0.3">
      <c r="A835" s="28">
        <v>0.75048099999999995</v>
      </c>
      <c r="B835" s="3">
        <v>9.6299999999999997E-2</v>
      </c>
      <c r="C835" s="3" t="s">
        <v>5</v>
      </c>
      <c r="D835" s="3">
        <v>-1</v>
      </c>
      <c r="E835" s="3">
        <v>100.40900000000001</v>
      </c>
      <c r="F835" s="2">
        <v>834</v>
      </c>
      <c r="G835" s="2">
        <f t="shared" ref="G835:G898" si="66">E836-E835</f>
        <v>-6.2000000000011823E-2</v>
      </c>
      <c r="H835" s="2">
        <f t="shared" ref="H835:H898" si="67">IF(B835&lt;&gt;0,G835/B835,"")</f>
        <v>-0.64382139148506567</v>
      </c>
      <c r="I835" s="2">
        <f t="shared" ref="I835:I898" si="68">D835*G835</f>
        <v>6.2000000000011823E-2</v>
      </c>
      <c r="J835" s="2">
        <f t="shared" si="65"/>
        <v>108.25547445255475</v>
      </c>
      <c r="K835" s="27">
        <f t="shared" ref="K835:K898" si="69">LN(J835)</f>
        <v>4.6844939379138379</v>
      </c>
    </row>
    <row r="836" spans="1:11" x14ac:dyDescent="0.3">
      <c r="A836" s="26">
        <v>0.75116899999999998</v>
      </c>
      <c r="B836" s="2">
        <v>0.1043</v>
      </c>
      <c r="C836" s="2" t="s">
        <v>5</v>
      </c>
      <c r="D836" s="2">
        <v>1</v>
      </c>
      <c r="E836" s="2">
        <v>100.34699999999999</v>
      </c>
      <c r="F836" s="3">
        <v>835</v>
      </c>
      <c r="G836" s="3">
        <f t="shared" si="66"/>
        <v>9.0000000000003411E-2</v>
      </c>
      <c r="H836" s="3">
        <f t="shared" si="67"/>
        <v>0.86289549376800967</v>
      </c>
      <c r="I836" s="3">
        <f t="shared" si="68"/>
        <v>9.0000000000003411E-2</v>
      </c>
      <c r="J836" s="3">
        <f t="shared" si="65"/>
        <v>108.25547445255475</v>
      </c>
      <c r="K836" s="29">
        <f t="shared" si="69"/>
        <v>4.6844939379138379</v>
      </c>
    </row>
    <row r="837" spans="1:11" x14ac:dyDescent="0.3">
      <c r="A837" s="28">
        <v>0.75121300000000002</v>
      </c>
      <c r="B837" s="3">
        <v>0.11169999999999999</v>
      </c>
      <c r="C837" s="3" t="s">
        <v>5</v>
      </c>
      <c r="D837" s="3">
        <v>1</v>
      </c>
      <c r="E837" s="3">
        <v>100.437</v>
      </c>
      <c r="F837" s="2">
        <v>836</v>
      </c>
      <c r="G837" s="2">
        <f t="shared" si="66"/>
        <v>2.5000000000005684E-2</v>
      </c>
      <c r="H837" s="2">
        <f t="shared" si="67"/>
        <v>0.22381378692932574</v>
      </c>
      <c r="I837" s="2">
        <f t="shared" si="68"/>
        <v>2.5000000000005684E-2</v>
      </c>
      <c r="J837" s="2">
        <f t="shared" si="65"/>
        <v>108.25547445255475</v>
      </c>
      <c r="K837" s="27">
        <f t="shared" si="69"/>
        <v>4.6844939379138379</v>
      </c>
    </row>
    <row r="838" spans="1:11" x14ac:dyDescent="0.3">
      <c r="A838" s="26">
        <v>0.75216300000000003</v>
      </c>
      <c r="B838" s="2">
        <v>9.8799999999999999E-2</v>
      </c>
      <c r="C838" s="2" t="s">
        <v>5</v>
      </c>
      <c r="D838" s="2">
        <v>-1</v>
      </c>
      <c r="E838" s="2">
        <v>100.462</v>
      </c>
      <c r="F838" s="3">
        <v>837</v>
      </c>
      <c r="G838" s="3">
        <f t="shared" si="66"/>
        <v>-3.4000000000006025E-2</v>
      </c>
      <c r="H838" s="3">
        <f t="shared" si="67"/>
        <v>-0.34412955465593142</v>
      </c>
      <c r="I838" s="3">
        <f t="shared" si="68"/>
        <v>3.4000000000006025E-2</v>
      </c>
      <c r="J838" s="3">
        <f t="shared" si="65"/>
        <v>108.25547445255475</v>
      </c>
      <c r="K838" s="29">
        <f t="shared" si="69"/>
        <v>4.6844939379138379</v>
      </c>
    </row>
    <row r="839" spans="1:11" x14ac:dyDescent="0.3">
      <c r="A839" s="28">
        <v>0.754054</v>
      </c>
      <c r="B839" s="3">
        <v>0.1103</v>
      </c>
      <c r="C839" s="3" t="s">
        <v>5</v>
      </c>
      <c r="D839" s="3">
        <v>-1</v>
      </c>
      <c r="E839" s="3">
        <v>100.428</v>
      </c>
      <c r="F839" s="2">
        <v>838</v>
      </c>
      <c r="G839" s="2">
        <f t="shared" si="66"/>
        <v>-1.2000000000000455E-2</v>
      </c>
      <c r="H839" s="2">
        <f t="shared" si="67"/>
        <v>-0.10879419764279651</v>
      </c>
      <c r="I839" s="2">
        <f t="shared" si="68"/>
        <v>1.2000000000000455E-2</v>
      </c>
      <c r="J839" s="2">
        <f t="shared" si="65"/>
        <v>108.25547445255475</v>
      </c>
      <c r="K839" s="27">
        <f t="shared" si="69"/>
        <v>4.6844939379138379</v>
      </c>
    </row>
    <row r="840" spans="1:11" x14ac:dyDescent="0.3">
      <c r="A840" s="26">
        <v>0.75419499999999995</v>
      </c>
      <c r="B840" s="2">
        <v>0.1114</v>
      </c>
      <c r="C840" s="2" t="s">
        <v>5</v>
      </c>
      <c r="D840" s="2">
        <v>-1</v>
      </c>
      <c r="E840" s="2">
        <v>100.416</v>
      </c>
      <c r="F840" s="3">
        <v>839</v>
      </c>
      <c r="G840" s="3">
        <f t="shared" si="66"/>
        <v>-6.9000000000002615E-2</v>
      </c>
      <c r="H840" s="3">
        <f t="shared" si="67"/>
        <v>-0.61938958707363212</v>
      </c>
      <c r="I840" s="3">
        <f t="shared" si="68"/>
        <v>6.9000000000002615E-2</v>
      </c>
      <c r="J840" s="3">
        <f t="shared" si="65"/>
        <v>108.25547445255475</v>
      </c>
      <c r="K840" s="29">
        <f t="shared" si="69"/>
        <v>4.6844939379138379</v>
      </c>
    </row>
    <row r="841" spans="1:11" x14ac:dyDescent="0.3">
      <c r="A841" s="28">
        <v>0.75599899999999998</v>
      </c>
      <c r="B841" s="3">
        <v>9.4500000000000001E-2</v>
      </c>
      <c r="C841" s="3" t="s">
        <v>5</v>
      </c>
      <c r="D841" s="3">
        <v>1</v>
      </c>
      <c r="E841" s="3">
        <v>100.34699999999999</v>
      </c>
      <c r="F841" s="2">
        <v>840</v>
      </c>
      <c r="G841" s="2">
        <f t="shared" si="66"/>
        <v>7.2000000000002728E-2</v>
      </c>
      <c r="H841" s="2">
        <f t="shared" si="67"/>
        <v>0.76190476190479073</v>
      </c>
      <c r="I841" s="2">
        <f t="shared" si="68"/>
        <v>7.2000000000002728E-2</v>
      </c>
      <c r="J841" s="2">
        <f t="shared" si="65"/>
        <v>108.25547445255475</v>
      </c>
      <c r="K841" s="27">
        <f t="shared" si="69"/>
        <v>4.6844939379138379</v>
      </c>
    </row>
    <row r="842" spans="1:11" x14ac:dyDescent="0.3">
      <c r="A842" s="26">
        <v>0.76040300000000005</v>
      </c>
      <c r="B842" s="2">
        <v>0.11260000000000001</v>
      </c>
      <c r="C842" s="2">
        <v>158</v>
      </c>
      <c r="D842" s="2">
        <v>1</v>
      </c>
      <c r="E842" s="2">
        <v>100.419</v>
      </c>
      <c r="F842" s="3">
        <v>841</v>
      </c>
      <c r="G842" s="3">
        <f t="shared" si="66"/>
        <v>0.11500000000000909</v>
      </c>
      <c r="H842" s="3">
        <f t="shared" si="67"/>
        <v>1.0213143872114483</v>
      </c>
      <c r="I842" s="3">
        <f t="shared" si="68"/>
        <v>0.11500000000000909</v>
      </c>
      <c r="J842" s="3">
        <f t="shared" si="65"/>
        <v>158</v>
      </c>
      <c r="K842" s="29">
        <f t="shared" si="69"/>
        <v>5.0625950330269669</v>
      </c>
    </row>
    <row r="843" spans="1:11" x14ac:dyDescent="0.3">
      <c r="A843" s="28">
        <v>0.76046400000000003</v>
      </c>
      <c r="B843" s="3">
        <v>0.1071</v>
      </c>
      <c r="C843" s="3" t="s">
        <v>5</v>
      </c>
      <c r="D843" s="3">
        <v>1</v>
      </c>
      <c r="E843" s="3">
        <v>100.53400000000001</v>
      </c>
      <c r="F843" s="2">
        <v>842</v>
      </c>
      <c r="G843" s="2">
        <f t="shared" si="66"/>
        <v>2.1000000000000796E-2</v>
      </c>
      <c r="H843" s="2">
        <f t="shared" si="67"/>
        <v>0.19607843137255646</v>
      </c>
      <c r="I843" s="2">
        <f t="shared" si="68"/>
        <v>2.1000000000000796E-2</v>
      </c>
      <c r="J843" s="2">
        <f t="shared" si="65"/>
        <v>108.25547445255475</v>
      </c>
      <c r="K843" s="27">
        <f t="shared" si="69"/>
        <v>4.6844939379138379</v>
      </c>
    </row>
    <row r="844" spans="1:11" x14ac:dyDescent="0.3">
      <c r="A844" s="26">
        <v>0.76174600000000003</v>
      </c>
      <c r="B844" s="2">
        <v>0.1036</v>
      </c>
      <c r="C844" s="2">
        <v>224</v>
      </c>
      <c r="D844" s="2">
        <v>1</v>
      </c>
      <c r="E844" s="2">
        <v>100.55500000000001</v>
      </c>
      <c r="F844" s="3">
        <v>843</v>
      </c>
      <c r="G844" s="3">
        <f t="shared" si="66"/>
        <v>0.11999999999999034</v>
      </c>
      <c r="H844" s="3">
        <f t="shared" si="67"/>
        <v>1.1583011583010649</v>
      </c>
      <c r="I844" s="3">
        <f t="shared" si="68"/>
        <v>0.11999999999999034</v>
      </c>
      <c r="J844" s="3">
        <f t="shared" si="65"/>
        <v>224</v>
      </c>
      <c r="K844" s="29">
        <f t="shared" si="69"/>
        <v>5.4116460518550396</v>
      </c>
    </row>
    <row r="845" spans="1:11" x14ac:dyDescent="0.3">
      <c r="A845" s="28">
        <v>0.76197000000000004</v>
      </c>
      <c r="B845" s="3">
        <v>9.8000000000000004E-2</v>
      </c>
      <c r="C845" s="3" t="s">
        <v>5</v>
      </c>
      <c r="D845" s="3">
        <v>-1</v>
      </c>
      <c r="E845" s="3">
        <v>100.675</v>
      </c>
      <c r="F845" s="2">
        <v>844</v>
      </c>
      <c r="G845" s="2">
        <f t="shared" si="66"/>
        <v>-5.700000000000216E-2</v>
      </c>
      <c r="H845" s="2">
        <f t="shared" si="67"/>
        <v>-0.58163265306124656</v>
      </c>
      <c r="I845" s="2">
        <f t="shared" si="68"/>
        <v>5.700000000000216E-2</v>
      </c>
      <c r="J845" s="2">
        <f t="shared" si="65"/>
        <v>108.25547445255475</v>
      </c>
      <c r="K845" s="27">
        <f t="shared" si="69"/>
        <v>4.6844939379138379</v>
      </c>
    </row>
    <row r="846" spans="1:11" x14ac:dyDescent="0.3">
      <c r="A846" s="26">
        <v>0.76225399999999999</v>
      </c>
      <c r="B846" s="2">
        <v>0.1024</v>
      </c>
      <c r="C846" s="2" t="s">
        <v>5</v>
      </c>
      <c r="D846" s="2">
        <v>1</v>
      </c>
      <c r="E846" s="2">
        <v>100.61799999999999</v>
      </c>
      <c r="F846" s="3">
        <v>845</v>
      </c>
      <c r="G846" s="3">
        <f t="shared" si="66"/>
        <v>4.0000000000006253E-2</v>
      </c>
      <c r="H846" s="3">
        <f t="shared" si="67"/>
        <v>0.39062500000006106</v>
      </c>
      <c r="I846" s="3">
        <f t="shared" si="68"/>
        <v>4.0000000000006253E-2</v>
      </c>
      <c r="J846" s="3">
        <f t="shared" si="65"/>
        <v>108.25547445255475</v>
      </c>
      <c r="K846" s="29">
        <f t="shared" si="69"/>
        <v>4.6844939379138379</v>
      </c>
    </row>
    <row r="847" spans="1:11" x14ac:dyDescent="0.3">
      <c r="A847" s="28">
        <v>0.76231099999999996</v>
      </c>
      <c r="B847" s="3">
        <v>0.11269999999999999</v>
      </c>
      <c r="C847" s="3" t="s">
        <v>5</v>
      </c>
      <c r="D847" s="3">
        <v>-1</v>
      </c>
      <c r="E847" s="3">
        <v>100.658</v>
      </c>
      <c r="F847" s="2">
        <v>846</v>
      </c>
      <c r="G847" s="2">
        <f t="shared" si="66"/>
        <v>-0.16500000000000625</v>
      </c>
      <c r="H847" s="2">
        <f t="shared" si="67"/>
        <v>-1.4640638864241904</v>
      </c>
      <c r="I847" s="2">
        <f t="shared" si="68"/>
        <v>0.16500000000000625</v>
      </c>
      <c r="J847" s="2">
        <f t="shared" si="65"/>
        <v>108.25547445255475</v>
      </c>
      <c r="K847" s="27">
        <f t="shared" si="69"/>
        <v>4.6844939379138379</v>
      </c>
    </row>
    <row r="848" spans="1:11" x14ac:dyDescent="0.3">
      <c r="A848" s="26">
        <v>0.76330100000000001</v>
      </c>
      <c r="B848" s="2">
        <v>8.6599999999999996E-2</v>
      </c>
      <c r="C848" s="2" t="s">
        <v>5</v>
      </c>
      <c r="D848" s="2">
        <v>-1</v>
      </c>
      <c r="E848" s="2">
        <v>100.49299999999999</v>
      </c>
      <c r="F848" s="3">
        <v>847</v>
      </c>
      <c r="G848" s="3">
        <f t="shared" si="66"/>
        <v>-1.5000000000000568E-2</v>
      </c>
      <c r="H848" s="3">
        <f t="shared" si="67"/>
        <v>-0.17321016166282413</v>
      </c>
      <c r="I848" s="3">
        <f t="shared" si="68"/>
        <v>1.5000000000000568E-2</v>
      </c>
      <c r="J848" s="3">
        <f t="shared" si="65"/>
        <v>108.25547445255475</v>
      </c>
      <c r="K848" s="29">
        <f t="shared" si="69"/>
        <v>4.6844939379138379</v>
      </c>
    </row>
    <row r="849" spans="1:11" x14ac:dyDescent="0.3">
      <c r="A849" s="28">
        <v>0.76419099999999995</v>
      </c>
      <c r="B849" s="3">
        <v>8.3000000000000004E-2</v>
      </c>
      <c r="C849" s="3" t="s">
        <v>5</v>
      </c>
      <c r="D849" s="3">
        <v>1</v>
      </c>
      <c r="E849" s="3">
        <v>100.47799999999999</v>
      </c>
      <c r="F849" s="2">
        <v>848</v>
      </c>
      <c r="G849" s="2">
        <f t="shared" si="66"/>
        <v>7.000000000000739E-2</v>
      </c>
      <c r="H849" s="2">
        <f t="shared" si="67"/>
        <v>0.84337349397599259</v>
      </c>
      <c r="I849" s="2">
        <f t="shared" si="68"/>
        <v>7.000000000000739E-2</v>
      </c>
      <c r="J849" s="2">
        <f t="shared" si="65"/>
        <v>108.25547445255475</v>
      </c>
      <c r="K849" s="27">
        <f t="shared" si="69"/>
        <v>4.6844939379138379</v>
      </c>
    </row>
    <row r="850" spans="1:11" x14ac:dyDescent="0.3">
      <c r="A850" s="26">
        <v>0.76461500000000004</v>
      </c>
      <c r="B850" s="2">
        <v>0.1109</v>
      </c>
      <c r="C850" s="2" t="s">
        <v>5</v>
      </c>
      <c r="D850" s="2">
        <v>-1</v>
      </c>
      <c r="E850" s="2">
        <v>100.548</v>
      </c>
      <c r="F850" s="3">
        <v>849</v>
      </c>
      <c r="G850" s="3">
        <f t="shared" si="66"/>
        <v>-6.3000000000002387E-2</v>
      </c>
      <c r="H850" s="3">
        <f t="shared" si="67"/>
        <v>-0.56807935076647775</v>
      </c>
      <c r="I850" s="3">
        <f t="shared" si="68"/>
        <v>6.3000000000002387E-2</v>
      </c>
      <c r="J850" s="3">
        <f t="shared" si="65"/>
        <v>108.25547445255475</v>
      </c>
      <c r="K850" s="29">
        <f t="shared" si="69"/>
        <v>4.6844939379138379</v>
      </c>
    </row>
    <row r="851" spans="1:11" x14ac:dyDescent="0.3">
      <c r="A851" s="28">
        <v>0.76997099999999996</v>
      </c>
      <c r="B851" s="3">
        <v>0.1089</v>
      </c>
      <c r="C851" s="3" t="s">
        <v>5</v>
      </c>
      <c r="D851" s="3">
        <v>-1</v>
      </c>
      <c r="E851" s="3">
        <v>100.485</v>
      </c>
      <c r="F851" s="2">
        <v>850</v>
      </c>
      <c r="G851" s="2">
        <f t="shared" si="66"/>
        <v>-4.6999999999997044E-2</v>
      </c>
      <c r="H851" s="2">
        <f t="shared" si="67"/>
        <v>-0.43158861340676807</v>
      </c>
      <c r="I851" s="2">
        <f t="shared" si="68"/>
        <v>4.6999999999997044E-2</v>
      </c>
      <c r="J851" s="2">
        <f t="shared" si="65"/>
        <v>108.25547445255475</v>
      </c>
      <c r="K851" s="27">
        <f t="shared" si="69"/>
        <v>4.6844939379138379</v>
      </c>
    </row>
    <row r="852" spans="1:11" x14ac:dyDescent="0.3">
      <c r="A852" s="26">
        <v>0.77081200000000005</v>
      </c>
      <c r="B852" s="2">
        <v>0.1172</v>
      </c>
      <c r="C852" s="2">
        <v>54</v>
      </c>
      <c r="D852" s="2">
        <v>-1</v>
      </c>
      <c r="E852" s="2">
        <v>100.438</v>
      </c>
      <c r="F852" s="2">
        <v>851</v>
      </c>
      <c r="G852" s="2">
        <f t="shared" si="66"/>
        <v>-5.2999999999997272E-2</v>
      </c>
      <c r="H852" s="2">
        <f t="shared" si="67"/>
        <v>-0.45221843003410644</v>
      </c>
      <c r="I852" s="2">
        <f t="shared" si="68"/>
        <v>5.2999999999997272E-2</v>
      </c>
      <c r="J852" s="2">
        <f t="shared" si="65"/>
        <v>54</v>
      </c>
      <c r="K852" s="27">
        <f t="shared" si="69"/>
        <v>3.9889840465642745</v>
      </c>
    </row>
    <row r="853" spans="1:11" x14ac:dyDescent="0.3">
      <c r="A853" s="28">
        <v>0.77216399999999996</v>
      </c>
      <c r="B853" s="3">
        <v>9.8799999999999999E-2</v>
      </c>
      <c r="C853" s="3" t="s">
        <v>5</v>
      </c>
      <c r="D853" s="3">
        <v>-1</v>
      </c>
      <c r="E853" s="3">
        <v>100.38500000000001</v>
      </c>
      <c r="F853" s="3">
        <v>852</v>
      </c>
      <c r="G853" s="3">
        <f t="shared" si="66"/>
        <v>-1.9000000000005457E-2</v>
      </c>
      <c r="H853" s="3">
        <f t="shared" si="67"/>
        <v>-0.19230769230774755</v>
      </c>
      <c r="I853" s="3">
        <f t="shared" si="68"/>
        <v>1.9000000000005457E-2</v>
      </c>
      <c r="J853" s="3">
        <f t="shared" si="65"/>
        <v>108.25547445255475</v>
      </c>
      <c r="K853" s="29">
        <f t="shared" si="69"/>
        <v>4.6844939379138379</v>
      </c>
    </row>
    <row r="854" spans="1:11" x14ac:dyDescent="0.3">
      <c r="A854" s="26">
        <v>0.77417499999999995</v>
      </c>
      <c r="B854" s="2">
        <v>9.6500000000000002E-2</v>
      </c>
      <c r="C854" s="2" t="s">
        <v>5</v>
      </c>
      <c r="D854" s="2">
        <v>-1</v>
      </c>
      <c r="E854" s="2">
        <v>100.366</v>
      </c>
      <c r="F854" s="2">
        <v>853</v>
      </c>
      <c r="G854" s="2">
        <f t="shared" si="66"/>
        <v>-0.117999999999995</v>
      </c>
      <c r="H854" s="2">
        <f t="shared" si="67"/>
        <v>-1.2227979274610881</v>
      </c>
      <c r="I854" s="2">
        <f t="shared" si="68"/>
        <v>0.117999999999995</v>
      </c>
      <c r="J854" s="2">
        <f t="shared" si="65"/>
        <v>108.25547445255475</v>
      </c>
      <c r="K854" s="27">
        <f t="shared" si="69"/>
        <v>4.6844939379138379</v>
      </c>
    </row>
    <row r="855" spans="1:11" x14ac:dyDescent="0.3">
      <c r="A855" s="28">
        <v>0.775119</v>
      </c>
      <c r="B855" s="3">
        <v>0.1087</v>
      </c>
      <c r="C855" s="3">
        <v>16</v>
      </c>
      <c r="D855" s="3">
        <v>-1</v>
      </c>
      <c r="E855" s="3">
        <v>100.248</v>
      </c>
      <c r="F855" s="3">
        <v>854</v>
      </c>
      <c r="G855" s="3">
        <f t="shared" si="66"/>
        <v>-2.1000000000000796E-2</v>
      </c>
      <c r="H855" s="3">
        <f t="shared" si="67"/>
        <v>-0.19319227230911495</v>
      </c>
      <c r="I855" s="3">
        <f t="shared" si="68"/>
        <v>2.1000000000000796E-2</v>
      </c>
      <c r="J855" s="3">
        <f t="shared" si="65"/>
        <v>16</v>
      </c>
      <c r="K855" s="29">
        <f t="shared" si="69"/>
        <v>2.7725887222397811</v>
      </c>
    </row>
    <row r="856" spans="1:11" x14ac:dyDescent="0.3">
      <c r="A856" s="26">
        <v>0.77587399999999995</v>
      </c>
      <c r="B856" s="2">
        <v>8.9700000000000002E-2</v>
      </c>
      <c r="C856" s="2" t="s">
        <v>5</v>
      </c>
      <c r="D856" s="2">
        <v>1</v>
      </c>
      <c r="E856" s="2">
        <v>100.227</v>
      </c>
      <c r="F856" s="2">
        <v>855</v>
      </c>
      <c r="G856" s="2">
        <f t="shared" si="66"/>
        <v>3.4999999999996589E-2</v>
      </c>
      <c r="H856" s="2">
        <f t="shared" si="67"/>
        <v>0.39018952062426521</v>
      </c>
      <c r="I856" s="2">
        <f t="shared" si="68"/>
        <v>3.4999999999996589E-2</v>
      </c>
      <c r="J856" s="2">
        <f t="shared" si="65"/>
        <v>108.25547445255475</v>
      </c>
      <c r="K856" s="27">
        <f t="shared" si="69"/>
        <v>4.6844939379138379</v>
      </c>
    </row>
    <row r="857" spans="1:11" x14ac:dyDescent="0.3">
      <c r="A857" s="28">
        <v>0.77632199999999996</v>
      </c>
      <c r="B857" s="3">
        <v>8.0799999999999997E-2</v>
      </c>
      <c r="C857" s="3" t="s">
        <v>5</v>
      </c>
      <c r="D857" s="3">
        <v>-1</v>
      </c>
      <c r="E857" s="3">
        <v>100.262</v>
      </c>
      <c r="F857" s="3">
        <v>856</v>
      </c>
      <c r="G857" s="3">
        <f t="shared" si="66"/>
        <v>-4.2000000000001592E-2</v>
      </c>
      <c r="H857" s="3">
        <f t="shared" si="67"/>
        <v>-0.51980198019803947</v>
      </c>
      <c r="I857" s="3">
        <f t="shared" si="68"/>
        <v>4.2000000000001592E-2</v>
      </c>
      <c r="J857" s="3">
        <f t="shared" si="65"/>
        <v>108.25547445255475</v>
      </c>
      <c r="K857" s="29">
        <f t="shared" si="69"/>
        <v>4.6844939379138379</v>
      </c>
    </row>
    <row r="858" spans="1:11" x14ac:dyDescent="0.3">
      <c r="A858" s="26">
        <v>0.77728600000000003</v>
      </c>
      <c r="B858" s="2">
        <v>0.10680000000000001</v>
      </c>
      <c r="C858" s="2" t="s">
        <v>5</v>
      </c>
      <c r="D858" s="2">
        <v>-1</v>
      </c>
      <c r="E858" s="2">
        <v>100.22</v>
      </c>
      <c r="F858" s="2">
        <v>857</v>
      </c>
      <c r="G858" s="2">
        <f t="shared" si="66"/>
        <v>-1.9999999999996021E-2</v>
      </c>
      <c r="H858" s="2">
        <f t="shared" si="67"/>
        <v>-0.18726591760295899</v>
      </c>
      <c r="I858" s="2">
        <f t="shared" si="68"/>
        <v>1.9999999999996021E-2</v>
      </c>
      <c r="J858" s="2">
        <f t="shared" si="65"/>
        <v>108.25547445255475</v>
      </c>
      <c r="K858" s="27">
        <f t="shared" si="69"/>
        <v>4.6844939379138379</v>
      </c>
    </row>
    <row r="859" spans="1:11" x14ac:dyDescent="0.3">
      <c r="A859" s="28">
        <v>0.77881100000000003</v>
      </c>
      <c r="B859" s="3">
        <v>9.3200000000000005E-2</v>
      </c>
      <c r="C859" s="3" t="s">
        <v>5</v>
      </c>
      <c r="D859" s="3">
        <v>1</v>
      </c>
      <c r="E859" s="3">
        <v>100.2</v>
      </c>
      <c r="F859" s="3">
        <v>858</v>
      </c>
      <c r="G859" s="3">
        <f t="shared" si="66"/>
        <v>2.1000000000000796E-2</v>
      </c>
      <c r="H859" s="3">
        <f t="shared" si="67"/>
        <v>0.22532188841202569</v>
      </c>
      <c r="I859" s="3">
        <f t="shared" si="68"/>
        <v>2.1000000000000796E-2</v>
      </c>
      <c r="J859" s="3">
        <f t="shared" si="65"/>
        <v>108.25547445255475</v>
      </c>
      <c r="K859" s="29">
        <f t="shared" si="69"/>
        <v>4.6844939379138379</v>
      </c>
    </row>
    <row r="860" spans="1:11" x14ac:dyDescent="0.3">
      <c r="A860" s="26">
        <v>0.78023399999999998</v>
      </c>
      <c r="B860" s="2">
        <v>9.0200000000000002E-2</v>
      </c>
      <c r="C860" s="2" t="s">
        <v>5</v>
      </c>
      <c r="D860" s="2">
        <v>1</v>
      </c>
      <c r="E860" s="2">
        <v>100.221</v>
      </c>
      <c r="F860" s="2">
        <v>859</v>
      </c>
      <c r="G860" s="2">
        <f t="shared" si="66"/>
        <v>6.4999999999997726E-2</v>
      </c>
      <c r="H860" s="2">
        <f t="shared" si="67"/>
        <v>0.72062084257203685</v>
      </c>
      <c r="I860" s="2">
        <f t="shared" si="68"/>
        <v>6.4999999999997726E-2</v>
      </c>
      <c r="J860" s="2">
        <f t="shared" si="65"/>
        <v>108.25547445255475</v>
      </c>
      <c r="K860" s="27">
        <f t="shared" si="69"/>
        <v>4.6844939379138379</v>
      </c>
    </row>
    <row r="861" spans="1:11" x14ac:dyDescent="0.3">
      <c r="A861" s="28">
        <v>0.78079900000000002</v>
      </c>
      <c r="B861" s="3">
        <v>0.105</v>
      </c>
      <c r="C861" s="3">
        <v>221</v>
      </c>
      <c r="D861" s="3">
        <v>-1</v>
      </c>
      <c r="E861" s="3">
        <v>100.286</v>
      </c>
      <c r="F861" s="3">
        <v>860</v>
      </c>
      <c r="G861" s="3">
        <f t="shared" si="66"/>
        <v>-0.10699999999999932</v>
      </c>
      <c r="H861" s="3">
        <f t="shared" si="67"/>
        <v>-1.0190476190476125</v>
      </c>
      <c r="I861" s="3">
        <f t="shared" si="68"/>
        <v>0.10699999999999932</v>
      </c>
      <c r="J861" s="3">
        <f t="shared" si="65"/>
        <v>221</v>
      </c>
      <c r="K861" s="29">
        <f t="shared" si="69"/>
        <v>5.3981627015177525</v>
      </c>
    </row>
    <row r="862" spans="1:11" x14ac:dyDescent="0.3">
      <c r="A862" s="26">
        <v>0.78984299999999996</v>
      </c>
      <c r="B862" s="2">
        <v>8.2400000000000001E-2</v>
      </c>
      <c r="C862" s="2" t="s">
        <v>5</v>
      </c>
      <c r="D862" s="2">
        <v>-1</v>
      </c>
      <c r="E862" s="2">
        <v>100.179</v>
      </c>
      <c r="F862" s="2">
        <v>861</v>
      </c>
      <c r="G862" s="2">
        <f t="shared" si="66"/>
        <v>-1.9999999999996021E-2</v>
      </c>
      <c r="H862" s="2">
        <f t="shared" si="67"/>
        <v>-0.24271844660189346</v>
      </c>
      <c r="I862" s="2">
        <f t="shared" si="68"/>
        <v>1.9999999999996021E-2</v>
      </c>
      <c r="J862" s="2">
        <f t="shared" si="65"/>
        <v>108.25547445255475</v>
      </c>
      <c r="K862" s="27">
        <f t="shared" si="69"/>
        <v>4.6844939379138379</v>
      </c>
    </row>
    <row r="863" spans="1:11" x14ac:dyDescent="0.3">
      <c r="A863" s="28">
        <v>0.79116799999999998</v>
      </c>
      <c r="B863" s="3">
        <v>0.10440000000000001</v>
      </c>
      <c r="C863" s="3" t="s">
        <v>5</v>
      </c>
      <c r="D863" s="3">
        <v>-1</v>
      </c>
      <c r="E863" s="3">
        <v>100.15900000000001</v>
      </c>
      <c r="F863" s="3">
        <v>862</v>
      </c>
      <c r="G863" s="3">
        <f t="shared" si="66"/>
        <v>-0.12400000000000944</v>
      </c>
      <c r="H863" s="3">
        <f t="shared" si="67"/>
        <v>-1.187739463601623</v>
      </c>
      <c r="I863" s="3">
        <f t="shared" si="68"/>
        <v>0.12400000000000944</v>
      </c>
      <c r="J863" s="3">
        <f t="shared" si="65"/>
        <v>108.25547445255475</v>
      </c>
      <c r="K863" s="29">
        <f t="shared" si="69"/>
        <v>4.6844939379138379</v>
      </c>
    </row>
    <row r="864" spans="1:11" x14ac:dyDescent="0.3">
      <c r="A864" s="26">
        <v>0.79125599999999996</v>
      </c>
      <c r="B864" s="2">
        <v>0.11020000000000001</v>
      </c>
      <c r="C864" s="2" t="s">
        <v>5</v>
      </c>
      <c r="D864" s="2">
        <v>-1</v>
      </c>
      <c r="E864" s="2">
        <v>100.035</v>
      </c>
      <c r="F864" s="2">
        <v>863</v>
      </c>
      <c r="G864" s="2">
        <f t="shared" si="66"/>
        <v>-8.100000000000307E-2</v>
      </c>
      <c r="H864" s="2">
        <f t="shared" si="67"/>
        <v>-0.73502722323051783</v>
      </c>
      <c r="I864" s="2">
        <f t="shared" si="68"/>
        <v>8.100000000000307E-2</v>
      </c>
      <c r="J864" s="2">
        <f t="shared" si="65"/>
        <v>108.25547445255475</v>
      </c>
      <c r="K864" s="27">
        <f t="shared" si="69"/>
        <v>4.6844939379138379</v>
      </c>
    </row>
    <row r="865" spans="1:11" x14ac:dyDescent="0.3">
      <c r="A865" s="28">
        <v>0.79200099999999996</v>
      </c>
      <c r="B865" s="3">
        <v>9.5699999999999993E-2</v>
      </c>
      <c r="C865" s="3" t="s">
        <v>5</v>
      </c>
      <c r="D865" s="3">
        <v>-1</v>
      </c>
      <c r="E865" s="3">
        <v>99.953999999999994</v>
      </c>
      <c r="F865" s="3">
        <v>864</v>
      </c>
      <c r="G865" s="3">
        <f t="shared" si="66"/>
        <v>-4.9999999999997158E-2</v>
      </c>
      <c r="H865" s="3">
        <f t="shared" si="67"/>
        <v>-0.52246603970738936</v>
      </c>
      <c r="I865" s="3">
        <f t="shared" si="68"/>
        <v>4.9999999999997158E-2</v>
      </c>
      <c r="J865" s="3">
        <f t="shared" si="65"/>
        <v>108.25547445255475</v>
      </c>
      <c r="K865" s="29">
        <f t="shared" si="69"/>
        <v>4.6844939379138379</v>
      </c>
    </row>
    <row r="866" spans="1:11" x14ac:dyDescent="0.3">
      <c r="A866" s="26">
        <v>0.79421799999999998</v>
      </c>
      <c r="B866" s="2">
        <v>9.2299999999999993E-2</v>
      </c>
      <c r="C866" s="2">
        <v>14</v>
      </c>
      <c r="D866" s="2">
        <v>1</v>
      </c>
      <c r="E866" s="2">
        <v>99.903999999999996</v>
      </c>
      <c r="F866" s="2">
        <v>865</v>
      </c>
      <c r="G866" s="2">
        <f t="shared" si="66"/>
        <v>2.2000000000005571E-2</v>
      </c>
      <c r="H866" s="2">
        <f t="shared" si="67"/>
        <v>0.23835319609973535</v>
      </c>
      <c r="I866" s="2">
        <f t="shared" si="68"/>
        <v>2.2000000000005571E-2</v>
      </c>
      <c r="J866" s="2">
        <f t="shared" si="65"/>
        <v>14</v>
      </c>
      <c r="K866" s="27">
        <f t="shared" si="69"/>
        <v>2.6390573296152584</v>
      </c>
    </row>
    <row r="867" spans="1:11" x14ac:dyDescent="0.3">
      <c r="A867" s="28">
        <v>0.794678</v>
      </c>
      <c r="B867" s="3">
        <v>9.8599999999999993E-2</v>
      </c>
      <c r="C867" s="3" t="s">
        <v>5</v>
      </c>
      <c r="D867" s="3">
        <v>-1</v>
      </c>
      <c r="E867" s="3">
        <v>99.926000000000002</v>
      </c>
      <c r="F867" s="3">
        <v>866</v>
      </c>
      <c r="G867" s="3">
        <f t="shared" si="66"/>
        <v>-6.9000000000002615E-2</v>
      </c>
      <c r="H867" s="3">
        <f t="shared" si="67"/>
        <v>-0.6997971602434343</v>
      </c>
      <c r="I867" s="3">
        <f t="shared" si="68"/>
        <v>6.9000000000002615E-2</v>
      </c>
      <c r="J867" s="3">
        <f t="shared" si="65"/>
        <v>108.25547445255475</v>
      </c>
      <c r="K867" s="29">
        <f t="shared" si="69"/>
        <v>4.6844939379138379</v>
      </c>
    </row>
    <row r="868" spans="1:11" x14ac:dyDescent="0.3">
      <c r="A868" s="26">
        <v>0.79636300000000004</v>
      </c>
      <c r="B868" s="2">
        <v>9.2399999999999996E-2</v>
      </c>
      <c r="C868" s="2" t="s">
        <v>5</v>
      </c>
      <c r="D868" s="2">
        <v>1</v>
      </c>
      <c r="E868" s="2">
        <v>99.856999999999999</v>
      </c>
      <c r="F868" s="2">
        <v>867</v>
      </c>
      <c r="G868" s="2">
        <f t="shared" si="66"/>
        <v>2.1000000000000796E-2</v>
      </c>
      <c r="H868" s="2">
        <f t="shared" si="67"/>
        <v>0.2272727272727359</v>
      </c>
      <c r="I868" s="2">
        <f t="shared" si="68"/>
        <v>2.1000000000000796E-2</v>
      </c>
      <c r="J868" s="2">
        <f t="shared" si="65"/>
        <v>108.25547445255475</v>
      </c>
      <c r="K868" s="27">
        <f t="shared" si="69"/>
        <v>4.6844939379138379</v>
      </c>
    </row>
    <row r="869" spans="1:11" x14ac:dyDescent="0.3">
      <c r="A869" s="28">
        <v>0.79664400000000002</v>
      </c>
      <c r="B869" s="3">
        <v>0.1003</v>
      </c>
      <c r="C869" s="3" t="s">
        <v>5</v>
      </c>
      <c r="D869" s="3">
        <v>-1</v>
      </c>
      <c r="E869" s="3">
        <v>99.878</v>
      </c>
      <c r="F869" s="2">
        <v>868</v>
      </c>
      <c r="G869" s="2">
        <f t="shared" si="66"/>
        <v>-2.8000000000005798E-2</v>
      </c>
      <c r="H869" s="2">
        <f t="shared" si="67"/>
        <v>-0.27916251246266999</v>
      </c>
      <c r="I869" s="2">
        <f t="shared" si="68"/>
        <v>2.8000000000005798E-2</v>
      </c>
      <c r="J869" s="2">
        <f t="shared" si="65"/>
        <v>108.25547445255475</v>
      </c>
      <c r="K869" s="27">
        <f t="shared" si="69"/>
        <v>4.6844939379138379</v>
      </c>
    </row>
    <row r="870" spans="1:11" x14ac:dyDescent="0.3">
      <c r="A870" s="26">
        <v>0.79898000000000002</v>
      </c>
      <c r="B870" s="2">
        <v>0.10879999999999999</v>
      </c>
      <c r="C870" s="2" t="s">
        <v>5</v>
      </c>
      <c r="D870" s="2">
        <v>-1</v>
      </c>
      <c r="E870" s="2">
        <v>99.85</v>
      </c>
      <c r="F870" s="3">
        <v>869</v>
      </c>
      <c r="G870" s="3">
        <f t="shared" si="66"/>
        <v>-9.9999999999909051E-3</v>
      </c>
      <c r="H870" s="3">
        <f t="shared" si="67"/>
        <v>-9.191176470579876E-2</v>
      </c>
      <c r="I870" s="3">
        <f t="shared" si="68"/>
        <v>9.9999999999909051E-3</v>
      </c>
      <c r="J870" s="3">
        <f t="shared" si="65"/>
        <v>108.25547445255475</v>
      </c>
      <c r="K870" s="29">
        <f t="shared" si="69"/>
        <v>4.6844939379138379</v>
      </c>
    </row>
    <row r="871" spans="1:11" x14ac:dyDescent="0.3">
      <c r="A871" s="28">
        <v>0.79987299999999995</v>
      </c>
      <c r="B871" s="3">
        <v>0.1166</v>
      </c>
      <c r="C871" s="3" t="s">
        <v>5</v>
      </c>
      <c r="D871" s="3">
        <v>-1</v>
      </c>
      <c r="E871" s="3">
        <v>99.84</v>
      </c>
      <c r="F871" s="2">
        <v>870</v>
      </c>
      <c r="G871" s="2">
        <f t="shared" si="66"/>
        <v>-6.0000000000002274E-2</v>
      </c>
      <c r="H871" s="2">
        <f t="shared" si="67"/>
        <v>-0.51457975986279825</v>
      </c>
      <c r="I871" s="2">
        <f t="shared" si="68"/>
        <v>6.0000000000002274E-2</v>
      </c>
      <c r="J871" s="2">
        <f t="shared" si="65"/>
        <v>108.25547445255475</v>
      </c>
      <c r="K871" s="27">
        <f t="shared" si="69"/>
        <v>4.6844939379138379</v>
      </c>
    </row>
    <row r="872" spans="1:11" x14ac:dyDescent="0.3">
      <c r="A872" s="26">
        <v>0.799875</v>
      </c>
      <c r="B872" s="2">
        <v>0.10249999999999999</v>
      </c>
      <c r="C872" s="2" t="s">
        <v>5</v>
      </c>
      <c r="D872" s="2">
        <v>-1</v>
      </c>
      <c r="E872" s="2">
        <v>99.78</v>
      </c>
      <c r="F872" s="3">
        <v>871</v>
      </c>
      <c r="G872" s="3">
        <f t="shared" si="66"/>
        <v>3.0000000000001137E-3</v>
      </c>
      <c r="H872" s="3">
        <f t="shared" si="67"/>
        <v>2.9268292682927941E-2</v>
      </c>
      <c r="I872" s="3">
        <f t="shared" si="68"/>
        <v>-3.0000000000001137E-3</v>
      </c>
      <c r="J872" s="3">
        <f t="shared" si="65"/>
        <v>108.25547445255475</v>
      </c>
      <c r="K872" s="29">
        <f t="shared" si="69"/>
        <v>4.6844939379138379</v>
      </c>
    </row>
    <row r="873" spans="1:11" x14ac:dyDescent="0.3">
      <c r="A873" s="28">
        <v>0.80027300000000001</v>
      </c>
      <c r="B873" s="3">
        <v>0.1082</v>
      </c>
      <c r="C873" s="3" t="s">
        <v>5</v>
      </c>
      <c r="D873" s="3">
        <v>1</v>
      </c>
      <c r="E873" s="3">
        <v>99.783000000000001</v>
      </c>
      <c r="F873" s="2">
        <v>872</v>
      </c>
      <c r="G873" s="2">
        <f t="shared" si="66"/>
        <v>8.1999999999993634E-2</v>
      </c>
      <c r="H873" s="2">
        <f t="shared" si="67"/>
        <v>0.75785582255077288</v>
      </c>
      <c r="I873" s="2">
        <f t="shared" si="68"/>
        <v>8.1999999999993634E-2</v>
      </c>
      <c r="J873" s="2">
        <f t="shared" si="65"/>
        <v>108.25547445255475</v>
      </c>
      <c r="K873" s="27">
        <f t="shared" si="69"/>
        <v>4.6844939379138379</v>
      </c>
    </row>
    <row r="874" spans="1:11" x14ac:dyDescent="0.3">
      <c r="A874" s="26">
        <v>0.80514699999999995</v>
      </c>
      <c r="B874" s="2">
        <v>0.112</v>
      </c>
      <c r="C874" s="2" t="s">
        <v>5</v>
      </c>
      <c r="D874" s="2">
        <v>-1</v>
      </c>
      <c r="E874" s="2">
        <v>99.864999999999995</v>
      </c>
      <c r="F874" s="3">
        <v>873</v>
      </c>
      <c r="G874" s="3">
        <f t="shared" si="66"/>
        <v>-4.5999999999992269E-2</v>
      </c>
      <c r="H874" s="3">
        <f t="shared" si="67"/>
        <v>-0.4107142857142167</v>
      </c>
      <c r="I874" s="3">
        <f t="shared" si="68"/>
        <v>4.5999999999992269E-2</v>
      </c>
      <c r="J874" s="3">
        <f t="shared" si="65"/>
        <v>108.25547445255475</v>
      </c>
      <c r="K874" s="29">
        <f t="shared" si="69"/>
        <v>4.6844939379138379</v>
      </c>
    </row>
    <row r="875" spans="1:11" x14ac:dyDescent="0.3">
      <c r="A875" s="28">
        <v>0.81020899999999996</v>
      </c>
      <c r="B875" s="3">
        <v>7.5700000000000003E-2</v>
      </c>
      <c r="C875" s="3" t="s">
        <v>5</v>
      </c>
      <c r="D875" s="3">
        <v>-1</v>
      </c>
      <c r="E875" s="3">
        <v>99.819000000000003</v>
      </c>
      <c r="F875" s="2">
        <v>874</v>
      </c>
      <c r="G875" s="2">
        <f t="shared" si="66"/>
        <v>-9.1999999999998749E-2</v>
      </c>
      <c r="H875" s="2">
        <f t="shared" si="67"/>
        <v>-1.2153236459709214</v>
      </c>
      <c r="I875" s="2">
        <f t="shared" si="68"/>
        <v>9.1999999999998749E-2</v>
      </c>
      <c r="J875" s="2">
        <f t="shared" si="65"/>
        <v>108.25547445255475</v>
      </c>
      <c r="K875" s="27">
        <f t="shared" si="69"/>
        <v>4.6844939379138379</v>
      </c>
    </row>
    <row r="876" spans="1:11" x14ac:dyDescent="0.3">
      <c r="A876" s="26">
        <v>0.81070500000000001</v>
      </c>
      <c r="B876" s="2">
        <v>9.8400000000000001E-2</v>
      </c>
      <c r="C876" s="2" t="s">
        <v>5</v>
      </c>
      <c r="D876" s="2">
        <v>-1</v>
      </c>
      <c r="E876" s="2">
        <v>99.727000000000004</v>
      </c>
      <c r="F876" s="3">
        <v>875</v>
      </c>
      <c r="G876" s="3">
        <f t="shared" si="66"/>
        <v>-2.9000000000010573E-2</v>
      </c>
      <c r="H876" s="3">
        <f t="shared" si="67"/>
        <v>-0.29471544715457898</v>
      </c>
      <c r="I876" s="3">
        <f t="shared" si="68"/>
        <v>2.9000000000010573E-2</v>
      </c>
      <c r="J876" s="3">
        <f t="shared" si="65"/>
        <v>108.25547445255475</v>
      </c>
      <c r="K876" s="29">
        <f t="shared" si="69"/>
        <v>4.6844939379138379</v>
      </c>
    </row>
    <row r="877" spans="1:11" x14ac:dyDescent="0.3">
      <c r="A877" s="28">
        <v>0.81103099999999995</v>
      </c>
      <c r="B877" s="3">
        <v>8.3299999999999999E-2</v>
      </c>
      <c r="C877" s="3" t="s">
        <v>5</v>
      </c>
      <c r="D877" s="3">
        <v>-1</v>
      </c>
      <c r="E877" s="3">
        <v>99.697999999999993</v>
      </c>
      <c r="F877" s="2">
        <v>876</v>
      </c>
      <c r="G877" s="2">
        <f t="shared" si="66"/>
        <v>-7.6999999999998181E-2</v>
      </c>
      <c r="H877" s="2">
        <f t="shared" si="67"/>
        <v>-0.92436974789913784</v>
      </c>
      <c r="I877" s="2">
        <f t="shared" si="68"/>
        <v>7.6999999999998181E-2</v>
      </c>
      <c r="J877" s="2">
        <f t="shared" si="65"/>
        <v>108.25547445255475</v>
      </c>
      <c r="K877" s="27">
        <f t="shared" si="69"/>
        <v>4.6844939379138379</v>
      </c>
    </row>
    <row r="878" spans="1:11" x14ac:dyDescent="0.3">
      <c r="A878" s="26">
        <v>0.81470200000000004</v>
      </c>
      <c r="B878" s="2">
        <v>9.4399999999999998E-2</v>
      </c>
      <c r="C878" s="2" t="s">
        <v>5</v>
      </c>
      <c r="D878" s="2">
        <v>-1</v>
      </c>
      <c r="E878" s="2">
        <v>99.620999999999995</v>
      </c>
      <c r="F878" s="3">
        <v>877</v>
      </c>
      <c r="G878" s="3">
        <f t="shared" si="66"/>
        <v>-7.9999999999998295E-2</v>
      </c>
      <c r="H878" s="3">
        <f t="shared" si="67"/>
        <v>-0.84745762711862604</v>
      </c>
      <c r="I878" s="3">
        <f t="shared" si="68"/>
        <v>7.9999999999998295E-2</v>
      </c>
      <c r="J878" s="3">
        <f t="shared" si="65"/>
        <v>108.25547445255475</v>
      </c>
      <c r="K878" s="29">
        <f t="shared" si="69"/>
        <v>4.6844939379138379</v>
      </c>
    </row>
    <row r="879" spans="1:11" x14ac:dyDescent="0.3">
      <c r="A879" s="28">
        <v>0.81535999999999997</v>
      </c>
      <c r="B879" s="3">
        <v>8.9700000000000002E-2</v>
      </c>
      <c r="C879" s="3" t="s">
        <v>5</v>
      </c>
      <c r="D879" s="3">
        <v>1</v>
      </c>
      <c r="E879" s="3">
        <v>99.540999999999997</v>
      </c>
      <c r="F879" s="2">
        <v>878</v>
      </c>
      <c r="G879" s="2">
        <f t="shared" si="66"/>
        <v>7.9999999999998295E-2</v>
      </c>
      <c r="H879" s="2">
        <f t="shared" si="67"/>
        <v>0.89186176142695983</v>
      </c>
      <c r="I879" s="2">
        <f t="shared" si="68"/>
        <v>7.9999999999998295E-2</v>
      </c>
      <c r="J879" s="2">
        <f t="shared" si="65"/>
        <v>108.25547445255475</v>
      </c>
      <c r="K879" s="27">
        <f t="shared" si="69"/>
        <v>4.6844939379138379</v>
      </c>
    </row>
    <row r="880" spans="1:11" x14ac:dyDescent="0.3">
      <c r="A880" s="26">
        <v>0.81601199999999996</v>
      </c>
      <c r="B880" s="2">
        <v>0.10979999999999999</v>
      </c>
      <c r="C880" s="2" t="s">
        <v>5</v>
      </c>
      <c r="D880" s="2">
        <v>1</v>
      </c>
      <c r="E880" s="2">
        <v>99.620999999999995</v>
      </c>
      <c r="F880" s="3">
        <v>879</v>
      </c>
      <c r="G880" s="3">
        <f t="shared" si="66"/>
        <v>2.9000000000010573E-2</v>
      </c>
      <c r="H880" s="3">
        <f t="shared" si="67"/>
        <v>0.26411657559208174</v>
      </c>
      <c r="I880" s="3">
        <f t="shared" si="68"/>
        <v>2.9000000000010573E-2</v>
      </c>
      <c r="J880" s="3">
        <f t="shared" si="65"/>
        <v>108.25547445255475</v>
      </c>
      <c r="K880" s="29">
        <f t="shared" si="69"/>
        <v>4.6844939379138379</v>
      </c>
    </row>
    <row r="881" spans="1:11" x14ac:dyDescent="0.3">
      <c r="A881" s="28">
        <v>0.81795700000000005</v>
      </c>
      <c r="B881" s="3">
        <v>8.5099999999999995E-2</v>
      </c>
      <c r="C881" s="3" t="s">
        <v>5</v>
      </c>
      <c r="D881" s="3">
        <v>1</v>
      </c>
      <c r="E881" s="3">
        <v>99.65</v>
      </c>
      <c r="F881" s="2">
        <v>880</v>
      </c>
      <c r="G881" s="2">
        <f t="shared" si="66"/>
        <v>1.5000000000000568E-2</v>
      </c>
      <c r="H881" s="2">
        <f t="shared" si="67"/>
        <v>0.17626321974148729</v>
      </c>
      <c r="I881" s="2">
        <f t="shared" si="68"/>
        <v>1.5000000000000568E-2</v>
      </c>
      <c r="J881" s="2">
        <f t="shared" si="65"/>
        <v>108.25547445255475</v>
      </c>
      <c r="K881" s="27">
        <f t="shared" si="69"/>
        <v>4.6844939379138379</v>
      </c>
    </row>
    <row r="882" spans="1:11" x14ac:dyDescent="0.3">
      <c r="A882" s="26">
        <v>0.81869099999999995</v>
      </c>
      <c r="B882" s="2">
        <v>9.7000000000000003E-2</v>
      </c>
      <c r="C882" s="2" t="s">
        <v>5</v>
      </c>
      <c r="D882" s="2">
        <v>1</v>
      </c>
      <c r="E882" s="2">
        <v>99.665000000000006</v>
      </c>
      <c r="F882" s="3">
        <v>881</v>
      </c>
      <c r="G882" s="3">
        <f t="shared" si="66"/>
        <v>0.13199999999999079</v>
      </c>
      <c r="H882" s="3">
        <f t="shared" si="67"/>
        <v>1.3608247422679463</v>
      </c>
      <c r="I882" s="3">
        <f t="shared" si="68"/>
        <v>0.13199999999999079</v>
      </c>
      <c r="J882" s="3">
        <f t="shared" si="65"/>
        <v>108.25547445255475</v>
      </c>
      <c r="K882" s="29">
        <f t="shared" si="69"/>
        <v>4.6844939379138379</v>
      </c>
    </row>
    <row r="883" spans="1:11" x14ac:dyDescent="0.3">
      <c r="A883" s="28">
        <v>0.819021</v>
      </c>
      <c r="B883" s="3">
        <v>9.0800000000000006E-2</v>
      </c>
      <c r="C883" s="3" t="s">
        <v>5</v>
      </c>
      <c r="D883" s="3">
        <v>1</v>
      </c>
      <c r="E883" s="3">
        <v>99.796999999999997</v>
      </c>
      <c r="F883" s="2">
        <v>882</v>
      </c>
      <c r="G883" s="2">
        <f t="shared" si="66"/>
        <v>6.1000000000007049E-2</v>
      </c>
      <c r="H883" s="2">
        <f t="shared" si="67"/>
        <v>0.67180616740095866</v>
      </c>
      <c r="I883" s="2">
        <f t="shared" si="68"/>
        <v>6.1000000000007049E-2</v>
      </c>
      <c r="J883" s="2">
        <f t="shared" si="65"/>
        <v>108.25547445255475</v>
      </c>
      <c r="K883" s="27">
        <f t="shared" si="69"/>
        <v>4.6844939379138379</v>
      </c>
    </row>
    <row r="884" spans="1:11" x14ac:dyDescent="0.3">
      <c r="A884" s="26">
        <v>0.81940100000000005</v>
      </c>
      <c r="B884" s="2">
        <v>0.11360000000000001</v>
      </c>
      <c r="C884" s="2" t="s">
        <v>5</v>
      </c>
      <c r="D884" s="2">
        <v>1</v>
      </c>
      <c r="E884" s="2">
        <v>99.858000000000004</v>
      </c>
      <c r="F884" s="3">
        <v>883</v>
      </c>
      <c r="G884" s="3">
        <f t="shared" si="66"/>
        <v>0.11999999999999034</v>
      </c>
      <c r="H884" s="3">
        <f t="shared" si="67"/>
        <v>1.056338028168929</v>
      </c>
      <c r="I884" s="3">
        <f t="shared" si="68"/>
        <v>0.11999999999999034</v>
      </c>
      <c r="J884" s="3">
        <f t="shared" si="65"/>
        <v>108.25547445255475</v>
      </c>
      <c r="K884" s="29">
        <f t="shared" si="69"/>
        <v>4.6844939379138379</v>
      </c>
    </row>
    <row r="885" spans="1:11" x14ac:dyDescent="0.3">
      <c r="A885" s="28">
        <v>0.819415</v>
      </c>
      <c r="B885" s="3">
        <v>0.11990000000000001</v>
      </c>
      <c r="C885" s="3" t="s">
        <v>5</v>
      </c>
      <c r="D885" s="3">
        <v>-1</v>
      </c>
      <c r="E885" s="3">
        <v>99.977999999999994</v>
      </c>
      <c r="F885" s="2">
        <v>884</v>
      </c>
      <c r="G885" s="2">
        <f t="shared" si="66"/>
        <v>-9.0999999999993975E-2</v>
      </c>
      <c r="H885" s="2">
        <f t="shared" si="67"/>
        <v>-0.75896580483731413</v>
      </c>
      <c r="I885" s="2">
        <f t="shared" si="68"/>
        <v>9.0999999999993975E-2</v>
      </c>
      <c r="J885" s="2">
        <f t="shared" si="65"/>
        <v>108.25547445255475</v>
      </c>
      <c r="K885" s="27">
        <f t="shared" si="69"/>
        <v>4.6844939379138379</v>
      </c>
    </row>
    <row r="886" spans="1:11" x14ac:dyDescent="0.3">
      <c r="A886" s="26">
        <v>0.82609600000000005</v>
      </c>
      <c r="B886" s="2">
        <v>8.3799999999999999E-2</v>
      </c>
      <c r="C886" s="2" t="s">
        <v>5</v>
      </c>
      <c r="D886" s="2">
        <v>1</v>
      </c>
      <c r="E886" s="2">
        <v>99.887</v>
      </c>
      <c r="F886" s="2">
        <v>885</v>
      </c>
      <c r="G886" s="2">
        <f t="shared" si="66"/>
        <v>1.2000000000000455E-2</v>
      </c>
      <c r="H886" s="2">
        <f t="shared" si="67"/>
        <v>0.14319809069212952</v>
      </c>
      <c r="I886" s="2">
        <f t="shared" si="68"/>
        <v>1.2000000000000455E-2</v>
      </c>
      <c r="J886" s="2">
        <f t="shared" si="65"/>
        <v>108.25547445255475</v>
      </c>
      <c r="K886" s="27">
        <f t="shared" si="69"/>
        <v>4.6844939379138379</v>
      </c>
    </row>
    <row r="887" spans="1:11" x14ac:dyDescent="0.3">
      <c r="A887" s="28">
        <v>0.82785399999999998</v>
      </c>
      <c r="B887" s="3">
        <v>0.10970000000000001</v>
      </c>
      <c r="C887" s="3" t="s">
        <v>5</v>
      </c>
      <c r="D887" s="3">
        <v>-1</v>
      </c>
      <c r="E887" s="3">
        <v>99.899000000000001</v>
      </c>
      <c r="F887" s="3">
        <v>886</v>
      </c>
      <c r="G887" s="3">
        <f t="shared" si="66"/>
        <v>-7.9999999999955662E-3</v>
      </c>
      <c r="H887" s="3">
        <f t="shared" si="67"/>
        <v>-7.2926162260670613E-2</v>
      </c>
      <c r="I887" s="3">
        <f t="shared" si="68"/>
        <v>7.9999999999955662E-3</v>
      </c>
      <c r="J887" s="3">
        <f t="shared" si="65"/>
        <v>108.25547445255475</v>
      </c>
      <c r="K887" s="29">
        <f t="shared" si="69"/>
        <v>4.6844939379138379</v>
      </c>
    </row>
    <row r="888" spans="1:11" x14ac:dyDescent="0.3">
      <c r="A888" s="26">
        <v>0.82824699999999996</v>
      </c>
      <c r="B888" s="2">
        <v>8.5400000000000004E-2</v>
      </c>
      <c r="C888" s="2" t="s">
        <v>5</v>
      </c>
      <c r="D888" s="2">
        <v>1</v>
      </c>
      <c r="E888" s="2">
        <v>99.891000000000005</v>
      </c>
      <c r="F888" s="2">
        <v>887</v>
      </c>
      <c r="G888" s="2">
        <f t="shared" si="66"/>
        <v>2.5999999999996248E-2</v>
      </c>
      <c r="H888" s="2">
        <f t="shared" si="67"/>
        <v>0.30444964871189983</v>
      </c>
      <c r="I888" s="2">
        <f t="shared" si="68"/>
        <v>2.5999999999996248E-2</v>
      </c>
      <c r="J888" s="2">
        <f t="shared" si="65"/>
        <v>108.25547445255475</v>
      </c>
      <c r="K888" s="27">
        <f t="shared" si="69"/>
        <v>4.6844939379138379</v>
      </c>
    </row>
    <row r="889" spans="1:11" x14ac:dyDescent="0.3">
      <c r="A889" s="28">
        <v>0.82923899999999995</v>
      </c>
      <c r="B889" s="3">
        <v>0.1</v>
      </c>
      <c r="C889" s="3" t="s">
        <v>5</v>
      </c>
      <c r="D889" s="3">
        <v>-1</v>
      </c>
      <c r="E889" s="3">
        <v>99.917000000000002</v>
      </c>
      <c r="F889" s="3">
        <v>888</v>
      </c>
      <c r="G889" s="3">
        <f t="shared" si="66"/>
        <v>-7.0000000000050022E-3</v>
      </c>
      <c r="H889" s="3">
        <f t="shared" si="67"/>
        <v>-7.0000000000050022E-2</v>
      </c>
      <c r="I889" s="3">
        <f t="shared" si="68"/>
        <v>7.0000000000050022E-3</v>
      </c>
      <c r="J889" s="3">
        <f t="shared" si="65"/>
        <v>108.25547445255475</v>
      </c>
      <c r="K889" s="29">
        <f t="shared" si="69"/>
        <v>4.6844939379138379</v>
      </c>
    </row>
    <row r="890" spans="1:11" x14ac:dyDescent="0.3">
      <c r="A890" s="26">
        <v>0.82972900000000005</v>
      </c>
      <c r="B890" s="2">
        <v>0.1206</v>
      </c>
      <c r="C890" s="2" t="s">
        <v>5</v>
      </c>
      <c r="D890" s="2">
        <v>1</v>
      </c>
      <c r="E890" s="2">
        <v>99.91</v>
      </c>
      <c r="F890" s="2">
        <v>889</v>
      </c>
      <c r="G890" s="2">
        <f t="shared" si="66"/>
        <v>4.9999999999997158E-2</v>
      </c>
      <c r="H890" s="2">
        <f t="shared" si="67"/>
        <v>0.41459369817576419</v>
      </c>
      <c r="I890" s="2">
        <f t="shared" si="68"/>
        <v>4.9999999999997158E-2</v>
      </c>
      <c r="J890" s="2">
        <f t="shared" si="65"/>
        <v>108.25547445255475</v>
      </c>
      <c r="K890" s="27">
        <f t="shared" si="69"/>
        <v>4.6844939379138379</v>
      </c>
    </row>
    <row r="891" spans="1:11" x14ac:dyDescent="0.3">
      <c r="A891" s="28">
        <v>0.82997600000000005</v>
      </c>
      <c r="B891" s="3">
        <v>0.1057</v>
      </c>
      <c r="C891" s="3" t="s">
        <v>5</v>
      </c>
      <c r="D891" s="3">
        <v>-1</v>
      </c>
      <c r="E891" s="3">
        <v>99.96</v>
      </c>
      <c r="F891" s="3">
        <v>890</v>
      </c>
      <c r="G891" s="3">
        <f t="shared" si="66"/>
        <v>-1.099999999999568E-2</v>
      </c>
      <c r="H891" s="3">
        <f t="shared" si="67"/>
        <v>-0.10406811731310955</v>
      </c>
      <c r="I891" s="3">
        <f t="shared" si="68"/>
        <v>1.099999999999568E-2</v>
      </c>
      <c r="J891" s="3">
        <f t="shared" si="65"/>
        <v>108.25547445255475</v>
      </c>
      <c r="K891" s="29">
        <f t="shared" si="69"/>
        <v>4.6844939379138379</v>
      </c>
    </row>
    <row r="892" spans="1:11" x14ac:dyDescent="0.3">
      <c r="A892" s="26">
        <v>0.83010099999999998</v>
      </c>
      <c r="B892" s="2">
        <v>8.7099999999999997E-2</v>
      </c>
      <c r="C892" s="2" t="s">
        <v>5</v>
      </c>
      <c r="D892" s="2">
        <v>1</v>
      </c>
      <c r="E892" s="2">
        <v>99.948999999999998</v>
      </c>
      <c r="F892" s="2">
        <v>891</v>
      </c>
      <c r="G892" s="2">
        <f t="shared" si="66"/>
        <v>2.7000000000001023E-2</v>
      </c>
      <c r="H892" s="2">
        <f t="shared" si="67"/>
        <v>0.30998851894375457</v>
      </c>
      <c r="I892" s="2">
        <f t="shared" si="68"/>
        <v>2.7000000000001023E-2</v>
      </c>
      <c r="J892" s="2">
        <f t="shared" si="65"/>
        <v>108.25547445255475</v>
      </c>
      <c r="K892" s="27">
        <f t="shared" si="69"/>
        <v>4.6844939379138379</v>
      </c>
    </row>
    <row r="893" spans="1:11" x14ac:dyDescent="0.3">
      <c r="A893" s="28">
        <v>0.83144499999999999</v>
      </c>
      <c r="B893" s="3">
        <v>9.9900000000000003E-2</v>
      </c>
      <c r="C893" s="3" t="s">
        <v>5</v>
      </c>
      <c r="D893" s="3">
        <v>-1</v>
      </c>
      <c r="E893" s="3">
        <v>99.975999999999999</v>
      </c>
      <c r="F893" s="3">
        <v>892</v>
      </c>
      <c r="G893" s="3">
        <f t="shared" si="66"/>
        <v>-6.0000000000002274E-2</v>
      </c>
      <c r="H893" s="3">
        <f t="shared" si="67"/>
        <v>-0.60060060060062337</v>
      </c>
      <c r="I893" s="3">
        <f t="shared" si="68"/>
        <v>6.0000000000002274E-2</v>
      </c>
      <c r="J893" s="3">
        <f t="shared" si="65"/>
        <v>108.25547445255475</v>
      </c>
      <c r="K893" s="29">
        <f t="shared" si="69"/>
        <v>4.6844939379138379</v>
      </c>
    </row>
    <row r="894" spans="1:11" x14ac:dyDescent="0.3">
      <c r="A894" s="26">
        <v>0.83479400000000004</v>
      </c>
      <c r="B894" s="2">
        <v>7.4499999999999997E-2</v>
      </c>
      <c r="C894" s="2" t="s">
        <v>5</v>
      </c>
      <c r="D894" s="2">
        <v>1</v>
      </c>
      <c r="E894" s="2">
        <v>99.915999999999997</v>
      </c>
      <c r="F894" s="2">
        <v>893</v>
      </c>
      <c r="G894" s="2">
        <f t="shared" si="66"/>
        <v>3.9000000000001478E-2</v>
      </c>
      <c r="H894" s="2">
        <f t="shared" si="67"/>
        <v>0.52348993288592593</v>
      </c>
      <c r="I894" s="2">
        <f t="shared" si="68"/>
        <v>3.9000000000001478E-2</v>
      </c>
      <c r="J894" s="2">
        <f t="shared" si="65"/>
        <v>108.25547445255475</v>
      </c>
      <c r="K894" s="27">
        <f t="shared" si="69"/>
        <v>4.6844939379138379</v>
      </c>
    </row>
    <row r="895" spans="1:11" x14ac:dyDescent="0.3">
      <c r="A895" s="28">
        <v>0.83631299999999997</v>
      </c>
      <c r="B895" s="3">
        <v>9.0300000000000005E-2</v>
      </c>
      <c r="C895" s="3">
        <v>48</v>
      </c>
      <c r="D895" s="3">
        <v>-1</v>
      </c>
      <c r="E895" s="3">
        <v>99.954999999999998</v>
      </c>
      <c r="F895" s="3">
        <v>894</v>
      </c>
      <c r="G895" s="3">
        <f t="shared" si="66"/>
        <v>-3.9000000000001478E-2</v>
      </c>
      <c r="H895" s="3">
        <f t="shared" si="67"/>
        <v>-0.43189368770765751</v>
      </c>
      <c r="I895" s="3">
        <f t="shared" si="68"/>
        <v>3.9000000000001478E-2</v>
      </c>
      <c r="J895" s="3">
        <f t="shared" si="65"/>
        <v>48</v>
      </c>
      <c r="K895" s="29">
        <f t="shared" si="69"/>
        <v>3.8712010109078911</v>
      </c>
    </row>
    <row r="896" spans="1:11" x14ac:dyDescent="0.3">
      <c r="A896" s="26">
        <v>0.83959399999999995</v>
      </c>
      <c r="B896" s="2">
        <v>9.1200000000000003E-2</v>
      </c>
      <c r="C896" s="2" t="s">
        <v>5</v>
      </c>
      <c r="D896" s="2">
        <v>-1</v>
      </c>
      <c r="E896" s="2">
        <v>99.915999999999997</v>
      </c>
      <c r="F896" s="2">
        <v>895</v>
      </c>
      <c r="G896" s="2">
        <f t="shared" si="66"/>
        <v>-4.9999999999997158E-2</v>
      </c>
      <c r="H896" s="2">
        <f t="shared" si="67"/>
        <v>-0.54824561403505656</v>
      </c>
      <c r="I896" s="2">
        <f t="shared" si="68"/>
        <v>4.9999999999997158E-2</v>
      </c>
      <c r="J896" s="2">
        <f t="shared" si="65"/>
        <v>108.25547445255475</v>
      </c>
      <c r="K896" s="27">
        <f t="shared" si="69"/>
        <v>4.6844939379138379</v>
      </c>
    </row>
    <row r="897" spans="1:11" x14ac:dyDescent="0.3">
      <c r="A897" s="28">
        <v>0.83968299999999996</v>
      </c>
      <c r="B897" s="3">
        <v>9.5799999999999996E-2</v>
      </c>
      <c r="C897" s="3" t="s">
        <v>5</v>
      </c>
      <c r="D897" s="3">
        <v>-1</v>
      </c>
      <c r="E897" s="3">
        <v>99.866</v>
      </c>
      <c r="F897" s="3">
        <v>896</v>
      </c>
      <c r="G897" s="3">
        <f t="shared" si="66"/>
        <v>-9.1999999999998749E-2</v>
      </c>
      <c r="H897" s="3">
        <f t="shared" si="67"/>
        <v>-0.96033402922754441</v>
      </c>
      <c r="I897" s="3">
        <f t="shared" si="68"/>
        <v>9.1999999999998749E-2</v>
      </c>
      <c r="J897" s="3">
        <f t="shared" si="65"/>
        <v>108.25547445255475</v>
      </c>
      <c r="K897" s="29">
        <f t="shared" si="69"/>
        <v>4.6844939379138379</v>
      </c>
    </row>
    <row r="898" spans="1:11" x14ac:dyDescent="0.3">
      <c r="A898" s="26">
        <v>0.84089999999999998</v>
      </c>
      <c r="B898" s="2">
        <v>9.5100000000000004E-2</v>
      </c>
      <c r="C898" s="2">
        <v>127</v>
      </c>
      <c r="D898" s="2">
        <v>-1</v>
      </c>
      <c r="E898" s="2">
        <v>99.774000000000001</v>
      </c>
      <c r="F898" s="2">
        <v>897</v>
      </c>
      <c r="G898" s="2">
        <f t="shared" si="66"/>
        <v>-6.3000000000002387E-2</v>
      </c>
      <c r="H898" s="2">
        <f t="shared" si="67"/>
        <v>-0.66246056782336893</v>
      </c>
      <c r="I898" s="2">
        <f t="shared" si="68"/>
        <v>6.3000000000002387E-2</v>
      </c>
      <c r="J898" s="2">
        <f t="shared" ref="J898:J961" si="70">IF(C898="",$AA$1,C898)</f>
        <v>127</v>
      </c>
      <c r="K898" s="27">
        <f t="shared" si="69"/>
        <v>4.8441870864585912</v>
      </c>
    </row>
    <row r="899" spans="1:11" x14ac:dyDescent="0.3">
      <c r="A899" s="28">
        <v>0.84350000000000003</v>
      </c>
      <c r="B899" s="3">
        <v>0.1114</v>
      </c>
      <c r="C899" s="3" t="s">
        <v>5</v>
      </c>
      <c r="D899" s="3">
        <v>1</v>
      </c>
      <c r="E899" s="3">
        <v>99.710999999999999</v>
      </c>
      <c r="F899" s="3">
        <v>898</v>
      </c>
      <c r="G899" s="3">
        <f t="shared" ref="G899:G962" si="71">E900-E899</f>
        <v>6.7000000000007276E-2</v>
      </c>
      <c r="H899" s="3">
        <f t="shared" ref="H899:H962" si="72">IF(B899&lt;&gt;0,G899/B899,"")</f>
        <v>0.60143626570922148</v>
      </c>
      <c r="I899" s="3">
        <f t="shared" ref="I899:I962" si="73">D899*G899</f>
        <v>6.7000000000007276E-2</v>
      </c>
      <c r="J899" s="3">
        <f t="shared" si="70"/>
        <v>108.25547445255475</v>
      </c>
      <c r="K899" s="29">
        <f t="shared" ref="K899:K962" si="74">LN(J899)</f>
        <v>4.6844939379138379</v>
      </c>
    </row>
    <row r="900" spans="1:11" x14ac:dyDescent="0.3">
      <c r="A900" s="26">
        <v>0.84588300000000005</v>
      </c>
      <c r="B900" s="2">
        <v>0.1072</v>
      </c>
      <c r="C900" s="2" t="s">
        <v>5</v>
      </c>
      <c r="D900" s="2">
        <v>1</v>
      </c>
      <c r="E900" s="2">
        <v>99.778000000000006</v>
      </c>
      <c r="F900" s="2">
        <v>899</v>
      </c>
      <c r="G900" s="2">
        <f t="shared" si="71"/>
        <v>3.0000000000001137E-2</v>
      </c>
      <c r="H900" s="2">
        <f t="shared" si="72"/>
        <v>0.27985074626866729</v>
      </c>
      <c r="I900" s="2">
        <f t="shared" si="73"/>
        <v>3.0000000000001137E-2</v>
      </c>
      <c r="J900" s="2">
        <f t="shared" si="70"/>
        <v>108.25547445255475</v>
      </c>
      <c r="K900" s="27">
        <f t="shared" si="74"/>
        <v>4.6844939379138379</v>
      </c>
    </row>
    <row r="901" spans="1:11" x14ac:dyDescent="0.3">
      <c r="A901" s="28">
        <v>0.84834699999999996</v>
      </c>
      <c r="B901" s="3">
        <v>0.1071</v>
      </c>
      <c r="C901" s="3" t="s">
        <v>5</v>
      </c>
      <c r="D901" s="3">
        <v>1</v>
      </c>
      <c r="E901" s="3">
        <v>99.808000000000007</v>
      </c>
      <c r="F901" s="3">
        <v>900</v>
      </c>
      <c r="G901" s="3">
        <f t="shared" si="71"/>
        <v>2.5999999999996248E-2</v>
      </c>
      <c r="H901" s="3">
        <f t="shared" si="72"/>
        <v>0.24276377217550185</v>
      </c>
      <c r="I901" s="3">
        <f t="shared" si="73"/>
        <v>2.5999999999996248E-2</v>
      </c>
      <c r="J901" s="3">
        <f t="shared" si="70"/>
        <v>108.25547445255475</v>
      </c>
      <c r="K901" s="29">
        <f t="shared" si="74"/>
        <v>4.6844939379138379</v>
      </c>
    </row>
    <row r="902" spans="1:11" x14ac:dyDescent="0.3">
      <c r="A902" s="26">
        <v>0.84884999999999999</v>
      </c>
      <c r="B902" s="2">
        <v>9.5000000000000001E-2</v>
      </c>
      <c r="C902" s="2" t="s">
        <v>5</v>
      </c>
      <c r="D902" s="2">
        <v>-1</v>
      </c>
      <c r="E902" s="2">
        <v>99.834000000000003</v>
      </c>
      <c r="F902" s="2">
        <v>901</v>
      </c>
      <c r="G902" s="2">
        <f t="shared" si="71"/>
        <v>-7.8000000000002956E-2</v>
      </c>
      <c r="H902" s="2">
        <f t="shared" si="72"/>
        <v>-0.82105263157897845</v>
      </c>
      <c r="I902" s="2">
        <f t="shared" si="73"/>
        <v>7.8000000000002956E-2</v>
      </c>
      <c r="J902" s="2">
        <f t="shared" si="70"/>
        <v>108.25547445255475</v>
      </c>
      <c r="K902" s="27">
        <f t="shared" si="74"/>
        <v>4.6844939379138379</v>
      </c>
    </row>
    <row r="903" spans="1:11" x14ac:dyDescent="0.3">
      <c r="A903" s="28">
        <v>0.84934699999999996</v>
      </c>
      <c r="B903" s="3">
        <v>9.8000000000000004E-2</v>
      </c>
      <c r="C903" s="3" t="s">
        <v>5</v>
      </c>
      <c r="D903" s="3">
        <v>1</v>
      </c>
      <c r="E903" s="3">
        <v>99.756</v>
      </c>
      <c r="F903" s="2">
        <v>902</v>
      </c>
      <c r="G903" s="2">
        <f t="shared" si="71"/>
        <v>5.700000000000216E-2</v>
      </c>
      <c r="H903" s="2">
        <f t="shared" si="72"/>
        <v>0.58163265306124656</v>
      </c>
      <c r="I903" s="2">
        <f t="shared" si="73"/>
        <v>5.700000000000216E-2</v>
      </c>
      <c r="J903" s="2">
        <f t="shared" si="70"/>
        <v>108.25547445255475</v>
      </c>
      <c r="K903" s="27">
        <f t="shared" si="74"/>
        <v>4.6844939379138379</v>
      </c>
    </row>
    <row r="904" spans="1:11" x14ac:dyDescent="0.3">
      <c r="A904" s="26">
        <v>0.84956399999999999</v>
      </c>
      <c r="B904" s="2">
        <v>9.5100000000000004E-2</v>
      </c>
      <c r="C904" s="2" t="s">
        <v>5</v>
      </c>
      <c r="D904" s="2">
        <v>1</v>
      </c>
      <c r="E904" s="2">
        <v>99.813000000000002</v>
      </c>
      <c r="F904" s="3">
        <v>903</v>
      </c>
      <c r="G904" s="3">
        <f t="shared" si="71"/>
        <v>0.125</v>
      </c>
      <c r="H904" s="3">
        <f t="shared" si="72"/>
        <v>1.3144058885383807</v>
      </c>
      <c r="I904" s="3">
        <f t="shared" si="73"/>
        <v>0.125</v>
      </c>
      <c r="J904" s="3">
        <f t="shared" si="70"/>
        <v>108.25547445255475</v>
      </c>
      <c r="K904" s="29">
        <f t="shared" si="74"/>
        <v>4.6844939379138379</v>
      </c>
    </row>
    <row r="905" spans="1:11" x14ac:dyDescent="0.3">
      <c r="A905" s="28">
        <v>0.85129900000000003</v>
      </c>
      <c r="B905" s="3">
        <v>0.1106</v>
      </c>
      <c r="C905" s="3" t="s">
        <v>5</v>
      </c>
      <c r="D905" s="3">
        <v>-1</v>
      </c>
      <c r="E905" s="3">
        <v>99.938000000000002</v>
      </c>
      <c r="F905" s="2">
        <v>904</v>
      </c>
      <c r="G905" s="2">
        <f t="shared" si="71"/>
        <v>-0.18500000000000227</v>
      </c>
      <c r="H905" s="2">
        <f t="shared" si="72"/>
        <v>-1.672694394213402</v>
      </c>
      <c r="I905" s="2">
        <f t="shared" si="73"/>
        <v>0.18500000000000227</v>
      </c>
      <c r="J905" s="2">
        <f t="shared" si="70"/>
        <v>108.25547445255475</v>
      </c>
      <c r="K905" s="27">
        <f t="shared" si="74"/>
        <v>4.6844939379138379</v>
      </c>
    </row>
    <row r="906" spans="1:11" x14ac:dyDescent="0.3">
      <c r="A906" s="26">
        <v>0.85185900000000003</v>
      </c>
      <c r="B906" s="2">
        <v>0.1042</v>
      </c>
      <c r="C906" s="2" t="s">
        <v>5</v>
      </c>
      <c r="D906" s="2">
        <v>1</v>
      </c>
      <c r="E906" s="2">
        <v>99.753</v>
      </c>
      <c r="F906" s="3">
        <v>905</v>
      </c>
      <c r="G906" s="3">
        <f t="shared" si="71"/>
        <v>0.11599999999999966</v>
      </c>
      <c r="H906" s="3">
        <f t="shared" si="72"/>
        <v>1.1132437619961579</v>
      </c>
      <c r="I906" s="3">
        <f t="shared" si="73"/>
        <v>0.11599999999999966</v>
      </c>
      <c r="J906" s="3">
        <f t="shared" si="70"/>
        <v>108.25547445255475</v>
      </c>
      <c r="K906" s="29">
        <f t="shared" si="74"/>
        <v>4.6844939379138379</v>
      </c>
    </row>
    <row r="907" spans="1:11" x14ac:dyDescent="0.3">
      <c r="A907" s="28">
        <v>0.85325200000000001</v>
      </c>
      <c r="B907" s="3">
        <v>9.5100000000000004E-2</v>
      </c>
      <c r="C907" s="3" t="s">
        <v>5</v>
      </c>
      <c r="D907" s="3">
        <v>1</v>
      </c>
      <c r="E907" s="3">
        <v>99.869</v>
      </c>
      <c r="F907" s="2">
        <v>906</v>
      </c>
      <c r="G907" s="2">
        <f t="shared" si="71"/>
        <v>7.2999999999993292E-2</v>
      </c>
      <c r="H907" s="2">
        <f t="shared" si="72"/>
        <v>0.76761303890634369</v>
      </c>
      <c r="I907" s="2">
        <f t="shared" si="73"/>
        <v>7.2999999999993292E-2</v>
      </c>
      <c r="J907" s="2">
        <f t="shared" si="70"/>
        <v>108.25547445255475</v>
      </c>
      <c r="K907" s="27">
        <f t="shared" si="74"/>
        <v>4.6844939379138379</v>
      </c>
    </row>
    <row r="908" spans="1:11" x14ac:dyDescent="0.3">
      <c r="A908" s="26">
        <v>0.85370699999999999</v>
      </c>
      <c r="B908" s="2">
        <v>9.06E-2</v>
      </c>
      <c r="C908" s="2" t="s">
        <v>5</v>
      </c>
      <c r="D908" s="2">
        <v>1</v>
      </c>
      <c r="E908" s="2">
        <v>99.941999999999993</v>
      </c>
      <c r="F908" s="3">
        <v>907</v>
      </c>
      <c r="G908" s="3">
        <f t="shared" si="71"/>
        <v>0.10200000000000387</v>
      </c>
      <c r="H908" s="3">
        <f t="shared" si="72"/>
        <v>1.125827814569579</v>
      </c>
      <c r="I908" s="3">
        <f t="shared" si="73"/>
        <v>0.10200000000000387</v>
      </c>
      <c r="J908" s="3">
        <f t="shared" si="70"/>
        <v>108.25547445255475</v>
      </c>
      <c r="K908" s="29">
        <f t="shared" si="74"/>
        <v>4.6844939379138379</v>
      </c>
    </row>
    <row r="909" spans="1:11" x14ac:dyDescent="0.3">
      <c r="A909" s="28">
        <v>0.85539900000000002</v>
      </c>
      <c r="B909" s="3">
        <v>0.1048</v>
      </c>
      <c r="C909" s="3" t="s">
        <v>5</v>
      </c>
      <c r="D909" s="3">
        <v>1</v>
      </c>
      <c r="E909" s="3">
        <v>100.044</v>
      </c>
      <c r="F909" s="2">
        <v>908</v>
      </c>
      <c r="G909" s="2">
        <f t="shared" si="71"/>
        <v>5.4000000000002046E-2</v>
      </c>
      <c r="H909" s="2">
        <f t="shared" si="72"/>
        <v>0.51526717557253854</v>
      </c>
      <c r="I909" s="2">
        <f t="shared" si="73"/>
        <v>5.4000000000002046E-2</v>
      </c>
      <c r="J909" s="2">
        <f t="shared" si="70"/>
        <v>108.25547445255475</v>
      </c>
      <c r="K909" s="27">
        <f t="shared" si="74"/>
        <v>4.6844939379138379</v>
      </c>
    </row>
    <row r="910" spans="1:11" x14ac:dyDescent="0.3">
      <c r="A910" s="26">
        <v>0.855402</v>
      </c>
      <c r="B910" s="2">
        <v>8.4599999999999995E-2</v>
      </c>
      <c r="C910" s="2" t="s">
        <v>5</v>
      </c>
      <c r="D910" s="2">
        <v>1</v>
      </c>
      <c r="E910" s="2">
        <v>100.098</v>
      </c>
      <c r="F910" s="3">
        <v>909</v>
      </c>
      <c r="G910" s="3">
        <f t="shared" si="71"/>
        <v>3.9000000000001478E-2</v>
      </c>
      <c r="H910" s="3">
        <f t="shared" si="72"/>
        <v>0.46099290780143592</v>
      </c>
      <c r="I910" s="3">
        <f t="shared" si="73"/>
        <v>3.9000000000001478E-2</v>
      </c>
      <c r="J910" s="3">
        <f t="shared" si="70"/>
        <v>108.25547445255475</v>
      </c>
      <c r="K910" s="29">
        <f t="shared" si="74"/>
        <v>4.6844939379138379</v>
      </c>
    </row>
    <row r="911" spans="1:11" x14ac:dyDescent="0.3">
      <c r="A911" s="28">
        <v>0.85692299999999999</v>
      </c>
      <c r="B911" s="3">
        <v>0.1089</v>
      </c>
      <c r="C911" s="3" t="s">
        <v>5</v>
      </c>
      <c r="D911" s="3">
        <v>-1</v>
      </c>
      <c r="E911" s="3">
        <v>100.137</v>
      </c>
      <c r="F911" s="2">
        <v>910</v>
      </c>
      <c r="G911" s="2">
        <f t="shared" si="71"/>
        <v>-0.15800000000000125</v>
      </c>
      <c r="H911" s="2">
        <f t="shared" si="72"/>
        <v>-1.4508723599632807</v>
      </c>
      <c r="I911" s="2">
        <f t="shared" si="73"/>
        <v>0.15800000000000125</v>
      </c>
      <c r="J911" s="2">
        <f t="shared" si="70"/>
        <v>108.25547445255475</v>
      </c>
      <c r="K911" s="27">
        <f t="shared" si="74"/>
        <v>4.6844939379138379</v>
      </c>
    </row>
    <row r="912" spans="1:11" x14ac:dyDescent="0.3">
      <c r="A912" s="26">
        <v>0.85696499999999998</v>
      </c>
      <c r="B912" s="2">
        <v>8.7999999999999995E-2</v>
      </c>
      <c r="C912" s="2" t="s">
        <v>5</v>
      </c>
      <c r="D912" s="2">
        <v>1</v>
      </c>
      <c r="E912" s="2">
        <v>99.978999999999999</v>
      </c>
      <c r="F912" s="3">
        <v>911</v>
      </c>
      <c r="G912" s="3">
        <f t="shared" si="71"/>
        <v>7.3999999999998067E-2</v>
      </c>
      <c r="H912" s="3">
        <f t="shared" si="72"/>
        <v>0.84090909090906896</v>
      </c>
      <c r="I912" s="3">
        <f t="shared" si="73"/>
        <v>7.3999999999998067E-2</v>
      </c>
      <c r="J912" s="3">
        <f t="shared" si="70"/>
        <v>108.25547445255475</v>
      </c>
      <c r="K912" s="29">
        <f t="shared" si="74"/>
        <v>4.6844939379138379</v>
      </c>
    </row>
    <row r="913" spans="1:11" x14ac:dyDescent="0.3">
      <c r="A913" s="28">
        <v>0.85709599999999997</v>
      </c>
      <c r="B913" s="3">
        <v>0.115</v>
      </c>
      <c r="C913" s="3" t="s">
        <v>5</v>
      </c>
      <c r="D913" s="3">
        <v>1</v>
      </c>
      <c r="E913" s="3">
        <v>100.053</v>
      </c>
      <c r="F913" s="2">
        <v>912</v>
      </c>
      <c r="G913" s="2">
        <f t="shared" si="71"/>
        <v>2.5999999999996248E-2</v>
      </c>
      <c r="H913" s="2">
        <f t="shared" si="72"/>
        <v>0.22608695652170649</v>
      </c>
      <c r="I913" s="2">
        <f t="shared" si="73"/>
        <v>2.5999999999996248E-2</v>
      </c>
      <c r="J913" s="2">
        <f t="shared" si="70"/>
        <v>108.25547445255475</v>
      </c>
      <c r="K913" s="27">
        <f t="shared" si="74"/>
        <v>4.6844939379138379</v>
      </c>
    </row>
    <row r="914" spans="1:11" x14ac:dyDescent="0.3">
      <c r="A914" s="26">
        <v>0.857483</v>
      </c>
      <c r="B914" s="2">
        <v>9.4299999999999995E-2</v>
      </c>
      <c r="C914" s="2" t="s">
        <v>5</v>
      </c>
      <c r="D914" s="2">
        <v>-1</v>
      </c>
      <c r="E914" s="2">
        <v>100.07899999999999</v>
      </c>
      <c r="F914" s="3">
        <v>913</v>
      </c>
      <c r="G914" s="3">
        <f t="shared" si="71"/>
        <v>-4.7999999999987608E-2</v>
      </c>
      <c r="H914" s="3">
        <f t="shared" si="72"/>
        <v>-0.50901378578990042</v>
      </c>
      <c r="I914" s="3">
        <f t="shared" si="73"/>
        <v>4.7999999999987608E-2</v>
      </c>
      <c r="J914" s="3">
        <f t="shared" si="70"/>
        <v>108.25547445255475</v>
      </c>
      <c r="K914" s="29">
        <f t="shared" si="74"/>
        <v>4.6844939379138379</v>
      </c>
    </row>
    <row r="915" spans="1:11" x14ac:dyDescent="0.3">
      <c r="A915" s="28">
        <v>0.85892500000000005</v>
      </c>
      <c r="B915" s="3">
        <v>0.11070000000000001</v>
      </c>
      <c r="C915" s="3" t="s">
        <v>5</v>
      </c>
      <c r="D915" s="3">
        <v>-1</v>
      </c>
      <c r="E915" s="3">
        <v>100.03100000000001</v>
      </c>
      <c r="F915" s="2">
        <v>914</v>
      </c>
      <c r="G915" s="2">
        <f t="shared" si="71"/>
        <v>-8.0000000000097771E-3</v>
      </c>
      <c r="H915" s="2">
        <f t="shared" si="72"/>
        <v>-7.2267389340648386E-2</v>
      </c>
      <c r="I915" s="2">
        <f t="shared" si="73"/>
        <v>8.0000000000097771E-3</v>
      </c>
      <c r="J915" s="2">
        <f t="shared" si="70"/>
        <v>108.25547445255475</v>
      </c>
      <c r="K915" s="27">
        <f t="shared" si="74"/>
        <v>4.6844939379138379</v>
      </c>
    </row>
    <row r="916" spans="1:11" x14ac:dyDescent="0.3">
      <c r="A916" s="26">
        <v>0.86043700000000001</v>
      </c>
      <c r="B916" s="2">
        <v>8.7099999999999997E-2</v>
      </c>
      <c r="C916" s="2" t="s">
        <v>5</v>
      </c>
      <c r="D916" s="2">
        <v>-1</v>
      </c>
      <c r="E916" s="2">
        <v>100.023</v>
      </c>
      <c r="F916" s="3">
        <v>915</v>
      </c>
      <c r="G916" s="3">
        <f t="shared" si="71"/>
        <v>-6.0000000000002274E-2</v>
      </c>
      <c r="H916" s="3">
        <f t="shared" si="72"/>
        <v>-0.68886337543056575</v>
      </c>
      <c r="I916" s="3">
        <f t="shared" si="73"/>
        <v>6.0000000000002274E-2</v>
      </c>
      <c r="J916" s="3">
        <f t="shared" si="70"/>
        <v>108.25547445255475</v>
      </c>
      <c r="K916" s="29">
        <f t="shared" si="74"/>
        <v>4.6844939379138379</v>
      </c>
    </row>
    <row r="917" spans="1:11" x14ac:dyDescent="0.3">
      <c r="A917" s="28">
        <v>0.86172199999999999</v>
      </c>
      <c r="B917" s="3">
        <v>9.98E-2</v>
      </c>
      <c r="C917" s="3" t="s">
        <v>5</v>
      </c>
      <c r="D917" s="3">
        <v>1</v>
      </c>
      <c r="E917" s="3">
        <v>99.962999999999994</v>
      </c>
      <c r="F917" s="2">
        <v>916</v>
      </c>
      <c r="G917" s="2">
        <f t="shared" si="71"/>
        <v>7.7000000000012392E-2</v>
      </c>
      <c r="H917" s="2">
        <f t="shared" si="72"/>
        <v>0.77154308617246881</v>
      </c>
      <c r="I917" s="2">
        <f t="shared" si="73"/>
        <v>7.7000000000012392E-2</v>
      </c>
      <c r="J917" s="2">
        <f t="shared" si="70"/>
        <v>108.25547445255475</v>
      </c>
      <c r="K917" s="27">
        <f t="shared" si="74"/>
        <v>4.6844939379138379</v>
      </c>
    </row>
    <row r="918" spans="1:11" x14ac:dyDescent="0.3">
      <c r="A918" s="26">
        <v>0.86286399999999996</v>
      </c>
      <c r="B918" s="2">
        <v>0.10059999999999999</v>
      </c>
      <c r="C918" s="2" t="s">
        <v>5</v>
      </c>
      <c r="D918" s="2">
        <v>-1</v>
      </c>
      <c r="E918" s="2">
        <v>100.04</v>
      </c>
      <c r="F918" s="3">
        <v>917</v>
      </c>
      <c r="G918" s="3">
        <f t="shared" si="71"/>
        <v>-1.8000000000000682E-2</v>
      </c>
      <c r="H918" s="3">
        <f t="shared" si="72"/>
        <v>-0.17892644135189545</v>
      </c>
      <c r="I918" s="3">
        <f t="shared" si="73"/>
        <v>1.8000000000000682E-2</v>
      </c>
      <c r="J918" s="3">
        <f t="shared" si="70"/>
        <v>108.25547445255475</v>
      </c>
      <c r="K918" s="29">
        <f t="shared" si="74"/>
        <v>4.6844939379138379</v>
      </c>
    </row>
    <row r="919" spans="1:11" x14ac:dyDescent="0.3">
      <c r="A919" s="28">
        <v>0.86325300000000005</v>
      </c>
      <c r="B919" s="3">
        <v>9.9199999999999997E-2</v>
      </c>
      <c r="C919" s="3" t="s">
        <v>5</v>
      </c>
      <c r="D919" s="3">
        <v>-1</v>
      </c>
      <c r="E919" s="3">
        <v>100.02200000000001</v>
      </c>
      <c r="F919" s="2">
        <v>918</v>
      </c>
      <c r="G919" s="2">
        <f t="shared" si="71"/>
        <v>-4.0000000000006253E-2</v>
      </c>
      <c r="H919" s="2">
        <f t="shared" si="72"/>
        <v>-0.40322580645167594</v>
      </c>
      <c r="I919" s="2">
        <f t="shared" si="73"/>
        <v>4.0000000000006253E-2</v>
      </c>
      <c r="J919" s="2">
        <f t="shared" si="70"/>
        <v>108.25547445255475</v>
      </c>
      <c r="K919" s="27">
        <f t="shared" si="74"/>
        <v>4.6844939379138379</v>
      </c>
    </row>
    <row r="920" spans="1:11" x14ac:dyDescent="0.3">
      <c r="A920" s="26">
        <v>0.86533099999999996</v>
      </c>
      <c r="B920" s="2">
        <v>8.8499999999999995E-2</v>
      </c>
      <c r="C920" s="2">
        <v>194</v>
      </c>
      <c r="D920" s="2">
        <v>1</v>
      </c>
      <c r="E920" s="2">
        <v>99.981999999999999</v>
      </c>
      <c r="F920" s="2">
        <v>919</v>
      </c>
      <c r="G920" s="2">
        <f t="shared" si="71"/>
        <v>8.4999999999993747E-2</v>
      </c>
      <c r="H920" s="2">
        <f t="shared" si="72"/>
        <v>0.96045197740105936</v>
      </c>
      <c r="I920" s="2">
        <f t="shared" si="73"/>
        <v>8.4999999999993747E-2</v>
      </c>
      <c r="J920" s="2">
        <f t="shared" si="70"/>
        <v>194</v>
      </c>
      <c r="K920" s="27">
        <f t="shared" si="74"/>
        <v>5.2678581590633282</v>
      </c>
    </row>
    <row r="921" spans="1:11" x14ac:dyDescent="0.3">
      <c r="A921" s="28">
        <v>0.86781799999999998</v>
      </c>
      <c r="B921" s="3">
        <v>9.5299999999999996E-2</v>
      </c>
      <c r="C921" s="3" t="s">
        <v>5</v>
      </c>
      <c r="D921" s="3">
        <v>1</v>
      </c>
      <c r="E921" s="3">
        <v>100.06699999999999</v>
      </c>
      <c r="F921" s="3">
        <v>920</v>
      </c>
      <c r="G921" s="3">
        <f t="shared" si="71"/>
        <v>8.4000000000003183E-2</v>
      </c>
      <c r="H921" s="3">
        <f t="shared" si="72"/>
        <v>0.88142707240297158</v>
      </c>
      <c r="I921" s="3">
        <f t="shared" si="73"/>
        <v>8.4000000000003183E-2</v>
      </c>
      <c r="J921" s="3">
        <f t="shared" si="70"/>
        <v>108.25547445255475</v>
      </c>
      <c r="K921" s="29">
        <f t="shared" si="74"/>
        <v>4.6844939379138379</v>
      </c>
    </row>
    <row r="922" spans="1:11" x14ac:dyDescent="0.3">
      <c r="A922" s="26">
        <v>0.86904099999999995</v>
      </c>
      <c r="B922" s="2">
        <v>0.1087</v>
      </c>
      <c r="C922" s="2" t="s">
        <v>5</v>
      </c>
      <c r="D922" s="2">
        <v>-1</v>
      </c>
      <c r="E922" s="2">
        <v>100.151</v>
      </c>
      <c r="F922" s="2">
        <v>921</v>
      </c>
      <c r="G922" s="2">
        <f t="shared" si="71"/>
        <v>-5.2999999999997272E-2</v>
      </c>
      <c r="H922" s="2">
        <f t="shared" si="72"/>
        <v>-0.48758049678010368</v>
      </c>
      <c r="I922" s="2">
        <f t="shared" si="73"/>
        <v>5.2999999999997272E-2</v>
      </c>
      <c r="J922" s="2">
        <f t="shared" si="70"/>
        <v>108.25547445255475</v>
      </c>
      <c r="K922" s="27">
        <f t="shared" si="74"/>
        <v>4.6844939379138379</v>
      </c>
    </row>
    <row r="923" spans="1:11" x14ac:dyDescent="0.3">
      <c r="A923" s="28">
        <v>0.87065300000000001</v>
      </c>
      <c r="B923" s="3">
        <v>0.1066</v>
      </c>
      <c r="C923" s="3" t="s">
        <v>5</v>
      </c>
      <c r="D923" s="3">
        <v>-1</v>
      </c>
      <c r="E923" s="3">
        <v>100.098</v>
      </c>
      <c r="F923" s="3">
        <v>922</v>
      </c>
      <c r="G923" s="3">
        <f t="shared" si="71"/>
        <v>-1.300000000000523E-2</v>
      </c>
      <c r="H923" s="3">
        <f t="shared" si="72"/>
        <v>-0.12195121951224418</v>
      </c>
      <c r="I923" s="3">
        <f t="shared" si="73"/>
        <v>1.300000000000523E-2</v>
      </c>
      <c r="J923" s="3">
        <f t="shared" si="70"/>
        <v>108.25547445255475</v>
      </c>
      <c r="K923" s="29">
        <f t="shared" si="74"/>
        <v>4.6844939379138379</v>
      </c>
    </row>
    <row r="924" spans="1:11" x14ac:dyDescent="0.3">
      <c r="A924" s="26">
        <v>0.87184099999999998</v>
      </c>
      <c r="B924" s="2">
        <v>0.11559999999999999</v>
      </c>
      <c r="C924" s="2" t="s">
        <v>5</v>
      </c>
      <c r="D924" s="2">
        <v>-1</v>
      </c>
      <c r="E924" s="2">
        <v>100.08499999999999</v>
      </c>
      <c r="F924" s="2">
        <v>923</v>
      </c>
      <c r="G924" s="2">
        <f t="shared" si="71"/>
        <v>-9.6999999999994202E-2</v>
      </c>
      <c r="H924" s="2">
        <f t="shared" si="72"/>
        <v>-0.83910034602071115</v>
      </c>
      <c r="I924" s="2">
        <f t="shared" si="73"/>
        <v>9.6999999999994202E-2</v>
      </c>
      <c r="J924" s="2">
        <f t="shared" si="70"/>
        <v>108.25547445255475</v>
      </c>
      <c r="K924" s="27">
        <f t="shared" si="74"/>
        <v>4.6844939379138379</v>
      </c>
    </row>
    <row r="925" spans="1:11" x14ac:dyDescent="0.3">
      <c r="A925" s="28">
        <v>0.87398399999999998</v>
      </c>
      <c r="B925" s="3">
        <v>0.10150000000000001</v>
      </c>
      <c r="C925" s="3" t="s">
        <v>5</v>
      </c>
      <c r="D925" s="3">
        <v>1</v>
      </c>
      <c r="E925" s="3">
        <v>99.988</v>
      </c>
      <c r="F925" s="3">
        <v>924</v>
      </c>
      <c r="G925" s="3">
        <f t="shared" si="71"/>
        <v>3.9000000000001478E-2</v>
      </c>
      <c r="H925" s="3">
        <f t="shared" si="72"/>
        <v>0.38423645320198496</v>
      </c>
      <c r="I925" s="3">
        <f t="shared" si="73"/>
        <v>3.9000000000001478E-2</v>
      </c>
      <c r="J925" s="3">
        <f t="shared" si="70"/>
        <v>108.25547445255475</v>
      </c>
      <c r="K925" s="29">
        <f t="shared" si="74"/>
        <v>4.6844939379138379</v>
      </c>
    </row>
    <row r="926" spans="1:11" x14ac:dyDescent="0.3">
      <c r="A926" s="26">
        <v>0.87948700000000002</v>
      </c>
      <c r="B926" s="2">
        <v>0.1051</v>
      </c>
      <c r="C926" s="2">
        <v>62</v>
      </c>
      <c r="D926" s="2">
        <v>-1</v>
      </c>
      <c r="E926" s="2">
        <v>100.027</v>
      </c>
      <c r="F926" s="2">
        <v>925</v>
      </c>
      <c r="G926" s="2">
        <f t="shared" si="71"/>
        <v>-5.700000000000216E-2</v>
      </c>
      <c r="H926" s="2">
        <f t="shared" si="72"/>
        <v>-0.54234062797337923</v>
      </c>
      <c r="I926" s="2">
        <f t="shared" si="73"/>
        <v>5.700000000000216E-2</v>
      </c>
      <c r="J926" s="2">
        <f t="shared" si="70"/>
        <v>62</v>
      </c>
      <c r="K926" s="27">
        <f t="shared" si="74"/>
        <v>4.1271343850450917</v>
      </c>
    </row>
    <row r="927" spans="1:11" x14ac:dyDescent="0.3">
      <c r="A927" s="28">
        <v>0.87974399999999997</v>
      </c>
      <c r="B927" s="3">
        <v>0.10589999999999999</v>
      </c>
      <c r="C927" s="3" t="s">
        <v>5</v>
      </c>
      <c r="D927" s="3">
        <v>-1</v>
      </c>
      <c r="E927" s="3">
        <v>99.97</v>
      </c>
      <c r="F927" s="3">
        <v>926</v>
      </c>
      <c r="G927" s="3">
        <f t="shared" si="71"/>
        <v>-7.3999999999998067E-2</v>
      </c>
      <c r="H927" s="3">
        <f t="shared" si="72"/>
        <v>-0.69877242681773444</v>
      </c>
      <c r="I927" s="3">
        <f t="shared" si="73"/>
        <v>7.3999999999998067E-2</v>
      </c>
      <c r="J927" s="3">
        <f t="shared" si="70"/>
        <v>108.25547445255475</v>
      </c>
      <c r="K927" s="29">
        <f t="shared" si="74"/>
        <v>4.6844939379138379</v>
      </c>
    </row>
    <row r="928" spans="1:11" x14ac:dyDescent="0.3">
      <c r="A928" s="26">
        <v>0.882351</v>
      </c>
      <c r="B928" s="2">
        <v>0.1</v>
      </c>
      <c r="C928" s="2" t="s">
        <v>5</v>
      </c>
      <c r="D928" s="2">
        <v>-1</v>
      </c>
      <c r="E928" s="2">
        <v>99.896000000000001</v>
      </c>
      <c r="F928" s="2">
        <v>927</v>
      </c>
      <c r="G928" s="2">
        <f t="shared" si="71"/>
        <v>-1.9999999999996021E-2</v>
      </c>
      <c r="H928" s="2">
        <f t="shared" si="72"/>
        <v>-0.19999999999996021</v>
      </c>
      <c r="I928" s="2">
        <f t="shared" si="73"/>
        <v>1.9999999999996021E-2</v>
      </c>
      <c r="J928" s="2">
        <f t="shared" si="70"/>
        <v>108.25547445255475</v>
      </c>
      <c r="K928" s="27">
        <f t="shared" si="74"/>
        <v>4.6844939379138379</v>
      </c>
    </row>
    <row r="929" spans="1:11" x14ac:dyDescent="0.3">
      <c r="A929" s="28">
        <v>0.88295999999999997</v>
      </c>
      <c r="B929" s="3">
        <v>0.10340000000000001</v>
      </c>
      <c r="C929" s="3" t="s">
        <v>5</v>
      </c>
      <c r="D929" s="3">
        <v>1</v>
      </c>
      <c r="E929" s="3">
        <v>99.876000000000005</v>
      </c>
      <c r="F929" s="3">
        <v>928</v>
      </c>
      <c r="G929" s="3">
        <f t="shared" si="71"/>
        <v>6.599999999998829E-2</v>
      </c>
      <c r="H929" s="3">
        <f t="shared" si="72"/>
        <v>0.63829787234031221</v>
      </c>
      <c r="I929" s="3">
        <f t="shared" si="73"/>
        <v>6.599999999998829E-2</v>
      </c>
      <c r="J929" s="3">
        <f t="shared" si="70"/>
        <v>108.25547445255475</v>
      </c>
      <c r="K929" s="29">
        <f t="shared" si="74"/>
        <v>4.6844939379138379</v>
      </c>
    </row>
    <row r="930" spans="1:11" x14ac:dyDescent="0.3">
      <c r="A930" s="26">
        <v>0.883544</v>
      </c>
      <c r="B930" s="2">
        <v>9.3399999999999997E-2</v>
      </c>
      <c r="C930" s="2" t="s">
        <v>5</v>
      </c>
      <c r="D930" s="2">
        <v>1</v>
      </c>
      <c r="E930" s="2">
        <v>99.941999999999993</v>
      </c>
      <c r="F930" s="2">
        <v>929</v>
      </c>
      <c r="G930" s="2">
        <f t="shared" si="71"/>
        <v>0.11600000000001387</v>
      </c>
      <c r="H930" s="2">
        <f t="shared" si="72"/>
        <v>1.2419700214134248</v>
      </c>
      <c r="I930" s="2">
        <f t="shared" si="73"/>
        <v>0.11600000000001387</v>
      </c>
      <c r="J930" s="2">
        <f t="shared" si="70"/>
        <v>108.25547445255475</v>
      </c>
      <c r="K930" s="27">
        <f t="shared" si="74"/>
        <v>4.6844939379138379</v>
      </c>
    </row>
    <row r="931" spans="1:11" x14ac:dyDescent="0.3">
      <c r="A931" s="28">
        <v>0.88550499999999999</v>
      </c>
      <c r="B931" s="3">
        <v>0.1147</v>
      </c>
      <c r="C931" s="3" t="s">
        <v>5</v>
      </c>
      <c r="D931" s="3">
        <v>-1</v>
      </c>
      <c r="E931" s="3">
        <v>100.05800000000001</v>
      </c>
      <c r="F931" s="3">
        <v>930</v>
      </c>
      <c r="G931" s="3">
        <f t="shared" si="71"/>
        <v>-9.3000000000003524E-2</v>
      </c>
      <c r="H931" s="3">
        <f t="shared" si="72"/>
        <v>-0.81081081081084161</v>
      </c>
      <c r="I931" s="3">
        <f t="shared" si="73"/>
        <v>9.3000000000003524E-2</v>
      </c>
      <c r="J931" s="3">
        <f t="shared" si="70"/>
        <v>108.25547445255475</v>
      </c>
      <c r="K931" s="29">
        <f t="shared" si="74"/>
        <v>4.6844939379138379</v>
      </c>
    </row>
    <row r="932" spans="1:11" x14ac:dyDescent="0.3">
      <c r="A932" s="26">
        <v>0.88770499999999997</v>
      </c>
      <c r="B932" s="2">
        <v>9.5000000000000001E-2</v>
      </c>
      <c r="C932" s="2" t="s">
        <v>5</v>
      </c>
      <c r="D932" s="2">
        <v>1</v>
      </c>
      <c r="E932" s="2">
        <v>99.965000000000003</v>
      </c>
      <c r="F932" s="2">
        <v>931</v>
      </c>
      <c r="G932" s="2">
        <f t="shared" si="71"/>
        <v>0.11699999999999022</v>
      </c>
      <c r="H932" s="2">
        <f t="shared" si="72"/>
        <v>1.2315789473683181</v>
      </c>
      <c r="I932" s="2">
        <f t="shared" si="73"/>
        <v>0.11699999999999022</v>
      </c>
      <c r="J932" s="2">
        <f t="shared" si="70"/>
        <v>108.25547445255475</v>
      </c>
      <c r="K932" s="27">
        <f t="shared" si="74"/>
        <v>4.6844939379138379</v>
      </c>
    </row>
    <row r="933" spans="1:11" x14ac:dyDescent="0.3">
      <c r="A933" s="28">
        <v>0.89013399999999998</v>
      </c>
      <c r="B933" s="3">
        <v>8.5400000000000004E-2</v>
      </c>
      <c r="C933" s="3" t="s">
        <v>5</v>
      </c>
      <c r="D933" s="3">
        <v>1</v>
      </c>
      <c r="E933" s="3">
        <v>100.08199999999999</v>
      </c>
      <c r="F933" s="3">
        <v>932</v>
      </c>
      <c r="G933" s="3">
        <f t="shared" si="71"/>
        <v>0.10000000000000853</v>
      </c>
      <c r="H933" s="3">
        <f t="shared" si="72"/>
        <v>1.1709601873537299</v>
      </c>
      <c r="I933" s="3">
        <f t="shared" si="73"/>
        <v>0.10000000000000853</v>
      </c>
      <c r="J933" s="3">
        <f t="shared" si="70"/>
        <v>108.25547445255475</v>
      </c>
      <c r="K933" s="29">
        <f t="shared" si="74"/>
        <v>4.6844939379138379</v>
      </c>
    </row>
    <row r="934" spans="1:11" x14ac:dyDescent="0.3">
      <c r="A934" s="26">
        <v>0.89019800000000004</v>
      </c>
      <c r="B934" s="2">
        <v>0.1037</v>
      </c>
      <c r="C934" s="2" t="s">
        <v>5</v>
      </c>
      <c r="D934" s="2">
        <v>-1</v>
      </c>
      <c r="E934" s="2">
        <v>100.182</v>
      </c>
      <c r="F934" s="2">
        <v>933</v>
      </c>
      <c r="G934" s="2">
        <f t="shared" si="71"/>
        <v>-2.2000000000005571E-2</v>
      </c>
      <c r="H934" s="2">
        <f t="shared" si="72"/>
        <v>-0.21215043394412314</v>
      </c>
      <c r="I934" s="2">
        <f t="shared" si="73"/>
        <v>2.2000000000005571E-2</v>
      </c>
      <c r="J934" s="2">
        <f t="shared" si="70"/>
        <v>108.25547445255475</v>
      </c>
      <c r="K934" s="27">
        <f t="shared" si="74"/>
        <v>4.6844939379138379</v>
      </c>
    </row>
    <row r="935" spans="1:11" x14ac:dyDescent="0.3">
      <c r="A935" s="28">
        <v>0.89053300000000002</v>
      </c>
      <c r="B935" s="3">
        <v>0.10009999999999999</v>
      </c>
      <c r="C935" s="3" t="s">
        <v>5</v>
      </c>
      <c r="D935" s="3">
        <v>1</v>
      </c>
      <c r="E935" s="3">
        <v>100.16</v>
      </c>
      <c r="F935" s="3">
        <v>934</v>
      </c>
      <c r="G935" s="3">
        <f t="shared" si="71"/>
        <v>7.5000000000002842E-2</v>
      </c>
      <c r="H935" s="3">
        <f t="shared" si="72"/>
        <v>0.74925074925077773</v>
      </c>
      <c r="I935" s="3">
        <f t="shared" si="73"/>
        <v>7.5000000000002842E-2</v>
      </c>
      <c r="J935" s="3">
        <f t="shared" si="70"/>
        <v>108.25547445255475</v>
      </c>
      <c r="K935" s="29">
        <f t="shared" si="74"/>
        <v>4.6844939379138379</v>
      </c>
    </row>
    <row r="936" spans="1:11" x14ac:dyDescent="0.3">
      <c r="A936" s="26">
        <v>0.89154</v>
      </c>
      <c r="B936" s="2">
        <v>0.1009</v>
      </c>
      <c r="C936" s="2">
        <v>27</v>
      </c>
      <c r="D936" s="2">
        <v>1</v>
      </c>
      <c r="E936" s="2">
        <v>100.235</v>
      </c>
      <c r="F936" s="2">
        <v>935</v>
      </c>
      <c r="G936" s="2">
        <f t="shared" si="71"/>
        <v>3.1000000000005912E-2</v>
      </c>
      <c r="H936" s="2">
        <f t="shared" si="72"/>
        <v>0.30723488602582666</v>
      </c>
      <c r="I936" s="2">
        <f t="shared" si="73"/>
        <v>3.1000000000005912E-2</v>
      </c>
      <c r="J936" s="2">
        <f t="shared" si="70"/>
        <v>27</v>
      </c>
      <c r="K936" s="27">
        <f t="shared" si="74"/>
        <v>3.2958368660043291</v>
      </c>
    </row>
    <row r="937" spans="1:11" x14ac:dyDescent="0.3">
      <c r="A937" s="28">
        <v>0.89185800000000004</v>
      </c>
      <c r="B937" s="3">
        <v>0.10539999999999999</v>
      </c>
      <c r="C937" s="3" t="s">
        <v>5</v>
      </c>
      <c r="D937" s="3">
        <v>1</v>
      </c>
      <c r="E937" s="3">
        <v>100.26600000000001</v>
      </c>
      <c r="F937" s="2">
        <v>936</v>
      </c>
      <c r="G937" s="2">
        <f t="shared" si="71"/>
        <v>1.9999999999953388E-3</v>
      </c>
      <c r="H937" s="2">
        <f t="shared" si="72"/>
        <v>1.8975332068266973E-2</v>
      </c>
      <c r="I937" s="2">
        <f t="shared" si="73"/>
        <v>1.9999999999953388E-3</v>
      </c>
      <c r="J937" s="2">
        <f t="shared" si="70"/>
        <v>108.25547445255475</v>
      </c>
      <c r="K937" s="27">
        <f t="shared" si="74"/>
        <v>4.6844939379138379</v>
      </c>
    </row>
    <row r="938" spans="1:11" x14ac:dyDescent="0.3">
      <c r="A938" s="26">
        <v>0.89458199999999999</v>
      </c>
      <c r="B938" s="2">
        <v>0.1132</v>
      </c>
      <c r="C938" s="2" t="s">
        <v>5</v>
      </c>
      <c r="D938" s="2">
        <v>1</v>
      </c>
      <c r="E938" s="2">
        <v>100.268</v>
      </c>
      <c r="F938" s="3">
        <v>937</v>
      </c>
      <c r="G938" s="3">
        <f t="shared" si="71"/>
        <v>0.15600000000000591</v>
      </c>
      <c r="H938" s="3">
        <f t="shared" si="72"/>
        <v>1.3780918727915716</v>
      </c>
      <c r="I938" s="3">
        <f t="shared" si="73"/>
        <v>0.15600000000000591</v>
      </c>
      <c r="J938" s="3">
        <f t="shared" si="70"/>
        <v>108.25547445255475</v>
      </c>
      <c r="K938" s="29">
        <f t="shared" si="74"/>
        <v>4.6844939379138379</v>
      </c>
    </row>
    <row r="939" spans="1:11" x14ac:dyDescent="0.3">
      <c r="A939" s="28">
        <v>0.89505000000000001</v>
      </c>
      <c r="B939" s="3">
        <v>9.0999999999999998E-2</v>
      </c>
      <c r="C939" s="3" t="s">
        <v>5</v>
      </c>
      <c r="D939" s="3">
        <v>1</v>
      </c>
      <c r="E939" s="3">
        <v>100.42400000000001</v>
      </c>
      <c r="F939" s="2">
        <v>938</v>
      </c>
      <c r="G939" s="2">
        <f t="shared" si="71"/>
        <v>0.12199999999999989</v>
      </c>
      <c r="H939" s="2">
        <f t="shared" si="72"/>
        <v>1.3406593406593394</v>
      </c>
      <c r="I939" s="2">
        <f t="shared" si="73"/>
        <v>0.12199999999999989</v>
      </c>
      <c r="J939" s="2">
        <f t="shared" si="70"/>
        <v>108.25547445255475</v>
      </c>
      <c r="K939" s="27">
        <f t="shared" si="74"/>
        <v>4.6844939379138379</v>
      </c>
    </row>
    <row r="940" spans="1:11" x14ac:dyDescent="0.3">
      <c r="A940" s="26">
        <v>0.89521899999999999</v>
      </c>
      <c r="B940" s="2">
        <v>0.11310000000000001</v>
      </c>
      <c r="C940" s="2" t="s">
        <v>5</v>
      </c>
      <c r="D940" s="2">
        <v>1</v>
      </c>
      <c r="E940" s="2">
        <v>100.54600000000001</v>
      </c>
      <c r="F940" s="3">
        <v>939</v>
      </c>
      <c r="G940" s="3">
        <f t="shared" si="71"/>
        <v>3.7999999999996703E-2</v>
      </c>
      <c r="H940" s="3">
        <f t="shared" si="72"/>
        <v>0.33598585322720337</v>
      </c>
      <c r="I940" s="3">
        <f t="shared" si="73"/>
        <v>3.7999999999996703E-2</v>
      </c>
      <c r="J940" s="3">
        <f t="shared" si="70"/>
        <v>108.25547445255475</v>
      </c>
      <c r="K940" s="29">
        <f t="shared" si="74"/>
        <v>4.6844939379138379</v>
      </c>
    </row>
    <row r="941" spans="1:11" x14ac:dyDescent="0.3">
      <c r="A941" s="28">
        <v>0.89720999999999995</v>
      </c>
      <c r="B941" s="3">
        <v>0.11269999999999999</v>
      </c>
      <c r="C941" s="3" t="s">
        <v>5</v>
      </c>
      <c r="D941" s="3">
        <v>-1</v>
      </c>
      <c r="E941" s="3">
        <v>100.584</v>
      </c>
      <c r="F941" s="2">
        <v>940</v>
      </c>
      <c r="G941" s="2">
        <f t="shared" si="71"/>
        <v>-9.7000000000008413E-2</v>
      </c>
      <c r="H941" s="2">
        <f t="shared" si="72"/>
        <v>-0.86069210292820242</v>
      </c>
      <c r="I941" s="2">
        <f t="shared" si="73"/>
        <v>9.7000000000008413E-2</v>
      </c>
      <c r="J941" s="2">
        <f t="shared" si="70"/>
        <v>108.25547445255475</v>
      </c>
      <c r="K941" s="27">
        <f t="shared" si="74"/>
        <v>4.6844939379138379</v>
      </c>
    </row>
    <row r="942" spans="1:11" x14ac:dyDescent="0.3">
      <c r="A942" s="26">
        <v>0.89758300000000002</v>
      </c>
      <c r="B942" s="2">
        <v>8.8300000000000003E-2</v>
      </c>
      <c r="C942" s="2" t="s">
        <v>5</v>
      </c>
      <c r="D942" s="2">
        <v>1</v>
      </c>
      <c r="E942" s="2">
        <v>100.48699999999999</v>
      </c>
      <c r="F942" s="3">
        <v>941</v>
      </c>
      <c r="G942" s="3">
        <f t="shared" si="71"/>
        <v>6.1000000000007049E-2</v>
      </c>
      <c r="H942" s="3">
        <f t="shared" si="72"/>
        <v>0.69082672706689752</v>
      </c>
      <c r="I942" s="3">
        <f t="shared" si="73"/>
        <v>6.1000000000007049E-2</v>
      </c>
      <c r="J942" s="3">
        <f t="shared" si="70"/>
        <v>108.25547445255475</v>
      </c>
      <c r="K942" s="29">
        <f t="shared" si="74"/>
        <v>4.6844939379138379</v>
      </c>
    </row>
    <row r="943" spans="1:11" x14ac:dyDescent="0.3">
      <c r="A943" s="28">
        <v>0.89874200000000004</v>
      </c>
      <c r="B943" s="3">
        <v>0.1125</v>
      </c>
      <c r="C943" s="3" t="s">
        <v>5</v>
      </c>
      <c r="D943" s="3">
        <v>1</v>
      </c>
      <c r="E943" s="3">
        <v>100.548</v>
      </c>
      <c r="F943" s="2">
        <v>942</v>
      </c>
      <c r="G943" s="2">
        <f t="shared" si="71"/>
        <v>0.15999999999999659</v>
      </c>
      <c r="H943" s="2">
        <f t="shared" si="72"/>
        <v>1.4222222222221919</v>
      </c>
      <c r="I943" s="2">
        <f t="shared" si="73"/>
        <v>0.15999999999999659</v>
      </c>
      <c r="J943" s="2">
        <f t="shared" si="70"/>
        <v>108.25547445255475</v>
      </c>
      <c r="K943" s="27">
        <f t="shared" si="74"/>
        <v>4.6844939379138379</v>
      </c>
    </row>
    <row r="944" spans="1:11" x14ac:dyDescent="0.3">
      <c r="A944" s="26">
        <v>0.90011399999999997</v>
      </c>
      <c r="B944" s="2">
        <v>0.1071</v>
      </c>
      <c r="C944" s="2" t="s">
        <v>5</v>
      </c>
      <c r="D944" s="2">
        <v>1</v>
      </c>
      <c r="E944" s="2">
        <v>100.708</v>
      </c>
      <c r="F944" s="3">
        <v>943</v>
      </c>
      <c r="G944" s="3">
        <f t="shared" si="71"/>
        <v>3.7000000000006139E-2</v>
      </c>
      <c r="H944" s="3">
        <f t="shared" si="72"/>
        <v>0.34547152194216751</v>
      </c>
      <c r="I944" s="3">
        <f t="shared" si="73"/>
        <v>3.7000000000006139E-2</v>
      </c>
      <c r="J944" s="3">
        <f t="shared" si="70"/>
        <v>108.25547445255475</v>
      </c>
      <c r="K944" s="29">
        <f t="shared" si="74"/>
        <v>4.6844939379138379</v>
      </c>
    </row>
    <row r="945" spans="1:11" x14ac:dyDescent="0.3">
      <c r="A945" s="28">
        <v>0.90219899999999997</v>
      </c>
      <c r="B945" s="3">
        <v>9.5899999999999999E-2</v>
      </c>
      <c r="C945" s="3" t="s">
        <v>5</v>
      </c>
      <c r="D945" s="3">
        <v>-1</v>
      </c>
      <c r="E945" s="3">
        <v>100.745</v>
      </c>
      <c r="F945" s="2">
        <v>944</v>
      </c>
      <c r="G945" s="2">
        <f t="shared" si="71"/>
        <v>-9.1999999999998749E-2</v>
      </c>
      <c r="H945" s="2">
        <f t="shared" si="72"/>
        <v>-0.9593326381647419</v>
      </c>
      <c r="I945" s="2">
        <f t="shared" si="73"/>
        <v>9.1999999999998749E-2</v>
      </c>
      <c r="J945" s="2">
        <f t="shared" si="70"/>
        <v>108.25547445255475</v>
      </c>
      <c r="K945" s="27">
        <f t="shared" si="74"/>
        <v>4.6844939379138379</v>
      </c>
    </row>
    <row r="946" spans="1:11" x14ac:dyDescent="0.3">
      <c r="A946" s="26">
        <v>0.90271599999999996</v>
      </c>
      <c r="B946" s="2">
        <v>0.10440000000000001</v>
      </c>
      <c r="C946" s="2" t="s">
        <v>5</v>
      </c>
      <c r="D946" s="2">
        <v>-1</v>
      </c>
      <c r="E946" s="2">
        <v>100.65300000000001</v>
      </c>
      <c r="F946" s="3">
        <v>945</v>
      </c>
      <c r="G946" s="3">
        <f t="shared" si="71"/>
        <v>-6.4000000000007162E-2</v>
      </c>
      <c r="H946" s="3">
        <f t="shared" si="72"/>
        <v>-0.61302681992344021</v>
      </c>
      <c r="I946" s="3">
        <f t="shared" si="73"/>
        <v>6.4000000000007162E-2</v>
      </c>
      <c r="J946" s="3">
        <f t="shared" si="70"/>
        <v>108.25547445255475</v>
      </c>
      <c r="K946" s="29">
        <f t="shared" si="74"/>
        <v>4.6844939379138379</v>
      </c>
    </row>
    <row r="947" spans="1:11" x14ac:dyDescent="0.3">
      <c r="A947" s="28">
        <v>0.90383400000000003</v>
      </c>
      <c r="B947" s="3">
        <v>0.1082</v>
      </c>
      <c r="C947" s="3" t="s">
        <v>5</v>
      </c>
      <c r="D947" s="3">
        <v>1</v>
      </c>
      <c r="E947" s="3">
        <v>100.589</v>
      </c>
      <c r="F947" s="2">
        <v>946</v>
      </c>
      <c r="G947" s="2">
        <f t="shared" si="71"/>
        <v>4.600000000000648E-2</v>
      </c>
      <c r="H947" s="2">
        <f t="shared" si="72"/>
        <v>0.42513863216272163</v>
      </c>
      <c r="I947" s="2">
        <f t="shared" si="73"/>
        <v>4.600000000000648E-2</v>
      </c>
      <c r="J947" s="2">
        <f t="shared" si="70"/>
        <v>108.25547445255475</v>
      </c>
      <c r="K947" s="27">
        <f t="shared" si="74"/>
        <v>4.6844939379138379</v>
      </c>
    </row>
    <row r="948" spans="1:11" x14ac:dyDescent="0.3">
      <c r="A948" s="26">
        <v>0.90670700000000004</v>
      </c>
      <c r="B948" s="2">
        <v>0.10489999999999999</v>
      </c>
      <c r="C948" s="2" t="s">
        <v>5</v>
      </c>
      <c r="D948" s="2">
        <v>1</v>
      </c>
      <c r="E948" s="2">
        <v>100.63500000000001</v>
      </c>
      <c r="F948" s="3">
        <v>947</v>
      </c>
      <c r="G948" s="3">
        <f t="shared" si="71"/>
        <v>6.799999999999784E-2</v>
      </c>
      <c r="H948" s="3">
        <f t="shared" si="72"/>
        <v>0.64823641563391654</v>
      </c>
      <c r="I948" s="3">
        <f t="shared" si="73"/>
        <v>6.799999999999784E-2</v>
      </c>
      <c r="J948" s="3">
        <f t="shared" si="70"/>
        <v>108.25547445255475</v>
      </c>
      <c r="K948" s="29">
        <f t="shared" si="74"/>
        <v>4.6844939379138379</v>
      </c>
    </row>
    <row r="949" spans="1:11" x14ac:dyDescent="0.3">
      <c r="A949" s="28">
        <v>0.91005000000000003</v>
      </c>
      <c r="B949" s="3">
        <v>0.1018</v>
      </c>
      <c r="C949" s="3" t="s">
        <v>5</v>
      </c>
      <c r="D949" s="3">
        <v>1</v>
      </c>
      <c r="E949" s="3">
        <v>100.703</v>
      </c>
      <c r="F949" s="2">
        <v>948</v>
      </c>
      <c r="G949" s="2">
        <f t="shared" si="71"/>
        <v>7.6999999999998181E-2</v>
      </c>
      <c r="H949" s="2">
        <f t="shared" si="72"/>
        <v>0.75638506876226108</v>
      </c>
      <c r="I949" s="2">
        <f t="shared" si="73"/>
        <v>7.6999999999998181E-2</v>
      </c>
      <c r="J949" s="2">
        <f t="shared" si="70"/>
        <v>108.25547445255475</v>
      </c>
      <c r="K949" s="27">
        <f t="shared" si="74"/>
        <v>4.6844939379138379</v>
      </c>
    </row>
    <row r="950" spans="1:11" x14ac:dyDescent="0.3">
      <c r="A950" s="26">
        <v>0.91151300000000002</v>
      </c>
      <c r="B950" s="2">
        <v>0.1052</v>
      </c>
      <c r="C950" s="2" t="s">
        <v>5</v>
      </c>
      <c r="D950" s="2">
        <v>-1</v>
      </c>
      <c r="E950" s="2">
        <v>100.78</v>
      </c>
      <c r="F950" s="3">
        <v>949</v>
      </c>
      <c r="G950" s="3">
        <f t="shared" si="71"/>
        <v>-0.10699999999999932</v>
      </c>
      <c r="H950" s="3">
        <f t="shared" si="72"/>
        <v>-1.0171102661596894</v>
      </c>
      <c r="I950" s="3">
        <f t="shared" si="73"/>
        <v>0.10699999999999932</v>
      </c>
      <c r="J950" s="3">
        <f t="shared" si="70"/>
        <v>108.25547445255475</v>
      </c>
      <c r="K950" s="29">
        <f t="shared" si="74"/>
        <v>4.6844939379138379</v>
      </c>
    </row>
    <row r="951" spans="1:11" x14ac:dyDescent="0.3">
      <c r="A951" s="28">
        <v>0.91245100000000001</v>
      </c>
      <c r="B951" s="3">
        <v>0.1091</v>
      </c>
      <c r="C951" s="3" t="s">
        <v>5</v>
      </c>
      <c r="D951" s="3">
        <v>1</v>
      </c>
      <c r="E951" s="3">
        <v>100.673</v>
      </c>
      <c r="F951" s="2">
        <v>950</v>
      </c>
      <c r="G951" s="2">
        <f t="shared" si="71"/>
        <v>9.3000000000003524E-2</v>
      </c>
      <c r="H951" s="2">
        <f t="shared" si="72"/>
        <v>0.85242896425301118</v>
      </c>
      <c r="I951" s="2">
        <f t="shared" si="73"/>
        <v>9.3000000000003524E-2</v>
      </c>
      <c r="J951" s="2">
        <f t="shared" si="70"/>
        <v>108.25547445255475</v>
      </c>
      <c r="K951" s="27">
        <f t="shared" si="74"/>
        <v>4.6844939379138379</v>
      </c>
    </row>
    <row r="952" spans="1:11" x14ac:dyDescent="0.3">
      <c r="A952" s="26">
        <v>0.91507400000000005</v>
      </c>
      <c r="B952" s="2">
        <v>9.2299999999999993E-2</v>
      </c>
      <c r="C952" s="2">
        <v>42</v>
      </c>
      <c r="D952" s="2">
        <v>1</v>
      </c>
      <c r="E952" s="2">
        <v>100.76600000000001</v>
      </c>
      <c r="F952" s="3">
        <v>951</v>
      </c>
      <c r="G952" s="3">
        <f t="shared" si="71"/>
        <v>3.3000000000001251E-2</v>
      </c>
      <c r="H952" s="3">
        <f t="shared" si="72"/>
        <v>0.35752979414952601</v>
      </c>
      <c r="I952" s="3">
        <f t="shared" si="73"/>
        <v>3.3000000000001251E-2</v>
      </c>
      <c r="J952" s="3">
        <f t="shared" si="70"/>
        <v>42</v>
      </c>
      <c r="K952" s="29">
        <f t="shared" si="74"/>
        <v>3.7376696182833684</v>
      </c>
    </row>
    <row r="953" spans="1:11" x14ac:dyDescent="0.3">
      <c r="A953" s="28">
        <v>0.91630100000000003</v>
      </c>
      <c r="B953" s="3">
        <v>7.85E-2</v>
      </c>
      <c r="C953" s="3" t="s">
        <v>5</v>
      </c>
      <c r="D953" s="3">
        <v>1</v>
      </c>
      <c r="E953" s="3">
        <v>100.79900000000001</v>
      </c>
      <c r="F953" s="2">
        <v>952</v>
      </c>
      <c r="G953" s="2">
        <f t="shared" si="71"/>
        <v>2.0999999999986585E-2</v>
      </c>
      <c r="H953" s="2">
        <f t="shared" si="72"/>
        <v>0.26751592356670811</v>
      </c>
      <c r="I953" s="2">
        <f t="shared" si="73"/>
        <v>2.0999999999986585E-2</v>
      </c>
      <c r="J953" s="2">
        <f t="shared" si="70"/>
        <v>108.25547445255475</v>
      </c>
      <c r="K953" s="27">
        <f t="shared" si="74"/>
        <v>4.6844939379138379</v>
      </c>
    </row>
    <row r="954" spans="1:11" x14ac:dyDescent="0.3">
      <c r="A954" s="26">
        <v>0.91676199999999997</v>
      </c>
      <c r="B954" s="2">
        <v>0.1096</v>
      </c>
      <c r="C954" s="2">
        <v>82</v>
      </c>
      <c r="D954" s="2">
        <v>-1</v>
      </c>
      <c r="E954" s="2">
        <v>100.82</v>
      </c>
      <c r="F954" s="2">
        <v>953</v>
      </c>
      <c r="G954" s="2">
        <f t="shared" si="71"/>
        <v>-7.0999999999997954E-2</v>
      </c>
      <c r="H954" s="2">
        <f t="shared" si="72"/>
        <v>-0.64781021897808355</v>
      </c>
      <c r="I954" s="2">
        <f t="shared" si="73"/>
        <v>7.0999999999997954E-2</v>
      </c>
      <c r="J954" s="2">
        <f t="shared" si="70"/>
        <v>82</v>
      </c>
      <c r="K954" s="27">
        <f t="shared" si="74"/>
        <v>4.4067192472642533</v>
      </c>
    </row>
    <row r="955" spans="1:11" x14ac:dyDescent="0.3">
      <c r="A955" s="28">
        <v>0.917134</v>
      </c>
      <c r="B955" s="3">
        <v>0.1041</v>
      </c>
      <c r="C955" s="3">
        <v>32</v>
      </c>
      <c r="D955" s="3">
        <v>1</v>
      </c>
      <c r="E955" s="3">
        <v>100.749</v>
      </c>
      <c r="F955" s="3">
        <v>954</v>
      </c>
      <c r="G955" s="3">
        <f t="shared" si="71"/>
        <v>4.0000000000006253E-2</v>
      </c>
      <c r="H955" s="3">
        <f t="shared" si="72"/>
        <v>0.38424591738718783</v>
      </c>
      <c r="I955" s="3">
        <f t="shared" si="73"/>
        <v>4.0000000000006253E-2</v>
      </c>
      <c r="J955" s="3">
        <f t="shared" si="70"/>
        <v>32</v>
      </c>
      <c r="K955" s="29">
        <f t="shared" si="74"/>
        <v>3.4657359027997265</v>
      </c>
    </row>
    <row r="956" spans="1:11" x14ac:dyDescent="0.3">
      <c r="A956" s="26">
        <v>0.91727099999999995</v>
      </c>
      <c r="B956" s="2">
        <v>0.112</v>
      </c>
      <c r="C956" s="2" t="s">
        <v>5</v>
      </c>
      <c r="D956" s="2">
        <v>-1</v>
      </c>
      <c r="E956" s="2">
        <v>100.789</v>
      </c>
      <c r="F956" s="2">
        <v>955</v>
      </c>
      <c r="G956" s="2">
        <f t="shared" si="71"/>
        <v>-1.9999999999996021E-2</v>
      </c>
      <c r="H956" s="2">
        <f t="shared" si="72"/>
        <v>-0.17857142857139305</v>
      </c>
      <c r="I956" s="2">
        <f t="shared" si="73"/>
        <v>1.9999999999996021E-2</v>
      </c>
      <c r="J956" s="2">
        <f t="shared" si="70"/>
        <v>108.25547445255475</v>
      </c>
      <c r="K956" s="27">
        <f t="shared" si="74"/>
        <v>4.6844939379138379</v>
      </c>
    </row>
    <row r="957" spans="1:11" x14ac:dyDescent="0.3">
      <c r="A957" s="28">
        <v>0.918184</v>
      </c>
      <c r="B957" s="3">
        <v>9.3799999999999994E-2</v>
      </c>
      <c r="C957" s="3" t="s">
        <v>5</v>
      </c>
      <c r="D957" s="3">
        <v>1</v>
      </c>
      <c r="E957" s="3">
        <v>100.76900000000001</v>
      </c>
      <c r="F957" s="3">
        <v>956</v>
      </c>
      <c r="G957" s="3">
        <f t="shared" si="71"/>
        <v>1.8000000000000682E-2</v>
      </c>
      <c r="H957" s="3">
        <f t="shared" si="72"/>
        <v>0.19189765458422903</v>
      </c>
      <c r="I957" s="3">
        <f t="shared" si="73"/>
        <v>1.8000000000000682E-2</v>
      </c>
      <c r="J957" s="3">
        <f t="shared" si="70"/>
        <v>108.25547445255475</v>
      </c>
      <c r="K957" s="29">
        <f t="shared" si="74"/>
        <v>4.6844939379138379</v>
      </c>
    </row>
    <row r="958" spans="1:11" x14ac:dyDescent="0.3">
      <c r="A958" s="26">
        <v>0.91865300000000005</v>
      </c>
      <c r="B958" s="2">
        <v>0.10879999999999999</v>
      </c>
      <c r="C958" s="2">
        <v>4</v>
      </c>
      <c r="D958" s="2">
        <v>-1</v>
      </c>
      <c r="E958" s="2">
        <v>100.78700000000001</v>
      </c>
      <c r="F958" s="2">
        <v>957</v>
      </c>
      <c r="G958" s="2">
        <f t="shared" si="71"/>
        <v>-2.0000000000010232E-2</v>
      </c>
      <c r="H958" s="2">
        <f t="shared" si="72"/>
        <v>-0.18382352941185875</v>
      </c>
      <c r="I958" s="2">
        <f t="shared" si="73"/>
        <v>2.0000000000010232E-2</v>
      </c>
      <c r="J958" s="2">
        <f t="shared" si="70"/>
        <v>4</v>
      </c>
      <c r="K958" s="27">
        <f t="shared" si="74"/>
        <v>1.3862943611198906</v>
      </c>
    </row>
    <row r="959" spans="1:11" x14ac:dyDescent="0.3">
      <c r="A959" s="28">
        <v>0.92307799999999995</v>
      </c>
      <c r="B959" s="3">
        <v>8.1000000000000003E-2</v>
      </c>
      <c r="C959" s="3" t="s">
        <v>5</v>
      </c>
      <c r="D959" s="3">
        <v>1</v>
      </c>
      <c r="E959" s="3">
        <v>100.767</v>
      </c>
      <c r="F959" s="3">
        <v>958</v>
      </c>
      <c r="G959" s="3">
        <f t="shared" si="71"/>
        <v>1.0000000000005116E-2</v>
      </c>
      <c r="H959" s="3">
        <f t="shared" si="72"/>
        <v>0.12345679012351994</v>
      </c>
      <c r="I959" s="3">
        <f t="shared" si="73"/>
        <v>1.0000000000005116E-2</v>
      </c>
      <c r="J959" s="3">
        <f t="shared" si="70"/>
        <v>108.25547445255475</v>
      </c>
      <c r="K959" s="29">
        <f t="shared" si="74"/>
        <v>4.6844939379138379</v>
      </c>
    </row>
    <row r="960" spans="1:11" x14ac:dyDescent="0.3">
      <c r="A960" s="26">
        <v>0.92909399999999998</v>
      </c>
      <c r="B960" s="2">
        <v>0.1024</v>
      </c>
      <c r="C960" s="2" t="s">
        <v>5</v>
      </c>
      <c r="D960" s="2">
        <v>-1</v>
      </c>
      <c r="E960" s="2">
        <v>100.777</v>
      </c>
      <c r="F960" s="2">
        <v>959</v>
      </c>
      <c r="G960" s="2">
        <f t="shared" si="71"/>
        <v>-9.0000000000003411E-3</v>
      </c>
      <c r="H960" s="2">
        <f t="shared" si="72"/>
        <v>-8.7890625000003331E-2</v>
      </c>
      <c r="I960" s="2">
        <f t="shared" si="73"/>
        <v>9.0000000000003411E-3</v>
      </c>
      <c r="J960" s="2">
        <f t="shared" si="70"/>
        <v>108.25547445255475</v>
      </c>
      <c r="K960" s="27">
        <f t="shared" si="74"/>
        <v>4.6844939379138379</v>
      </c>
    </row>
    <row r="961" spans="1:11" x14ac:dyDescent="0.3">
      <c r="A961" s="28">
        <v>0.93043100000000001</v>
      </c>
      <c r="B961" s="3">
        <v>0.1191</v>
      </c>
      <c r="C961" s="3" t="s">
        <v>5</v>
      </c>
      <c r="D961" s="3">
        <v>1</v>
      </c>
      <c r="E961" s="3">
        <v>100.768</v>
      </c>
      <c r="F961" s="3">
        <v>960</v>
      </c>
      <c r="G961" s="3">
        <f t="shared" si="71"/>
        <v>1.9999999999996021E-2</v>
      </c>
      <c r="H961" s="3">
        <f t="shared" si="72"/>
        <v>0.16792611251046197</v>
      </c>
      <c r="I961" s="3">
        <f t="shared" si="73"/>
        <v>1.9999999999996021E-2</v>
      </c>
      <c r="J961" s="3">
        <f t="shared" si="70"/>
        <v>108.25547445255475</v>
      </c>
      <c r="K961" s="29">
        <f t="shared" si="74"/>
        <v>4.6844939379138379</v>
      </c>
    </row>
    <row r="962" spans="1:11" x14ac:dyDescent="0.3">
      <c r="A962" s="26">
        <v>0.93134600000000001</v>
      </c>
      <c r="B962" s="2">
        <v>9.1899999999999996E-2</v>
      </c>
      <c r="C962" s="2" t="s">
        <v>5</v>
      </c>
      <c r="D962" s="2">
        <v>1</v>
      </c>
      <c r="E962" s="2">
        <v>100.788</v>
      </c>
      <c r="F962" s="2">
        <v>961</v>
      </c>
      <c r="G962" s="2">
        <f t="shared" si="71"/>
        <v>1.300000000000523E-2</v>
      </c>
      <c r="H962" s="2">
        <f t="shared" si="72"/>
        <v>0.14145810663770653</v>
      </c>
      <c r="I962" s="2">
        <f t="shared" si="73"/>
        <v>1.300000000000523E-2</v>
      </c>
      <c r="J962" s="2">
        <f t="shared" ref="J962:J1002" si="75">IF(C962="",$AA$1,C962)</f>
        <v>108.25547445255475</v>
      </c>
      <c r="K962" s="27">
        <f t="shared" si="74"/>
        <v>4.6844939379138379</v>
      </c>
    </row>
    <row r="963" spans="1:11" x14ac:dyDescent="0.3">
      <c r="A963" s="28">
        <v>0.93789100000000003</v>
      </c>
      <c r="B963" s="3">
        <v>0.10730000000000001</v>
      </c>
      <c r="C963" s="3" t="s">
        <v>5</v>
      </c>
      <c r="D963" s="3">
        <v>1</v>
      </c>
      <c r="E963" s="3">
        <v>100.801</v>
      </c>
      <c r="F963" s="3">
        <v>962</v>
      </c>
      <c r="G963" s="3">
        <f t="shared" ref="G963:G1002" si="76">E964-E963</f>
        <v>6.1999999999997613E-2</v>
      </c>
      <c r="H963" s="3">
        <f t="shared" ref="H963:H1002" si="77">IF(B963&lt;&gt;0,G963/B963,"")</f>
        <v>0.57781919850883134</v>
      </c>
      <c r="I963" s="3">
        <f t="shared" ref="I963:I1002" si="78">D963*G963</f>
        <v>6.1999999999997613E-2</v>
      </c>
      <c r="J963" s="3">
        <f t="shared" si="75"/>
        <v>108.25547445255475</v>
      </c>
      <c r="K963" s="29">
        <f t="shared" ref="K963:K1002" si="79">LN(J963)</f>
        <v>4.6844939379138379</v>
      </c>
    </row>
    <row r="964" spans="1:11" x14ac:dyDescent="0.3">
      <c r="A964" s="26">
        <v>0.93903999999999999</v>
      </c>
      <c r="B964" s="2">
        <v>9.5399999999999999E-2</v>
      </c>
      <c r="C964" s="2" t="s">
        <v>5</v>
      </c>
      <c r="D964" s="2">
        <v>-1</v>
      </c>
      <c r="E964" s="2">
        <v>100.863</v>
      </c>
      <c r="F964" s="2">
        <v>963</v>
      </c>
      <c r="G964" s="2">
        <f t="shared" si="76"/>
        <v>-4.3000000000006366E-2</v>
      </c>
      <c r="H964" s="2">
        <f t="shared" si="77"/>
        <v>-0.45073375262061183</v>
      </c>
      <c r="I964" s="2">
        <f t="shared" si="78"/>
        <v>4.3000000000006366E-2</v>
      </c>
      <c r="J964" s="2">
        <f t="shared" si="75"/>
        <v>108.25547445255475</v>
      </c>
      <c r="K964" s="27">
        <f t="shared" si="79"/>
        <v>4.6844939379138379</v>
      </c>
    </row>
    <row r="965" spans="1:11" x14ac:dyDescent="0.3">
      <c r="A965" s="28">
        <v>0.93913500000000005</v>
      </c>
      <c r="B965" s="3">
        <v>9.7100000000000006E-2</v>
      </c>
      <c r="C965" s="3" t="s">
        <v>5</v>
      </c>
      <c r="D965" s="3">
        <v>-1</v>
      </c>
      <c r="E965" s="3">
        <v>100.82</v>
      </c>
      <c r="F965" s="3">
        <v>964</v>
      </c>
      <c r="G965" s="3">
        <f t="shared" si="76"/>
        <v>-9.9999999999994316E-2</v>
      </c>
      <c r="H965" s="3">
        <f t="shared" si="77"/>
        <v>-1.0298661174046788</v>
      </c>
      <c r="I965" s="3">
        <f t="shared" si="78"/>
        <v>9.9999999999994316E-2</v>
      </c>
      <c r="J965" s="3">
        <f t="shared" si="75"/>
        <v>108.25547445255475</v>
      </c>
      <c r="K965" s="29">
        <f t="shared" si="79"/>
        <v>4.6844939379138379</v>
      </c>
    </row>
    <row r="966" spans="1:11" x14ac:dyDescent="0.3">
      <c r="A966" s="26">
        <v>0.93939399999999995</v>
      </c>
      <c r="B966" s="2">
        <v>0.11360000000000001</v>
      </c>
      <c r="C966" s="2">
        <v>694</v>
      </c>
      <c r="D966" s="2">
        <v>1</v>
      </c>
      <c r="E966" s="2">
        <v>100.72</v>
      </c>
      <c r="F966" s="2">
        <v>965</v>
      </c>
      <c r="G966" s="2">
        <f t="shared" si="76"/>
        <v>0.24800000000000466</v>
      </c>
      <c r="H966" s="2">
        <f t="shared" si="77"/>
        <v>2.1830985915493368</v>
      </c>
      <c r="I966" s="2">
        <f t="shared" si="78"/>
        <v>0.24800000000000466</v>
      </c>
      <c r="J966" s="2">
        <f t="shared" si="75"/>
        <v>694</v>
      </c>
      <c r="K966" s="27">
        <f t="shared" si="79"/>
        <v>6.5424719605068047</v>
      </c>
    </row>
    <row r="967" spans="1:11" x14ac:dyDescent="0.3">
      <c r="A967" s="28">
        <v>0.94087699999999996</v>
      </c>
      <c r="B967" s="3">
        <v>9.1899999999999996E-2</v>
      </c>
      <c r="C967" s="3" t="s">
        <v>5</v>
      </c>
      <c r="D967" s="3">
        <v>1</v>
      </c>
      <c r="E967" s="3">
        <v>100.968</v>
      </c>
      <c r="F967" s="3">
        <v>966</v>
      </c>
      <c r="G967" s="3">
        <f t="shared" si="76"/>
        <v>4.9999999999954525E-3</v>
      </c>
      <c r="H967" s="3">
        <f t="shared" si="77"/>
        <v>5.4406964091354218E-2</v>
      </c>
      <c r="I967" s="3">
        <f t="shared" si="78"/>
        <v>4.9999999999954525E-3</v>
      </c>
      <c r="J967" s="3">
        <f t="shared" si="75"/>
        <v>108.25547445255475</v>
      </c>
      <c r="K967" s="29">
        <f t="shared" si="79"/>
        <v>4.6844939379138379</v>
      </c>
    </row>
    <row r="968" spans="1:11" x14ac:dyDescent="0.3">
      <c r="A968" s="26">
        <v>0.94164000000000003</v>
      </c>
      <c r="B968" s="2">
        <v>0.1109</v>
      </c>
      <c r="C968" s="2" t="s">
        <v>5</v>
      </c>
      <c r="D968" s="2">
        <v>1</v>
      </c>
      <c r="E968" s="2">
        <v>100.973</v>
      </c>
      <c r="F968" s="2">
        <v>967</v>
      </c>
      <c r="G968" s="2">
        <f t="shared" si="76"/>
        <v>5.4000000000002046E-2</v>
      </c>
      <c r="H968" s="2">
        <f t="shared" si="77"/>
        <v>0.48692515779983814</v>
      </c>
      <c r="I968" s="2">
        <f t="shared" si="78"/>
        <v>5.4000000000002046E-2</v>
      </c>
      <c r="J968" s="2">
        <f t="shared" si="75"/>
        <v>108.25547445255475</v>
      </c>
      <c r="K968" s="27">
        <f t="shared" si="79"/>
        <v>4.6844939379138379</v>
      </c>
    </row>
    <row r="969" spans="1:11" x14ac:dyDescent="0.3">
      <c r="A969" s="28">
        <v>0.94172800000000001</v>
      </c>
      <c r="B969" s="3">
        <v>9.4E-2</v>
      </c>
      <c r="C969" s="3" t="s">
        <v>5</v>
      </c>
      <c r="D969" s="3">
        <v>1</v>
      </c>
      <c r="E969" s="3">
        <v>101.027</v>
      </c>
      <c r="F969" s="3">
        <v>968</v>
      </c>
      <c r="G969" s="3">
        <f t="shared" si="76"/>
        <v>1.8000000000000682E-2</v>
      </c>
      <c r="H969" s="3">
        <f t="shared" si="77"/>
        <v>0.1914893617021349</v>
      </c>
      <c r="I969" s="3">
        <f t="shared" si="78"/>
        <v>1.8000000000000682E-2</v>
      </c>
      <c r="J969" s="3">
        <f t="shared" si="75"/>
        <v>108.25547445255475</v>
      </c>
      <c r="K969" s="29">
        <f t="shared" si="79"/>
        <v>4.6844939379138379</v>
      </c>
    </row>
    <row r="970" spans="1:11" x14ac:dyDescent="0.3">
      <c r="A970" s="26">
        <v>0.94196999999999997</v>
      </c>
      <c r="B970" s="2">
        <v>9.9400000000000002E-2</v>
      </c>
      <c r="C970" s="2">
        <v>205</v>
      </c>
      <c r="D970" s="2">
        <v>-1</v>
      </c>
      <c r="E970" s="2">
        <v>101.045</v>
      </c>
      <c r="F970" s="2">
        <v>969</v>
      </c>
      <c r="G970" s="2">
        <f t="shared" si="76"/>
        <v>-0.11299999999999955</v>
      </c>
      <c r="H970" s="2">
        <f t="shared" si="77"/>
        <v>-1.1368209255533153</v>
      </c>
      <c r="I970" s="2">
        <f t="shared" si="78"/>
        <v>0.11299999999999955</v>
      </c>
      <c r="J970" s="2">
        <f t="shared" si="75"/>
        <v>205</v>
      </c>
      <c r="K970" s="27">
        <f t="shared" si="79"/>
        <v>5.3230099791384085</v>
      </c>
    </row>
    <row r="971" spans="1:11" x14ac:dyDescent="0.3">
      <c r="A971" s="28">
        <v>0.94330199999999997</v>
      </c>
      <c r="B971" s="3">
        <v>0.1042</v>
      </c>
      <c r="C971" s="3" t="s">
        <v>5</v>
      </c>
      <c r="D971" s="3">
        <v>1</v>
      </c>
      <c r="E971" s="3">
        <v>100.932</v>
      </c>
      <c r="F971" s="2">
        <v>970</v>
      </c>
      <c r="G971" s="2">
        <f t="shared" si="76"/>
        <v>5.2999999999997272E-2</v>
      </c>
      <c r="H971" s="2">
        <f t="shared" si="77"/>
        <v>0.50863723608442679</v>
      </c>
      <c r="I971" s="2">
        <f t="shared" si="78"/>
        <v>5.2999999999997272E-2</v>
      </c>
      <c r="J971" s="2">
        <f t="shared" si="75"/>
        <v>108.25547445255475</v>
      </c>
      <c r="K971" s="27">
        <f t="shared" si="79"/>
        <v>4.6844939379138379</v>
      </c>
    </row>
    <row r="972" spans="1:11" x14ac:dyDescent="0.3">
      <c r="A972" s="26">
        <v>0.945044</v>
      </c>
      <c r="B972" s="2">
        <v>9.2299999999999993E-2</v>
      </c>
      <c r="C972" s="2" t="s">
        <v>5</v>
      </c>
      <c r="D972" s="2">
        <v>-1</v>
      </c>
      <c r="E972" s="2">
        <v>100.985</v>
      </c>
      <c r="F972" s="3">
        <v>971</v>
      </c>
      <c r="G972" s="3">
        <f t="shared" si="76"/>
        <v>-2.8000000000005798E-2</v>
      </c>
      <c r="H972" s="3">
        <f t="shared" si="77"/>
        <v>-0.30335861321783097</v>
      </c>
      <c r="I972" s="3">
        <f t="shared" si="78"/>
        <v>2.8000000000005798E-2</v>
      </c>
      <c r="J972" s="3">
        <f t="shared" si="75"/>
        <v>108.25547445255475</v>
      </c>
      <c r="K972" s="29">
        <f t="shared" si="79"/>
        <v>4.6844939379138379</v>
      </c>
    </row>
    <row r="973" spans="1:11" x14ac:dyDescent="0.3">
      <c r="A973" s="28">
        <v>0.94617799999999996</v>
      </c>
      <c r="B973" s="3">
        <v>0.1123</v>
      </c>
      <c r="C973" s="3" t="s">
        <v>5</v>
      </c>
      <c r="D973" s="3">
        <v>-1</v>
      </c>
      <c r="E973" s="3">
        <v>100.95699999999999</v>
      </c>
      <c r="F973" s="2">
        <v>972</v>
      </c>
      <c r="G973" s="2">
        <f t="shared" si="76"/>
        <v>-8.8999999999998636E-2</v>
      </c>
      <c r="H973" s="2">
        <f t="shared" si="77"/>
        <v>-0.79252003561886586</v>
      </c>
      <c r="I973" s="2">
        <f t="shared" si="78"/>
        <v>8.8999999999998636E-2</v>
      </c>
      <c r="J973" s="2">
        <f t="shared" si="75"/>
        <v>108.25547445255475</v>
      </c>
      <c r="K973" s="27">
        <f t="shared" si="79"/>
        <v>4.6844939379138379</v>
      </c>
    </row>
    <row r="974" spans="1:11" x14ac:dyDescent="0.3">
      <c r="A974" s="26">
        <v>0.94776700000000003</v>
      </c>
      <c r="B974" s="2">
        <v>9.3799999999999994E-2</v>
      </c>
      <c r="C974" s="2" t="s">
        <v>5</v>
      </c>
      <c r="D974" s="2">
        <v>1</v>
      </c>
      <c r="E974" s="2">
        <v>100.86799999999999</v>
      </c>
      <c r="F974" s="3">
        <v>973</v>
      </c>
      <c r="G974" s="3">
        <f t="shared" si="76"/>
        <v>1.7000000000010118E-2</v>
      </c>
      <c r="H974" s="3">
        <f t="shared" si="77"/>
        <v>0.18123667377409508</v>
      </c>
      <c r="I974" s="3">
        <f t="shared" si="78"/>
        <v>1.7000000000010118E-2</v>
      </c>
      <c r="J974" s="3">
        <f t="shared" si="75"/>
        <v>108.25547445255475</v>
      </c>
      <c r="K974" s="29">
        <f t="shared" si="79"/>
        <v>4.6844939379138379</v>
      </c>
    </row>
    <row r="975" spans="1:11" x14ac:dyDescent="0.3">
      <c r="A975" s="28">
        <v>0.94822799999999996</v>
      </c>
      <c r="B975" s="3">
        <v>0.1085</v>
      </c>
      <c r="C975" s="3" t="s">
        <v>5</v>
      </c>
      <c r="D975" s="3">
        <v>1</v>
      </c>
      <c r="E975" s="3">
        <v>100.88500000000001</v>
      </c>
      <c r="F975" s="2">
        <v>974</v>
      </c>
      <c r="G975" s="2">
        <f t="shared" si="76"/>
        <v>6.599999999998829E-2</v>
      </c>
      <c r="H975" s="2">
        <f t="shared" si="77"/>
        <v>0.60829493087546815</v>
      </c>
      <c r="I975" s="2">
        <f t="shared" si="78"/>
        <v>6.599999999998829E-2</v>
      </c>
      <c r="J975" s="2">
        <f t="shared" si="75"/>
        <v>108.25547445255475</v>
      </c>
      <c r="K975" s="27">
        <f t="shared" si="79"/>
        <v>4.6844939379138379</v>
      </c>
    </row>
    <row r="976" spans="1:11" x14ac:dyDescent="0.3">
      <c r="A976" s="26">
        <v>0.94982800000000001</v>
      </c>
      <c r="B976" s="2">
        <v>0.1288</v>
      </c>
      <c r="C976" s="2" t="s">
        <v>5</v>
      </c>
      <c r="D976" s="2">
        <v>1</v>
      </c>
      <c r="E976" s="2">
        <v>100.95099999999999</v>
      </c>
      <c r="F976" s="3">
        <v>975</v>
      </c>
      <c r="G976" s="3">
        <f t="shared" si="76"/>
        <v>3.50000000000108E-2</v>
      </c>
      <c r="H976" s="3">
        <f t="shared" si="77"/>
        <v>0.27173913043486647</v>
      </c>
      <c r="I976" s="3">
        <f t="shared" si="78"/>
        <v>3.50000000000108E-2</v>
      </c>
      <c r="J976" s="3">
        <f t="shared" si="75"/>
        <v>108.25547445255475</v>
      </c>
      <c r="K976" s="29">
        <f t="shared" si="79"/>
        <v>4.6844939379138379</v>
      </c>
    </row>
    <row r="977" spans="1:11" x14ac:dyDescent="0.3">
      <c r="A977" s="28">
        <v>0.95014399999999999</v>
      </c>
      <c r="B977" s="3">
        <v>9.2299999999999993E-2</v>
      </c>
      <c r="C977" s="3" t="s">
        <v>5</v>
      </c>
      <c r="D977" s="3">
        <v>1</v>
      </c>
      <c r="E977" s="3">
        <v>100.986</v>
      </c>
      <c r="F977" s="2">
        <v>976</v>
      </c>
      <c r="G977" s="2">
        <f t="shared" si="76"/>
        <v>4.9999999999954525E-3</v>
      </c>
      <c r="H977" s="2">
        <f t="shared" si="77"/>
        <v>5.4171180931695047E-2</v>
      </c>
      <c r="I977" s="2">
        <f t="shared" si="78"/>
        <v>4.9999999999954525E-3</v>
      </c>
      <c r="J977" s="2">
        <f t="shared" si="75"/>
        <v>108.25547445255475</v>
      </c>
      <c r="K977" s="27">
        <f t="shared" si="79"/>
        <v>4.6844939379138379</v>
      </c>
    </row>
    <row r="978" spans="1:11" x14ac:dyDescent="0.3">
      <c r="A978" s="26">
        <v>0.95070100000000002</v>
      </c>
      <c r="B978" s="2">
        <v>9.5100000000000004E-2</v>
      </c>
      <c r="C978" s="2">
        <v>213</v>
      </c>
      <c r="D978" s="2">
        <v>-1</v>
      </c>
      <c r="E978" s="2">
        <v>100.991</v>
      </c>
      <c r="F978" s="3">
        <v>977</v>
      </c>
      <c r="G978" s="3">
        <f t="shared" si="76"/>
        <v>-0.10800000000000409</v>
      </c>
      <c r="H978" s="3">
        <f t="shared" si="77"/>
        <v>-1.1356466876972038</v>
      </c>
      <c r="I978" s="3">
        <f t="shared" si="78"/>
        <v>0.10800000000000409</v>
      </c>
      <c r="J978" s="3">
        <f t="shared" si="75"/>
        <v>213</v>
      </c>
      <c r="K978" s="29">
        <f t="shared" si="79"/>
        <v>5.3612921657094255</v>
      </c>
    </row>
    <row r="979" spans="1:11" x14ac:dyDescent="0.3">
      <c r="A979" s="28">
        <v>0.95101000000000002</v>
      </c>
      <c r="B979" s="3">
        <v>0.11210000000000001</v>
      </c>
      <c r="C979" s="3" t="s">
        <v>5</v>
      </c>
      <c r="D979" s="3">
        <v>1</v>
      </c>
      <c r="E979" s="3">
        <v>100.883</v>
      </c>
      <c r="F979" s="2">
        <v>978</v>
      </c>
      <c r="G979" s="2">
        <f t="shared" si="76"/>
        <v>6.6000000000002501E-2</v>
      </c>
      <c r="H979" s="2">
        <f t="shared" si="77"/>
        <v>0.58876003568244872</v>
      </c>
      <c r="I979" s="2">
        <f t="shared" si="78"/>
        <v>6.6000000000002501E-2</v>
      </c>
      <c r="J979" s="2">
        <f t="shared" si="75"/>
        <v>108.25547445255475</v>
      </c>
      <c r="K979" s="27">
        <f t="shared" si="79"/>
        <v>4.6844939379138379</v>
      </c>
    </row>
    <row r="980" spans="1:11" x14ac:dyDescent="0.3">
      <c r="A980" s="26">
        <v>0.95406599999999997</v>
      </c>
      <c r="B980" s="2">
        <v>0.1133</v>
      </c>
      <c r="C980" s="2" t="s">
        <v>5</v>
      </c>
      <c r="D980" s="2">
        <v>-1</v>
      </c>
      <c r="E980" s="2">
        <v>100.949</v>
      </c>
      <c r="F980" s="3">
        <v>979</v>
      </c>
      <c r="G980" s="3">
        <f t="shared" si="76"/>
        <v>-8.7999999999993861E-2</v>
      </c>
      <c r="H980" s="3">
        <f t="shared" si="77"/>
        <v>-0.7766990291261594</v>
      </c>
      <c r="I980" s="3">
        <f t="shared" si="78"/>
        <v>8.7999999999993861E-2</v>
      </c>
      <c r="J980" s="3">
        <f t="shared" si="75"/>
        <v>108.25547445255475</v>
      </c>
      <c r="K980" s="29">
        <f t="shared" si="79"/>
        <v>4.6844939379138379</v>
      </c>
    </row>
    <row r="981" spans="1:11" x14ac:dyDescent="0.3">
      <c r="A981" s="28">
        <v>0.95477100000000004</v>
      </c>
      <c r="B981" s="3">
        <v>8.1799999999999998E-2</v>
      </c>
      <c r="C981" s="3" t="s">
        <v>5</v>
      </c>
      <c r="D981" s="3">
        <v>1</v>
      </c>
      <c r="E981" s="3">
        <v>100.861</v>
      </c>
      <c r="F981" s="2">
        <v>980</v>
      </c>
      <c r="G981" s="2">
        <f t="shared" si="76"/>
        <v>2.5999999999996248E-2</v>
      </c>
      <c r="H981" s="2">
        <f t="shared" si="77"/>
        <v>0.31784841075790038</v>
      </c>
      <c r="I981" s="2">
        <f t="shared" si="78"/>
        <v>2.5999999999996248E-2</v>
      </c>
      <c r="J981" s="2">
        <f t="shared" si="75"/>
        <v>108.25547445255475</v>
      </c>
      <c r="K981" s="27">
        <f t="shared" si="79"/>
        <v>4.6844939379138379</v>
      </c>
    </row>
    <row r="982" spans="1:11" x14ac:dyDescent="0.3">
      <c r="A982" s="26">
        <v>0.958005</v>
      </c>
      <c r="B982" s="2">
        <v>8.8400000000000006E-2</v>
      </c>
      <c r="C982" s="2" t="s">
        <v>5</v>
      </c>
      <c r="D982" s="2">
        <v>-1</v>
      </c>
      <c r="E982" s="2">
        <v>100.887</v>
      </c>
      <c r="F982" s="3">
        <v>981</v>
      </c>
      <c r="G982" s="3">
        <f t="shared" si="76"/>
        <v>-1.6999999999995907E-2</v>
      </c>
      <c r="H982" s="3">
        <f t="shared" si="77"/>
        <v>-0.19230769230764599</v>
      </c>
      <c r="I982" s="3">
        <f t="shared" si="78"/>
        <v>1.6999999999995907E-2</v>
      </c>
      <c r="J982" s="3">
        <f t="shared" si="75"/>
        <v>108.25547445255475</v>
      </c>
      <c r="K982" s="29">
        <f t="shared" si="79"/>
        <v>4.6844939379138379</v>
      </c>
    </row>
    <row r="983" spans="1:11" x14ac:dyDescent="0.3">
      <c r="A983" s="28">
        <v>0.96145199999999997</v>
      </c>
      <c r="B983" s="3">
        <v>9.6500000000000002E-2</v>
      </c>
      <c r="C983" s="3" t="s">
        <v>5</v>
      </c>
      <c r="D983" s="3">
        <v>-1</v>
      </c>
      <c r="E983" s="3">
        <v>100.87</v>
      </c>
      <c r="F983" s="2">
        <v>982</v>
      </c>
      <c r="G983" s="2">
        <f t="shared" si="76"/>
        <v>-3.9000000000001478E-2</v>
      </c>
      <c r="H983" s="2">
        <f t="shared" si="77"/>
        <v>-0.40414507772022257</v>
      </c>
      <c r="I983" s="2">
        <f t="shared" si="78"/>
        <v>3.9000000000001478E-2</v>
      </c>
      <c r="J983" s="2">
        <f t="shared" si="75"/>
        <v>108.25547445255475</v>
      </c>
      <c r="K983" s="27">
        <f t="shared" si="79"/>
        <v>4.6844939379138379</v>
      </c>
    </row>
    <row r="984" spans="1:11" x14ac:dyDescent="0.3">
      <c r="A984" s="26">
        <v>0.96216599999999997</v>
      </c>
      <c r="B984" s="2">
        <v>0.11650000000000001</v>
      </c>
      <c r="C984" s="2">
        <v>65</v>
      </c>
      <c r="D984" s="2">
        <v>1</v>
      </c>
      <c r="E984" s="2">
        <v>100.831</v>
      </c>
      <c r="F984" s="3">
        <v>983</v>
      </c>
      <c r="G984" s="3">
        <f t="shared" si="76"/>
        <v>5.8999999999997499E-2</v>
      </c>
      <c r="H984" s="3">
        <f t="shared" si="77"/>
        <v>0.50643776824032183</v>
      </c>
      <c r="I984" s="3">
        <f t="shared" si="78"/>
        <v>5.8999999999997499E-2</v>
      </c>
      <c r="J984" s="3">
        <f t="shared" si="75"/>
        <v>65</v>
      </c>
      <c r="K984" s="29">
        <f t="shared" si="79"/>
        <v>4.1743872698956368</v>
      </c>
    </row>
    <row r="985" spans="1:11" x14ac:dyDescent="0.3">
      <c r="A985" s="28">
        <v>0.96493799999999996</v>
      </c>
      <c r="B985" s="3">
        <v>0.10589999999999999</v>
      </c>
      <c r="C985" s="3">
        <v>42</v>
      </c>
      <c r="D985" s="3">
        <v>-1</v>
      </c>
      <c r="E985" s="3">
        <v>100.89</v>
      </c>
      <c r="F985" s="2">
        <v>984</v>
      </c>
      <c r="G985" s="2">
        <f t="shared" si="76"/>
        <v>-4.5000000000001705E-2</v>
      </c>
      <c r="H985" s="2">
        <f t="shared" si="77"/>
        <v>-0.42492917847027106</v>
      </c>
      <c r="I985" s="2">
        <f t="shared" si="78"/>
        <v>4.5000000000001705E-2</v>
      </c>
      <c r="J985" s="2">
        <f t="shared" si="75"/>
        <v>42</v>
      </c>
      <c r="K985" s="27">
        <f t="shared" si="79"/>
        <v>3.7376696182833684</v>
      </c>
    </row>
    <row r="986" spans="1:11" x14ac:dyDescent="0.3">
      <c r="A986" s="26">
        <v>0.96543900000000005</v>
      </c>
      <c r="B986" s="2">
        <v>0.1087</v>
      </c>
      <c r="C986" s="2" t="s">
        <v>5</v>
      </c>
      <c r="D986" s="2">
        <v>1</v>
      </c>
      <c r="E986" s="2">
        <v>100.845</v>
      </c>
      <c r="F986" s="3">
        <v>985</v>
      </c>
      <c r="G986" s="3">
        <f t="shared" si="76"/>
        <v>4.5000000000001705E-2</v>
      </c>
      <c r="H986" s="3">
        <f t="shared" si="77"/>
        <v>0.41398344066238918</v>
      </c>
      <c r="I986" s="3">
        <f t="shared" si="78"/>
        <v>4.5000000000001705E-2</v>
      </c>
      <c r="J986" s="3">
        <f t="shared" si="75"/>
        <v>108.25547445255475</v>
      </c>
      <c r="K986" s="29">
        <f t="shared" si="79"/>
        <v>4.6844939379138379</v>
      </c>
    </row>
    <row r="987" spans="1:11" x14ac:dyDescent="0.3">
      <c r="A987" s="28">
        <v>0.96556900000000001</v>
      </c>
      <c r="B987" s="3">
        <v>9.4600000000000004E-2</v>
      </c>
      <c r="C987" s="3" t="s">
        <v>5</v>
      </c>
      <c r="D987" s="3">
        <v>-1</v>
      </c>
      <c r="E987" s="3">
        <v>100.89</v>
      </c>
      <c r="F987" s="2">
        <v>986</v>
      </c>
      <c r="G987" s="2">
        <f t="shared" si="76"/>
        <v>-2.1000000000000796E-2</v>
      </c>
      <c r="H987" s="2">
        <f t="shared" si="77"/>
        <v>-0.22198731501057922</v>
      </c>
      <c r="I987" s="2">
        <f t="shared" si="78"/>
        <v>2.1000000000000796E-2</v>
      </c>
      <c r="J987" s="2">
        <f t="shared" si="75"/>
        <v>108.25547445255475</v>
      </c>
      <c r="K987" s="27">
        <f t="shared" si="79"/>
        <v>4.6844939379138379</v>
      </c>
    </row>
    <row r="988" spans="1:11" x14ac:dyDescent="0.3">
      <c r="A988" s="26">
        <v>0.96624600000000005</v>
      </c>
      <c r="B988" s="2">
        <v>9.8599999999999993E-2</v>
      </c>
      <c r="C988" s="2" t="s">
        <v>5</v>
      </c>
      <c r="D988" s="2">
        <v>1</v>
      </c>
      <c r="E988" s="2">
        <v>100.869</v>
      </c>
      <c r="F988" s="2">
        <v>987</v>
      </c>
      <c r="G988" s="2">
        <f t="shared" si="76"/>
        <v>0.18099999999999739</v>
      </c>
      <c r="H988" s="2">
        <f t="shared" si="77"/>
        <v>1.8356997971602169</v>
      </c>
      <c r="I988" s="2">
        <f t="shared" si="78"/>
        <v>0.18099999999999739</v>
      </c>
      <c r="J988" s="2">
        <f t="shared" si="75"/>
        <v>108.25547445255475</v>
      </c>
      <c r="K988" s="27">
        <f t="shared" si="79"/>
        <v>4.6844939379138379</v>
      </c>
    </row>
    <row r="989" spans="1:11" x14ac:dyDescent="0.3">
      <c r="A989" s="28">
        <v>0.96648599999999996</v>
      </c>
      <c r="B989" s="3">
        <v>9.6000000000000002E-2</v>
      </c>
      <c r="C989" s="3" t="s">
        <v>5</v>
      </c>
      <c r="D989" s="3">
        <v>1</v>
      </c>
      <c r="E989" s="3">
        <v>101.05</v>
      </c>
      <c r="F989" s="3">
        <v>988</v>
      </c>
      <c r="G989" s="3">
        <f t="shared" si="76"/>
        <v>0.15600000000000591</v>
      </c>
      <c r="H989" s="3">
        <f t="shared" si="77"/>
        <v>1.6250000000000615</v>
      </c>
      <c r="I989" s="3">
        <f t="shared" si="78"/>
        <v>0.15600000000000591</v>
      </c>
      <c r="J989" s="3">
        <f t="shared" si="75"/>
        <v>108.25547445255475</v>
      </c>
      <c r="K989" s="29">
        <f t="shared" si="79"/>
        <v>4.6844939379138379</v>
      </c>
    </row>
    <row r="990" spans="1:11" x14ac:dyDescent="0.3">
      <c r="A990" s="26">
        <v>0.968804</v>
      </c>
      <c r="B990" s="2">
        <v>8.9599999999999999E-2</v>
      </c>
      <c r="C990" s="2">
        <v>14</v>
      </c>
      <c r="D990" s="2">
        <v>-1</v>
      </c>
      <c r="E990" s="2">
        <v>101.206</v>
      </c>
      <c r="F990" s="2">
        <v>989</v>
      </c>
      <c r="G990" s="2">
        <f t="shared" si="76"/>
        <v>-2.2000000000005571E-2</v>
      </c>
      <c r="H990" s="2">
        <f t="shared" si="77"/>
        <v>-0.24553571428577647</v>
      </c>
      <c r="I990" s="2">
        <f t="shared" si="78"/>
        <v>2.2000000000005571E-2</v>
      </c>
      <c r="J990" s="2">
        <f t="shared" si="75"/>
        <v>14</v>
      </c>
      <c r="K990" s="27">
        <f t="shared" si="79"/>
        <v>2.6390573296152584</v>
      </c>
    </row>
    <row r="991" spans="1:11" x14ac:dyDescent="0.3">
      <c r="A991" s="28">
        <v>0.969113</v>
      </c>
      <c r="B991" s="3">
        <v>0.1105</v>
      </c>
      <c r="C991" s="3">
        <v>150</v>
      </c>
      <c r="D991" s="3">
        <v>-1</v>
      </c>
      <c r="E991" s="3">
        <v>101.184</v>
      </c>
      <c r="F991" s="3">
        <v>990</v>
      </c>
      <c r="G991" s="3">
        <f t="shared" si="76"/>
        <v>-0.10099999999999909</v>
      </c>
      <c r="H991" s="3">
        <f t="shared" si="77"/>
        <v>-0.91402714932125873</v>
      </c>
      <c r="I991" s="3">
        <f t="shared" si="78"/>
        <v>0.10099999999999909</v>
      </c>
      <c r="J991" s="3">
        <f t="shared" si="75"/>
        <v>150</v>
      </c>
      <c r="K991" s="29">
        <f t="shared" si="79"/>
        <v>5.0106352940962555</v>
      </c>
    </row>
    <row r="992" spans="1:11" x14ac:dyDescent="0.3">
      <c r="A992" s="26">
        <v>0.97188200000000002</v>
      </c>
      <c r="B992" s="2">
        <v>9.2899999999999996E-2</v>
      </c>
      <c r="C992" s="2">
        <v>17</v>
      </c>
      <c r="D992" s="2">
        <v>-1</v>
      </c>
      <c r="E992" s="2">
        <v>101.083</v>
      </c>
      <c r="F992" s="2">
        <v>991</v>
      </c>
      <c r="G992" s="2">
        <f t="shared" si="76"/>
        <v>-2.4999999999991473E-2</v>
      </c>
      <c r="H992" s="2">
        <f t="shared" si="77"/>
        <v>-0.26910656620012352</v>
      </c>
      <c r="I992" s="2">
        <f t="shared" si="78"/>
        <v>2.4999999999991473E-2</v>
      </c>
      <c r="J992" s="2">
        <f t="shared" si="75"/>
        <v>17</v>
      </c>
      <c r="K992" s="27">
        <f t="shared" si="79"/>
        <v>2.8332133440562162</v>
      </c>
    </row>
    <row r="993" spans="1:11" x14ac:dyDescent="0.3">
      <c r="A993" s="28">
        <v>0.97456299999999996</v>
      </c>
      <c r="B993" s="3">
        <v>8.5000000000000006E-2</v>
      </c>
      <c r="C993" s="3" t="s">
        <v>5</v>
      </c>
      <c r="D993" s="3">
        <v>1</v>
      </c>
      <c r="E993" s="3">
        <v>101.05800000000001</v>
      </c>
      <c r="F993" s="3">
        <v>992</v>
      </c>
      <c r="G993" s="3">
        <f t="shared" si="76"/>
        <v>7.6999999999998181E-2</v>
      </c>
      <c r="H993" s="3">
        <f t="shared" si="77"/>
        <v>0.90588235294115504</v>
      </c>
      <c r="I993" s="3">
        <f t="shared" si="78"/>
        <v>7.6999999999998181E-2</v>
      </c>
      <c r="J993" s="3">
        <f t="shared" si="75"/>
        <v>108.25547445255475</v>
      </c>
      <c r="K993" s="29">
        <f t="shared" si="79"/>
        <v>4.6844939379138379</v>
      </c>
    </row>
    <row r="994" spans="1:11" x14ac:dyDescent="0.3">
      <c r="A994" s="26">
        <v>0.97514299999999998</v>
      </c>
      <c r="B994" s="2">
        <v>0.1273</v>
      </c>
      <c r="C994" s="2" t="s">
        <v>5</v>
      </c>
      <c r="D994" s="2">
        <v>-1</v>
      </c>
      <c r="E994" s="2">
        <v>101.13500000000001</v>
      </c>
      <c r="F994" s="2">
        <v>993</v>
      </c>
      <c r="G994" s="2">
        <f t="shared" si="76"/>
        <v>-3.1000000000005912E-2</v>
      </c>
      <c r="H994" s="2">
        <f t="shared" si="77"/>
        <v>-0.24351924587593018</v>
      </c>
      <c r="I994" s="2">
        <f t="shared" si="78"/>
        <v>3.1000000000005912E-2</v>
      </c>
      <c r="J994" s="2">
        <f t="shared" si="75"/>
        <v>108.25547445255475</v>
      </c>
      <c r="K994" s="27">
        <f t="shared" si="79"/>
        <v>4.6844939379138379</v>
      </c>
    </row>
    <row r="995" spans="1:11" x14ac:dyDescent="0.3">
      <c r="A995" s="28">
        <v>0.97656699999999996</v>
      </c>
      <c r="B995" s="3">
        <v>9.9599999999999994E-2</v>
      </c>
      <c r="C995" s="3" t="s">
        <v>5</v>
      </c>
      <c r="D995" s="3">
        <v>-1</v>
      </c>
      <c r="E995" s="3">
        <v>101.104</v>
      </c>
      <c r="F995" s="3">
        <v>994</v>
      </c>
      <c r="G995" s="3">
        <f t="shared" si="76"/>
        <v>-7.2999999999993292E-2</v>
      </c>
      <c r="H995" s="3">
        <f t="shared" si="77"/>
        <v>-0.73293172690756325</v>
      </c>
      <c r="I995" s="3">
        <f t="shared" si="78"/>
        <v>7.2999999999993292E-2</v>
      </c>
      <c r="J995" s="3">
        <f t="shared" si="75"/>
        <v>108.25547445255475</v>
      </c>
      <c r="K995" s="29">
        <f t="shared" si="79"/>
        <v>4.6844939379138379</v>
      </c>
    </row>
    <row r="996" spans="1:11" x14ac:dyDescent="0.3">
      <c r="A996" s="26">
        <v>0.97890299999999997</v>
      </c>
      <c r="B996" s="2">
        <v>0.1134</v>
      </c>
      <c r="C996" s="2" t="s">
        <v>5</v>
      </c>
      <c r="D996" s="2">
        <v>-1</v>
      </c>
      <c r="E996" s="2">
        <v>101.03100000000001</v>
      </c>
      <c r="F996" s="2">
        <v>995</v>
      </c>
      <c r="G996" s="2">
        <f t="shared" si="76"/>
        <v>-3.1000000000005912E-2</v>
      </c>
      <c r="H996" s="2">
        <f t="shared" si="77"/>
        <v>-0.27336860670199215</v>
      </c>
      <c r="I996" s="2">
        <f t="shared" si="78"/>
        <v>3.1000000000005912E-2</v>
      </c>
      <c r="J996" s="2">
        <f t="shared" si="75"/>
        <v>108.25547445255475</v>
      </c>
      <c r="K996" s="27">
        <f t="shared" si="79"/>
        <v>4.6844939379138379</v>
      </c>
    </row>
    <row r="997" spans="1:11" x14ac:dyDescent="0.3">
      <c r="A997" s="28">
        <v>0.979738</v>
      </c>
      <c r="B997" s="3">
        <v>9.2999999999999999E-2</v>
      </c>
      <c r="C997" s="3" t="s">
        <v>5</v>
      </c>
      <c r="D997" s="3">
        <v>1</v>
      </c>
      <c r="E997" s="3">
        <v>101</v>
      </c>
      <c r="F997" s="3">
        <v>996</v>
      </c>
      <c r="G997" s="3">
        <f t="shared" si="76"/>
        <v>6.9999999999993179E-2</v>
      </c>
      <c r="H997" s="3">
        <f t="shared" si="77"/>
        <v>0.75268817204293736</v>
      </c>
      <c r="I997" s="3">
        <f t="shared" si="78"/>
        <v>6.9999999999993179E-2</v>
      </c>
      <c r="J997" s="3">
        <f t="shared" si="75"/>
        <v>108.25547445255475</v>
      </c>
      <c r="K997" s="29">
        <f t="shared" si="79"/>
        <v>4.6844939379138379</v>
      </c>
    </row>
    <row r="998" spans="1:11" x14ac:dyDescent="0.3">
      <c r="A998" s="26">
        <v>0.98144100000000001</v>
      </c>
      <c r="B998" s="2">
        <v>8.3400000000000002E-2</v>
      </c>
      <c r="C998" s="2">
        <v>79</v>
      </c>
      <c r="D998" s="2">
        <v>1</v>
      </c>
      <c r="E998" s="2">
        <v>101.07</v>
      </c>
      <c r="F998" s="2">
        <v>997</v>
      </c>
      <c r="G998" s="2">
        <f t="shared" si="76"/>
        <v>5.0000000000011369E-2</v>
      </c>
      <c r="H998" s="2">
        <f t="shared" si="77"/>
        <v>0.59952038369318184</v>
      </c>
      <c r="I998" s="2">
        <f t="shared" si="78"/>
        <v>5.0000000000011369E-2</v>
      </c>
      <c r="J998" s="2">
        <f t="shared" si="75"/>
        <v>79</v>
      </c>
      <c r="K998" s="27">
        <f t="shared" si="79"/>
        <v>4.3694478524670215</v>
      </c>
    </row>
    <row r="999" spans="1:11" x14ac:dyDescent="0.3">
      <c r="A999" s="28">
        <v>0.98187500000000005</v>
      </c>
      <c r="B999" s="3">
        <v>0.10100000000000001</v>
      </c>
      <c r="C999" s="3" t="s">
        <v>5</v>
      </c>
      <c r="D999" s="3">
        <v>-1</v>
      </c>
      <c r="E999" s="3">
        <v>101.12</v>
      </c>
      <c r="F999" s="3">
        <v>998</v>
      </c>
      <c r="G999" s="3">
        <f t="shared" si="76"/>
        <v>-0.12199999999999989</v>
      </c>
      <c r="H999" s="3">
        <f t="shared" si="77"/>
        <v>-1.2079207920792068</v>
      </c>
      <c r="I999" s="3">
        <f t="shared" si="78"/>
        <v>0.12199999999999989</v>
      </c>
      <c r="J999" s="3">
        <f t="shared" si="75"/>
        <v>108.25547445255475</v>
      </c>
      <c r="K999" s="29">
        <f t="shared" si="79"/>
        <v>4.6844939379138379</v>
      </c>
    </row>
    <row r="1000" spans="1:11" x14ac:dyDescent="0.3">
      <c r="A1000" s="26">
        <v>0.98678399999999999</v>
      </c>
      <c r="B1000" s="2">
        <v>0.1007</v>
      </c>
      <c r="C1000" s="2" t="s">
        <v>5</v>
      </c>
      <c r="D1000" s="2">
        <v>-1</v>
      </c>
      <c r="E1000" s="2">
        <v>100.998</v>
      </c>
      <c r="F1000" s="2">
        <v>999</v>
      </c>
      <c r="G1000" s="2">
        <f t="shared" si="76"/>
        <v>-4.0000000000006253E-2</v>
      </c>
      <c r="H1000" s="2">
        <f t="shared" si="77"/>
        <v>-0.39721946375378603</v>
      </c>
      <c r="I1000" s="2">
        <f t="shared" si="78"/>
        <v>4.0000000000006253E-2</v>
      </c>
      <c r="J1000" s="2">
        <f t="shared" si="75"/>
        <v>108.25547445255475</v>
      </c>
      <c r="K1000" s="27">
        <f t="shared" si="79"/>
        <v>4.6844939379138379</v>
      </c>
    </row>
    <row r="1001" spans="1:11" x14ac:dyDescent="0.3">
      <c r="A1001" s="28">
        <v>0.991232</v>
      </c>
      <c r="B1001" s="3">
        <v>0.1153</v>
      </c>
      <c r="C1001" s="3">
        <v>3</v>
      </c>
      <c r="D1001" s="3">
        <v>-1</v>
      </c>
      <c r="E1001" s="3">
        <v>100.958</v>
      </c>
      <c r="F1001" s="3">
        <v>1000</v>
      </c>
      <c r="G1001" s="3">
        <f t="shared" si="76"/>
        <v>-1.0000000000005116E-2</v>
      </c>
      <c r="H1001" s="3">
        <f t="shared" si="77"/>
        <v>-8.6730268863877844E-2</v>
      </c>
      <c r="I1001" s="3">
        <f t="shared" si="78"/>
        <v>1.0000000000005116E-2</v>
      </c>
      <c r="J1001" s="3">
        <f t="shared" si="75"/>
        <v>3</v>
      </c>
      <c r="K1001" s="29">
        <f t="shared" si="79"/>
        <v>1.0986122886681098</v>
      </c>
    </row>
    <row r="1002" spans="1:11" ht="15" thickBot="1" x14ac:dyDescent="0.35">
      <c r="A1002" s="35">
        <v>0.99200200000000005</v>
      </c>
      <c r="B1002" s="39">
        <v>0.1045</v>
      </c>
      <c r="C1002" s="39" t="s">
        <v>5</v>
      </c>
      <c r="D1002" s="39">
        <v>1</v>
      </c>
      <c r="E1002" s="39">
        <v>100.94799999999999</v>
      </c>
      <c r="F1002" s="39">
        <v>1001</v>
      </c>
      <c r="G1002" s="39">
        <f t="shared" si="76"/>
        <v>-100.94799999999999</v>
      </c>
      <c r="H1002" s="39">
        <f t="shared" si="77"/>
        <v>-966.00956937799037</v>
      </c>
      <c r="I1002" s="39">
        <f t="shared" si="78"/>
        <v>-100.94799999999999</v>
      </c>
      <c r="J1002" s="39">
        <f t="shared" si="75"/>
        <v>108.25547445255475</v>
      </c>
      <c r="K1002" s="36">
        <f t="shared" si="79"/>
        <v>4.6844939379138379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FBEC-8F80-40AC-B679-859FC359BC5B}">
  <dimension ref="A1:D51"/>
  <sheetViews>
    <sheetView workbookViewId="0">
      <selection sqref="A1:A1048576"/>
    </sheetView>
  </sheetViews>
  <sheetFormatPr baseColWidth="10" defaultColWidth="15.77734375" defaultRowHeight="14.4" x14ac:dyDescent="0.3"/>
  <cols>
    <col min="1" max="16384" width="15.77734375" style="1"/>
  </cols>
  <sheetData>
    <row r="1" spans="1:4" ht="28.8" x14ac:dyDescent="0.3">
      <c r="A1" s="23" t="s">
        <v>12</v>
      </c>
      <c r="B1" s="24" t="s">
        <v>13</v>
      </c>
      <c r="C1" s="25" t="s">
        <v>15</v>
      </c>
    </row>
    <row r="2" spans="1:4" x14ac:dyDescent="0.3">
      <c r="A2" s="26">
        <v>1</v>
      </c>
      <c r="B2" s="2">
        <f ca="1">SUMPRODUCT(data_prep!$D$2:INDEX(data_prep!$D:$D,$D$2-A2),OFFSET(data_prep!$D$2:INDEX(data_prep!$D:$D,$D$2-A2),A2,0))/COUNT(data_prep!$D$2:INDEX(data_prep!$D:$D,$D$2-A2))</f>
        <v>-1.4E-2</v>
      </c>
      <c r="C2" s="27">
        <f>$D$2-1-A2</f>
        <v>1000</v>
      </c>
      <c r="D2" s="1">
        <f>MATCH(9.99999999999999E+307,data_prep!$D:$D)</f>
        <v>1002</v>
      </c>
    </row>
    <row r="3" spans="1:4" x14ac:dyDescent="0.3">
      <c r="A3" s="28">
        <f t="shared" ref="A3:A34" si="0">A2+1</f>
        <v>2</v>
      </c>
      <c r="B3" s="3">
        <f ca="1">SUMPRODUCT(data_prep!$D$2:INDEX(data_prep!$D:$D,$D$2-A3),OFFSET(data_prep!$D$2:INDEX(data_prep!$D:$D,$D$2-A3),A3,0))/COUNT(data_prep!$D$2:INDEX(data_prep!$D:$D,$D$2-A3))</f>
        <v>3.1031031031031032E-2</v>
      </c>
      <c r="C3" s="29">
        <f>$D$2-1-A3</f>
        <v>999</v>
      </c>
    </row>
    <row r="4" spans="1:4" x14ac:dyDescent="0.3">
      <c r="A4" s="26">
        <f t="shared" si="0"/>
        <v>3</v>
      </c>
      <c r="B4" s="2">
        <f ca="1">SUMPRODUCT(data_prep!$D$2:INDEX(data_prep!$D:$D,$D$2-A4),OFFSET(data_prep!$D$2:INDEX(data_prep!$D:$D,$D$2-A4),A4,0))/COUNT(data_prep!$D$2:INDEX(data_prep!$D:$D,$D$2-A4))</f>
        <v>-8.617234468937876E-2</v>
      </c>
      <c r="C4" s="27">
        <f t="shared" ref="C4:C51" si="1">$D$2-1-A4</f>
        <v>998</v>
      </c>
    </row>
    <row r="5" spans="1:4" x14ac:dyDescent="0.3">
      <c r="A5" s="28">
        <f t="shared" si="0"/>
        <v>4</v>
      </c>
      <c r="B5" s="3">
        <f ca="1">SUMPRODUCT(data_prep!$D$2:INDEX(data_prep!$D:$D,$D$2-A5),OFFSET(data_prep!$D$2:INDEX(data_prep!$D:$D,$D$2-A5),A5,0))/COUNT(data_prep!$D$2:INDEX(data_prep!$D:$D,$D$2-A5))</f>
        <v>3.1093279839518557E-2</v>
      </c>
      <c r="C5" s="29">
        <f t="shared" si="1"/>
        <v>997</v>
      </c>
    </row>
    <row r="6" spans="1:4" x14ac:dyDescent="0.3">
      <c r="A6" s="26">
        <f t="shared" si="0"/>
        <v>5</v>
      </c>
      <c r="B6" s="2">
        <f ca="1">SUMPRODUCT(data_prep!$D$2:INDEX(data_prep!$D:$D,$D$2-A6),OFFSET(data_prep!$D$2:INDEX(data_prep!$D:$D,$D$2-A6),A6,0))/COUNT(data_prep!$D$2:INDEX(data_prep!$D:$D,$D$2-A6))</f>
        <v>3.8152610441767071E-2</v>
      </c>
      <c r="C6" s="27">
        <f t="shared" si="1"/>
        <v>996</v>
      </c>
    </row>
    <row r="7" spans="1:4" x14ac:dyDescent="0.3">
      <c r="A7" s="28">
        <f t="shared" si="0"/>
        <v>6</v>
      </c>
      <c r="B7" s="3">
        <f ca="1">SUMPRODUCT(data_prep!$D$2:INDEX(data_prep!$D:$D,$D$2-A7),OFFSET(data_prep!$D$2:INDEX(data_prep!$D:$D,$D$2-A7),A7,0))/COUNT(data_prep!$D$2:INDEX(data_prep!$D:$D,$D$2-A7))</f>
        <v>-7.5376884422110546E-2</v>
      </c>
      <c r="C7" s="29">
        <f t="shared" si="1"/>
        <v>995</v>
      </c>
    </row>
    <row r="8" spans="1:4" x14ac:dyDescent="0.3">
      <c r="A8" s="26">
        <f t="shared" si="0"/>
        <v>7</v>
      </c>
      <c r="B8" s="2">
        <f ca="1">SUMPRODUCT(data_prep!$D$2:INDEX(data_prep!$D:$D,$D$2-A8),OFFSET(data_prep!$D$2:INDEX(data_prep!$D:$D,$D$2-A8),A8,0))/COUNT(data_prep!$D$2:INDEX(data_prep!$D:$D,$D$2-A8))</f>
        <v>-1.0060362173038229E-2</v>
      </c>
      <c r="C8" s="27">
        <f t="shared" si="1"/>
        <v>994</v>
      </c>
    </row>
    <row r="9" spans="1:4" x14ac:dyDescent="0.3">
      <c r="A9" s="28">
        <f t="shared" si="0"/>
        <v>8</v>
      </c>
      <c r="B9" s="3">
        <f ca="1">SUMPRODUCT(data_prep!$D$2:INDEX(data_prep!$D:$D,$D$2-A9),OFFSET(data_prep!$D$2:INDEX(data_prep!$D:$D,$D$2-A9),A9,0))/COUNT(data_prep!$D$2:INDEX(data_prep!$D:$D,$D$2-A9))</f>
        <v>4.9345417925478349E-2</v>
      </c>
      <c r="C9" s="29">
        <f t="shared" si="1"/>
        <v>993</v>
      </c>
    </row>
    <row r="10" spans="1:4" x14ac:dyDescent="0.3">
      <c r="A10" s="26">
        <f t="shared" si="0"/>
        <v>9</v>
      </c>
      <c r="B10" s="2">
        <f ca="1">SUMPRODUCT(data_prep!$D$2:INDEX(data_prep!$D:$D,$D$2-A10),OFFSET(data_prep!$D$2:INDEX(data_prep!$D:$D,$D$2-A10),A10,0))/COUNT(data_prep!$D$2:INDEX(data_prep!$D:$D,$D$2-A10))</f>
        <v>6.0483870967741937E-2</v>
      </c>
      <c r="C10" s="27">
        <f t="shared" si="1"/>
        <v>992</v>
      </c>
    </row>
    <row r="11" spans="1:4" x14ac:dyDescent="0.3">
      <c r="A11" s="28">
        <f t="shared" si="0"/>
        <v>10</v>
      </c>
      <c r="B11" s="3">
        <f ca="1">SUMPRODUCT(data_prep!$D$2:INDEX(data_prep!$D:$D,$D$2-A11),OFFSET(data_prep!$D$2:INDEX(data_prep!$D:$D,$D$2-A11),A11,0))/COUNT(data_prep!$D$2:INDEX(data_prep!$D:$D,$D$2-A11))</f>
        <v>2.119071644803229E-2</v>
      </c>
      <c r="C11" s="29">
        <f t="shared" si="1"/>
        <v>991</v>
      </c>
    </row>
    <row r="12" spans="1:4" x14ac:dyDescent="0.3">
      <c r="A12" s="26">
        <f t="shared" si="0"/>
        <v>11</v>
      </c>
      <c r="B12" s="2">
        <f ca="1">SUMPRODUCT(data_prep!$D$2:INDEX(data_prep!$D:$D,$D$2-A12),OFFSET(data_prep!$D$2:INDEX(data_prep!$D:$D,$D$2-A12),A12,0))/COUNT(data_prep!$D$2:INDEX(data_prep!$D:$D,$D$2-A12))</f>
        <v>-7.8787878787878782E-2</v>
      </c>
      <c r="C12" s="27">
        <f t="shared" si="1"/>
        <v>990</v>
      </c>
    </row>
    <row r="13" spans="1:4" x14ac:dyDescent="0.3">
      <c r="A13" s="28">
        <f t="shared" si="0"/>
        <v>12</v>
      </c>
      <c r="B13" s="3">
        <f ca="1">SUMPRODUCT(data_prep!$D$2:INDEX(data_prep!$D:$D,$D$2-A13),OFFSET(data_prep!$D$2:INDEX(data_prep!$D:$D,$D$2-A13),A13,0))/COUNT(data_prep!$D$2:INDEX(data_prep!$D:$D,$D$2-A13))</f>
        <v>-1.7189079878665317E-2</v>
      </c>
      <c r="C13" s="29">
        <f t="shared" si="1"/>
        <v>989</v>
      </c>
    </row>
    <row r="14" spans="1:4" x14ac:dyDescent="0.3">
      <c r="A14" s="26">
        <f t="shared" si="0"/>
        <v>13</v>
      </c>
      <c r="B14" s="2">
        <f ca="1">SUMPRODUCT(data_prep!$D$2:INDEX(data_prep!$D:$D,$D$2-A14),OFFSET(data_prep!$D$2:INDEX(data_prep!$D:$D,$D$2-A14),A14,0))/COUNT(data_prep!$D$2:INDEX(data_prep!$D:$D,$D$2-A14))</f>
        <v>1.6194331983805668E-2</v>
      </c>
      <c r="C14" s="27">
        <f t="shared" si="1"/>
        <v>988</v>
      </c>
    </row>
    <row r="15" spans="1:4" x14ac:dyDescent="0.3">
      <c r="A15" s="28">
        <f t="shared" si="0"/>
        <v>14</v>
      </c>
      <c r="B15" s="3">
        <f ca="1">SUMPRODUCT(data_prep!$D$2:INDEX(data_prep!$D:$D,$D$2-A15),OFFSET(data_prep!$D$2:INDEX(data_prep!$D:$D,$D$2-A15),A15,0))/COUNT(data_prep!$D$2:INDEX(data_prep!$D:$D,$D$2-A15))</f>
        <v>2.5329280648429583E-2</v>
      </c>
      <c r="C15" s="29">
        <f t="shared" si="1"/>
        <v>987</v>
      </c>
    </row>
    <row r="16" spans="1:4" x14ac:dyDescent="0.3">
      <c r="A16" s="26">
        <f t="shared" si="0"/>
        <v>15</v>
      </c>
      <c r="B16" s="2">
        <f ca="1">SUMPRODUCT(data_prep!$D$2:INDEX(data_prep!$D:$D,$D$2-A16),OFFSET(data_prep!$D$2:INDEX(data_prep!$D:$D,$D$2-A16),A16,0))/COUNT(data_prep!$D$2:INDEX(data_prep!$D:$D,$D$2-A16))</f>
        <v>-2.8397565922920892E-2</v>
      </c>
      <c r="C16" s="27">
        <f t="shared" si="1"/>
        <v>986</v>
      </c>
    </row>
    <row r="17" spans="1:3" x14ac:dyDescent="0.3">
      <c r="A17" s="28">
        <f t="shared" si="0"/>
        <v>16</v>
      </c>
      <c r="B17" s="3">
        <f ca="1">SUMPRODUCT(data_prep!$D$2:INDEX(data_prep!$D:$D,$D$2-A17),OFFSET(data_prep!$D$2:INDEX(data_prep!$D:$D,$D$2-A17),A17,0))/COUNT(data_prep!$D$2:INDEX(data_prep!$D:$D,$D$2-A17))</f>
        <v>-1.7258883248730966E-2</v>
      </c>
      <c r="C17" s="29">
        <f t="shared" si="1"/>
        <v>985</v>
      </c>
    </row>
    <row r="18" spans="1:3" x14ac:dyDescent="0.3">
      <c r="A18" s="26">
        <f t="shared" si="0"/>
        <v>17</v>
      </c>
      <c r="B18" s="2">
        <f ca="1">SUMPRODUCT(data_prep!$D$2:INDEX(data_prep!$D:$D,$D$2-A18),OFFSET(data_prep!$D$2:INDEX(data_prep!$D:$D,$D$2-A18),A18,0))/COUNT(data_prep!$D$2:INDEX(data_prep!$D:$D,$D$2-A18))</f>
        <v>3.2520325203252036E-2</v>
      </c>
      <c r="C18" s="27">
        <f t="shared" si="1"/>
        <v>984</v>
      </c>
    </row>
    <row r="19" spans="1:3" x14ac:dyDescent="0.3">
      <c r="A19" s="28">
        <f t="shared" si="0"/>
        <v>18</v>
      </c>
      <c r="B19" s="3">
        <f ca="1">SUMPRODUCT(data_prep!$D$2:INDEX(data_prep!$D:$D,$D$2-A19),OFFSET(data_prep!$D$2:INDEX(data_prep!$D:$D,$D$2-A19),A19,0))/COUNT(data_prep!$D$2:INDEX(data_prep!$D:$D,$D$2-A19))</f>
        <v>3.9674465920651068E-2</v>
      </c>
      <c r="C19" s="29">
        <f t="shared" si="1"/>
        <v>983</v>
      </c>
    </row>
    <row r="20" spans="1:3" x14ac:dyDescent="0.3">
      <c r="A20" s="26">
        <f t="shared" si="0"/>
        <v>19</v>
      </c>
      <c r="B20" s="2">
        <f ca="1">SUMPRODUCT(data_prep!$D$2:INDEX(data_prep!$D:$D,$D$2-A20),OFFSET(data_prep!$D$2:INDEX(data_prep!$D:$D,$D$2-A20),A20,0))/COUNT(data_prep!$D$2:INDEX(data_prep!$D:$D,$D$2-A20))</f>
        <v>2.8513238289205704E-2</v>
      </c>
      <c r="C20" s="27">
        <f t="shared" si="1"/>
        <v>982</v>
      </c>
    </row>
    <row r="21" spans="1:3" x14ac:dyDescent="0.3">
      <c r="A21" s="28">
        <f t="shared" si="0"/>
        <v>20</v>
      </c>
      <c r="B21" s="3">
        <f ca="1">SUMPRODUCT(data_prep!$D$2:INDEX(data_prep!$D:$D,$D$2-A21),OFFSET(data_prep!$D$2:INDEX(data_prep!$D:$D,$D$2-A21),A21,0))/COUNT(data_prep!$D$2:INDEX(data_prep!$D:$D,$D$2-A21))</f>
        <v>-1.1213047910295617E-2</v>
      </c>
      <c r="C21" s="29">
        <f t="shared" si="1"/>
        <v>981</v>
      </c>
    </row>
    <row r="22" spans="1:3" x14ac:dyDescent="0.3">
      <c r="A22" s="26">
        <f t="shared" si="0"/>
        <v>21</v>
      </c>
      <c r="B22" s="2">
        <f ca="1">SUMPRODUCT(data_prep!$D$2:INDEX(data_prep!$D:$D,$D$2-A22),OFFSET(data_prep!$D$2:INDEX(data_prep!$D:$D,$D$2-A22),A22,0))/COUNT(data_prep!$D$2:INDEX(data_prep!$D:$D,$D$2-A22))</f>
        <v>-1.020408163265306E-2</v>
      </c>
      <c r="C22" s="27">
        <f t="shared" si="1"/>
        <v>980</v>
      </c>
    </row>
    <row r="23" spans="1:3" x14ac:dyDescent="0.3">
      <c r="A23" s="28">
        <f t="shared" si="0"/>
        <v>22</v>
      </c>
      <c r="B23" s="3">
        <f ca="1">SUMPRODUCT(data_prep!$D$2:INDEX(data_prep!$D:$D,$D$2-A23),OFFSET(data_prep!$D$2:INDEX(data_prep!$D:$D,$D$2-A23),A23,0))/COUNT(data_prep!$D$2:INDEX(data_prep!$D:$D,$D$2-A23))</f>
        <v>2.9622063329928498E-2</v>
      </c>
      <c r="C23" s="29">
        <f t="shared" si="1"/>
        <v>979</v>
      </c>
    </row>
    <row r="24" spans="1:3" x14ac:dyDescent="0.3">
      <c r="A24" s="26">
        <f t="shared" si="0"/>
        <v>23</v>
      </c>
      <c r="B24" s="2">
        <f ca="1">SUMPRODUCT(data_prep!$D$2:INDEX(data_prep!$D:$D,$D$2-A24),OFFSET(data_prep!$D$2:INDEX(data_prep!$D:$D,$D$2-A24),A24,0))/COUNT(data_prep!$D$2:INDEX(data_prep!$D:$D,$D$2-A24))</f>
        <v>2.6584867075664622E-2</v>
      </c>
      <c r="C24" s="27">
        <f t="shared" si="1"/>
        <v>978</v>
      </c>
    </row>
    <row r="25" spans="1:3" x14ac:dyDescent="0.3">
      <c r="A25" s="28">
        <f t="shared" si="0"/>
        <v>24</v>
      </c>
      <c r="B25" s="3">
        <f ca="1">SUMPRODUCT(data_prep!$D$2:INDEX(data_prep!$D:$D,$D$2-A25),OFFSET(data_prep!$D$2:INDEX(data_prep!$D:$D,$D$2-A25),A25,0))/COUNT(data_prep!$D$2:INDEX(data_prep!$D:$D,$D$2-A25))</f>
        <v>-5.4247697031729783E-2</v>
      </c>
      <c r="C25" s="29">
        <f t="shared" si="1"/>
        <v>977</v>
      </c>
    </row>
    <row r="26" spans="1:3" x14ac:dyDescent="0.3">
      <c r="A26" s="26">
        <f t="shared" si="0"/>
        <v>25</v>
      </c>
      <c r="B26" s="2">
        <f ca="1">SUMPRODUCT(data_prep!$D$2:INDEX(data_prep!$D:$D,$D$2-A26),OFFSET(data_prep!$D$2:INDEX(data_prep!$D:$D,$D$2-A26),A26,0))/COUNT(data_prep!$D$2:INDEX(data_prep!$D:$D,$D$2-A26))</f>
        <v>-6.1475409836065573E-2</v>
      </c>
      <c r="C26" s="27">
        <f t="shared" si="1"/>
        <v>976</v>
      </c>
    </row>
    <row r="27" spans="1:3" x14ac:dyDescent="0.3">
      <c r="A27" s="28">
        <f t="shared" si="0"/>
        <v>26</v>
      </c>
      <c r="B27" s="3">
        <f ca="1">SUMPRODUCT(data_prep!$D$2:INDEX(data_prep!$D:$D,$D$2-A27),OFFSET(data_prep!$D$2:INDEX(data_prep!$D:$D,$D$2-A27),A27,0))/COUNT(data_prep!$D$2:INDEX(data_prep!$D:$D,$D$2-A27))</f>
        <v>2.564102564102564E-2</v>
      </c>
      <c r="C27" s="29">
        <f t="shared" si="1"/>
        <v>975</v>
      </c>
    </row>
    <row r="28" spans="1:3" x14ac:dyDescent="0.3">
      <c r="A28" s="26">
        <f t="shared" si="0"/>
        <v>27</v>
      </c>
      <c r="B28" s="2">
        <f ca="1">SUMPRODUCT(data_prep!$D$2:INDEX(data_prep!$D:$D,$D$2-A28),OFFSET(data_prep!$D$2:INDEX(data_prep!$D:$D,$D$2-A28),A28,0))/COUNT(data_prep!$D$2:INDEX(data_prep!$D:$D,$D$2-A28))</f>
        <v>4.7227926078028747E-2</v>
      </c>
      <c r="C28" s="27">
        <f t="shared" si="1"/>
        <v>974</v>
      </c>
    </row>
    <row r="29" spans="1:3" x14ac:dyDescent="0.3">
      <c r="A29" s="28">
        <f t="shared" si="0"/>
        <v>28</v>
      </c>
      <c r="B29" s="3">
        <f ca="1">SUMPRODUCT(data_prep!$D$2:INDEX(data_prep!$D:$D,$D$2-A29),OFFSET(data_prep!$D$2:INDEX(data_prep!$D:$D,$D$2-A29),A29,0))/COUNT(data_prep!$D$2:INDEX(data_prep!$D:$D,$D$2-A29))</f>
        <v>1.1305241521068859E-2</v>
      </c>
      <c r="C29" s="29">
        <f t="shared" si="1"/>
        <v>973</v>
      </c>
    </row>
    <row r="30" spans="1:3" x14ac:dyDescent="0.3">
      <c r="A30" s="26">
        <f t="shared" si="0"/>
        <v>29</v>
      </c>
      <c r="B30" s="2">
        <f ca="1">SUMPRODUCT(data_prep!$D$2:INDEX(data_prep!$D:$D,$D$2-A30),OFFSET(data_prep!$D$2:INDEX(data_prep!$D:$D,$D$2-A30),A30,0))/COUNT(data_prep!$D$2:INDEX(data_prep!$D:$D,$D$2-A30))</f>
        <v>-4.5267489711934158E-2</v>
      </c>
      <c r="C30" s="27">
        <f t="shared" si="1"/>
        <v>972</v>
      </c>
    </row>
    <row r="31" spans="1:3" x14ac:dyDescent="0.3">
      <c r="A31" s="28">
        <f t="shared" si="0"/>
        <v>30</v>
      </c>
      <c r="B31" s="3">
        <f ca="1">SUMPRODUCT(data_prep!$D$2:INDEX(data_prep!$D:$D,$D$2-A31),OFFSET(data_prep!$D$2:INDEX(data_prep!$D:$D,$D$2-A31),A31,0))/COUNT(data_prep!$D$2:INDEX(data_prep!$D:$D,$D$2-A31))</f>
        <v>-1.3388259526261586E-2</v>
      </c>
      <c r="C31" s="29">
        <f t="shared" si="1"/>
        <v>971</v>
      </c>
    </row>
    <row r="32" spans="1:3" x14ac:dyDescent="0.3">
      <c r="A32" s="26">
        <f t="shared" si="0"/>
        <v>31</v>
      </c>
      <c r="B32" s="2">
        <f ca="1">SUMPRODUCT(data_prep!$D$2:INDEX(data_prep!$D:$D,$D$2-A32),OFFSET(data_prep!$D$2:INDEX(data_prep!$D:$D,$D$2-A32),A32,0))/COUNT(data_prep!$D$2:INDEX(data_prep!$D:$D,$D$2-A32))</f>
        <v>2.6804123711340205E-2</v>
      </c>
      <c r="C32" s="27">
        <f t="shared" si="1"/>
        <v>970</v>
      </c>
    </row>
    <row r="33" spans="1:3" x14ac:dyDescent="0.3">
      <c r="A33" s="28">
        <f t="shared" si="0"/>
        <v>32</v>
      </c>
      <c r="B33" s="3">
        <f ca="1">SUMPRODUCT(data_prep!$D$2:INDEX(data_prep!$D:$D,$D$2-A33),OFFSET(data_prep!$D$2:INDEX(data_prep!$D:$D,$D$2-A33),A33,0))/COUNT(data_prep!$D$2:INDEX(data_prep!$D:$D,$D$2-A33))</f>
        <v>9.2879256965944269E-3</v>
      </c>
      <c r="C33" s="29">
        <f t="shared" si="1"/>
        <v>969</v>
      </c>
    </row>
    <row r="34" spans="1:3" x14ac:dyDescent="0.3">
      <c r="A34" s="26">
        <f t="shared" si="0"/>
        <v>33</v>
      </c>
      <c r="B34" s="2">
        <f ca="1">SUMPRODUCT(data_prep!$D$2:INDEX(data_prep!$D:$D,$D$2-A34),OFFSET(data_prep!$D$2:INDEX(data_prep!$D:$D,$D$2-A34),A34,0))/COUNT(data_prep!$D$2:INDEX(data_prep!$D:$D,$D$2-A34))</f>
        <v>-3.0991735537190084E-2</v>
      </c>
      <c r="C34" s="27">
        <f t="shared" si="1"/>
        <v>968</v>
      </c>
    </row>
    <row r="35" spans="1:3" x14ac:dyDescent="0.3">
      <c r="A35" s="28">
        <f t="shared" ref="A35:A51" si="2">A34+1</f>
        <v>34</v>
      </c>
      <c r="B35" s="3">
        <f ca="1">SUMPRODUCT(data_prep!$D$2:INDEX(data_prep!$D:$D,$D$2-A35),OFFSET(data_prep!$D$2:INDEX(data_prep!$D:$D,$D$2-A35),A35,0))/COUNT(data_prep!$D$2:INDEX(data_prep!$D:$D,$D$2-A35))</f>
        <v>-4.4467425025853151E-2</v>
      </c>
      <c r="C35" s="29">
        <f t="shared" si="1"/>
        <v>967</v>
      </c>
    </row>
    <row r="36" spans="1:3" x14ac:dyDescent="0.3">
      <c r="A36" s="26">
        <f t="shared" si="2"/>
        <v>35</v>
      </c>
      <c r="B36" s="2">
        <f ca="1">SUMPRODUCT(data_prep!$D$2:INDEX(data_prep!$D:$D,$D$2-A36),OFFSET(data_prep!$D$2:INDEX(data_prep!$D:$D,$D$2-A36),A36,0))/COUNT(data_prep!$D$2:INDEX(data_prep!$D:$D,$D$2-A36))</f>
        <v>8.2815734989648039E-3</v>
      </c>
      <c r="C36" s="27">
        <f t="shared" si="1"/>
        <v>966</v>
      </c>
    </row>
    <row r="37" spans="1:3" x14ac:dyDescent="0.3">
      <c r="A37" s="28">
        <f t="shared" si="2"/>
        <v>36</v>
      </c>
      <c r="B37" s="3">
        <f ca="1">SUMPRODUCT(data_prep!$D$2:INDEX(data_prep!$D:$D,$D$2-A37),OFFSET(data_prep!$D$2:INDEX(data_prep!$D:$D,$D$2-A37),A37,0))/COUNT(data_prep!$D$2:INDEX(data_prep!$D:$D,$D$2-A37))</f>
        <v>-2.3834196891191709E-2</v>
      </c>
      <c r="C37" s="29">
        <f t="shared" si="1"/>
        <v>965</v>
      </c>
    </row>
    <row r="38" spans="1:3" x14ac:dyDescent="0.3">
      <c r="A38" s="26">
        <f t="shared" si="2"/>
        <v>37</v>
      </c>
      <c r="B38" s="2">
        <f ca="1">SUMPRODUCT(data_prep!$D$2:INDEX(data_prep!$D:$D,$D$2-A38),OFFSET(data_prep!$D$2:INDEX(data_prep!$D:$D,$D$2-A38),A38,0))/COUNT(data_prep!$D$2:INDEX(data_prep!$D:$D,$D$2-A38))</f>
        <v>-4.1493775933609959E-3</v>
      </c>
      <c r="C38" s="27">
        <f t="shared" si="1"/>
        <v>964</v>
      </c>
    </row>
    <row r="39" spans="1:3" x14ac:dyDescent="0.3">
      <c r="A39" s="28">
        <f t="shared" si="2"/>
        <v>38</v>
      </c>
      <c r="B39" s="3">
        <f ca="1">SUMPRODUCT(data_prep!$D$2:INDEX(data_prep!$D:$D,$D$2-A39),OFFSET(data_prep!$D$2:INDEX(data_prep!$D:$D,$D$2-A39),A39,0))/COUNT(data_prep!$D$2:INDEX(data_prep!$D:$D,$D$2-A39))</f>
        <v>-3.2191069574247146E-2</v>
      </c>
      <c r="C39" s="29">
        <f t="shared" si="1"/>
        <v>963</v>
      </c>
    </row>
    <row r="40" spans="1:3" x14ac:dyDescent="0.3">
      <c r="A40" s="26">
        <f t="shared" si="2"/>
        <v>39</v>
      </c>
      <c r="B40" s="2">
        <f ca="1">SUMPRODUCT(data_prep!$D$2:INDEX(data_prep!$D:$D,$D$2-A40),OFFSET(data_prep!$D$2:INDEX(data_prep!$D:$D,$D$2-A40),A40,0))/COUNT(data_prep!$D$2:INDEX(data_prep!$D:$D,$D$2-A40))</f>
        <v>-5.6133056133056136E-2</v>
      </c>
      <c r="C40" s="27">
        <f t="shared" si="1"/>
        <v>962</v>
      </c>
    </row>
    <row r="41" spans="1:3" x14ac:dyDescent="0.3">
      <c r="A41" s="28">
        <f t="shared" si="2"/>
        <v>40</v>
      </c>
      <c r="B41" s="3">
        <f ca="1">SUMPRODUCT(data_prep!$D$2:INDEX(data_prep!$D:$D,$D$2-A41),OFFSET(data_prep!$D$2:INDEX(data_prep!$D:$D,$D$2-A41),A41,0))/COUNT(data_prep!$D$2:INDEX(data_prep!$D:$D,$D$2-A41))</f>
        <v>6.1394380853277836E-2</v>
      </c>
      <c r="C41" s="29">
        <f t="shared" si="1"/>
        <v>961</v>
      </c>
    </row>
    <row r="42" spans="1:3" x14ac:dyDescent="0.3">
      <c r="A42" s="26">
        <f t="shared" si="2"/>
        <v>41</v>
      </c>
      <c r="B42" s="2">
        <f ca="1">SUMPRODUCT(data_prep!$D$2:INDEX(data_prep!$D:$D,$D$2-A42),OFFSET(data_prep!$D$2:INDEX(data_prep!$D:$D,$D$2-A42),A42,0))/COUNT(data_prep!$D$2:INDEX(data_prep!$D:$D,$D$2-A42))</f>
        <v>1.8749999999999999E-2</v>
      </c>
      <c r="C42" s="27">
        <f t="shared" si="1"/>
        <v>960</v>
      </c>
    </row>
    <row r="43" spans="1:3" x14ac:dyDescent="0.3">
      <c r="A43" s="28">
        <f t="shared" si="2"/>
        <v>42</v>
      </c>
      <c r="B43" s="3">
        <f ca="1">SUMPRODUCT(data_prep!$D$2:INDEX(data_prep!$D:$D,$D$2-A43),OFFSET(data_prep!$D$2:INDEX(data_prep!$D:$D,$D$2-A43),A43,0))/COUNT(data_prep!$D$2:INDEX(data_prep!$D:$D,$D$2-A43))</f>
        <v>-8.6548488008342028E-2</v>
      </c>
      <c r="C43" s="29">
        <f t="shared" si="1"/>
        <v>959</v>
      </c>
    </row>
    <row r="44" spans="1:3" x14ac:dyDescent="0.3">
      <c r="A44" s="26">
        <f t="shared" si="2"/>
        <v>43</v>
      </c>
      <c r="B44" s="2">
        <f ca="1">SUMPRODUCT(data_prep!$D$2:INDEX(data_prep!$D:$D,$D$2-A44),OFFSET(data_prep!$D$2:INDEX(data_prep!$D:$D,$D$2-A44),A44,0))/COUNT(data_prep!$D$2:INDEX(data_prep!$D:$D,$D$2-A44))</f>
        <v>-4.1753653444676405E-3</v>
      </c>
      <c r="C44" s="27">
        <f t="shared" si="1"/>
        <v>958</v>
      </c>
    </row>
    <row r="45" spans="1:3" x14ac:dyDescent="0.3">
      <c r="A45" s="28">
        <f t="shared" si="2"/>
        <v>44</v>
      </c>
      <c r="B45" s="3">
        <f ca="1">SUMPRODUCT(data_prep!$D$2:INDEX(data_prep!$D:$D,$D$2-A45),OFFSET(data_prep!$D$2:INDEX(data_prep!$D:$D,$D$2-A45),A45,0))/COUNT(data_prep!$D$2:INDEX(data_prep!$D:$D,$D$2-A45))</f>
        <v>2.612330198537095E-2</v>
      </c>
      <c r="C45" s="29">
        <f t="shared" si="1"/>
        <v>957</v>
      </c>
    </row>
    <row r="46" spans="1:3" x14ac:dyDescent="0.3">
      <c r="A46" s="26">
        <f t="shared" si="2"/>
        <v>45</v>
      </c>
      <c r="B46" s="2">
        <f ca="1">SUMPRODUCT(data_prep!$D$2:INDEX(data_prep!$D:$D,$D$2-A46),OFFSET(data_prep!$D$2:INDEX(data_prep!$D:$D,$D$2-A46),A46,0))/COUNT(data_prep!$D$2:INDEX(data_prep!$D:$D,$D$2-A46))</f>
        <v>4.1841004184100415E-3</v>
      </c>
      <c r="C46" s="27">
        <f t="shared" si="1"/>
        <v>956</v>
      </c>
    </row>
    <row r="47" spans="1:3" x14ac:dyDescent="0.3">
      <c r="A47" s="28">
        <f t="shared" si="2"/>
        <v>46</v>
      </c>
      <c r="B47" s="3">
        <f ca="1">SUMPRODUCT(data_prep!$D$2:INDEX(data_prep!$D:$D,$D$2-A47),OFFSET(data_prep!$D$2:INDEX(data_prep!$D:$D,$D$2-A47),A47,0))/COUNT(data_prep!$D$2:INDEX(data_prep!$D:$D,$D$2-A47))</f>
        <v>1.7801047120418849E-2</v>
      </c>
      <c r="C47" s="29">
        <f t="shared" si="1"/>
        <v>955</v>
      </c>
    </row>
    <row r="48" spans="1:3" x14ac:dyDescent="0.3">
      <c r="A48" s="26">
        <f t="shared" si="2"/>
        <v>47</v>
      </c>
      <c r="B48" s="2">
        <f ca="1">SUMPRODUCT(data_prep!$D$2:INDEX(data_prep!$D:$D,$D$2-A48),OFFSET(data_prep!$D$2:INDEX(data_prep!$D:$D,$D$2-A48),A48,0))/COUNT(data_prep!$D$2:INDEX(data_prep!$D:$D,$D$2-A48))</f>
        <v>-5.6603773584905662E-2</v>
      </c>
      <c r="C48" s="27">
        <f t="shared" si="1"/>
        <v>954</v>
      </c>
    </row>
    <row r="49" spans="1:3" x14ac:dyDescent="0.3">
      <c r="A49" s="28">
        <f t="shared" si="2"/>
        <v>48</v>
      </c>
      <c r="B49" s="3">
        <f ca="1">SUMPRODUCT(data_prep!$D$2:INDEX(data_prep!$D:$D,$D$2-A49),OFFSET(data_prep!$D$2:INDEX(data_prep!$D:$D,$D$2-A49),A49,0))/COUNT(data_prep!$D$2:INDEX(data_prep!$D:$D,$D$2-A49))</f>
        <v>3.6726128016789088E-2</v>
      </c>
      <c r="C49" s="29">
        <f t="shared" si="1"/>
        <v>953</v>
      </c>
    </row>
    <row r="50" spans="1:3" x14ac:dyDescent="0.3">
      <c r="A50" s="26">
        <f t="shared" si="2"/>
        <v>49</v>
      </c>
      <c r="B50" s="2">
        <f ca="1">SUMPRODUCT(data_prep!$D$2:INDEX(data_prep!$D:$D,$D$2-A50),OFFSET(data_prep!$D$2:INDEX(data_prep!$D:$D,$D$2-A50),A50,0))/COUNT(data_prep!$D$2:INDEX(data_prep!$D:$D,$D$2-A50))</f>
        <v>2.5210084033613446E-2</v>
      </c>
      <c r="C50" s="27">
        <f t="shared" si="1"/>
        <v>952</v>
      </c>
    </row>
    <row r="51" spans="1:3" ht="15" thickBot="1" x14ac:dyDescent="0.35">
      <c r="A51" s="30">
        <f t="shared" si="2"/>
        <v>50</v>
      </c>
      <c r="B51" s="31">
        <f ca="1">SUMPRODUCT(data_prep!$D$2:INDEX(data_prep!$D:$D,$D$2-A51),OFFSET(data_prep!$D$2:INDEX(data_prep!$D:$D,$D$2-A51),A51,0))/COUNT(data_prep!$D$2:INDEX(data_prep!$D:$D,$D$2-A51))</f>
        <v>-3.1545741324921135E-3</v>
      </c>
      <c r="C51" s="32">
        <f t="shared" si="1"/>
        <v>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F851-1315-40C1-A7F0-39DB51F1483E}">
  <dimension ref="A1:E55"/>
  <sheetViews>
    <sheetView workbookViewId="0">
      <selection sqref="A1:A1048576"/>
    </sheetView>
  </sheetViews>
  <sheetFormatPr baseColWidth="10" defaultRowHeight="14.4" x14ac:dyDescent="0.3"/>
  <cols>
    <col min="1" max="16384" width="11.5546875" style="1"/>
  </cols>
  <sheetData>
    <row r="1" spans="1:5" x14ac:dyDescent="0.3">
      <c r="B1" s="23" t="s">
        <v>18</v>
      </c>
      <c r="C1" s="25" t="s">
        <v>19</v>
      </c>
      <c r="E1" s="37" t="s">
        <v>20</v>
      </c>
    </row>
    <row r="2" spans="1:5" ht="15" thickBot="1" x14ac:dyDescent="0.35">
      <c r="B2" s="35">
        <f>R_lags!J8</f>
        <v>0</v>
      </c>
      <c r="C2" s="36">
        <f>R_lags!J9</f>
        <v>0.50000444188114856</v>
      </c>
      <c r="E2" s="38">
        <f>MAX(C_lags!A:A)</f>
        <v>50</v>
      </c>
    </row>
    <row r="3" spans="1:5" ht="15" thickBot="1" x14ac:dyDescent="0.35"/>
    <row r="4" spans="1:5" x14ac:dyDescent="0.3">
      <c r="A4" s="23" t="s">
        <v>21</v>
      </c>
      <c r="B4" s="24" t="s">
        <v>22</v>
      </c>
      <c r="C4" s="25" t="s">
        <v>23</v>
      </c>
    </row>
    <row r="5" spans="1:5" x14ac:dyDescent="0.3">
      <c r="A5" s="26">
        <f>0</f>
        <v>0</v>
      </c>
      <c r="B5" s="2">
        <f>$B$2/(A5+1)^$C$2</f>
        <v>0</v>
      </c>
      <c r="C5" s="27">
        <f>1</f>
        <v>1</v>
      </c>
    </row>
    <row r="6" spans="1:5" x14ac:dyDescent="0.3">
      <c r="A6" s="28">
        <f>A5+1</f>
        <v>1</v>
      </c>
      <c r="B6" s="3">
        <f t="shared" ref="B6:B55" si="0">$B$2/(A6+1)^$C$2</f>
        <v>0</v>
      </c>
      <c r="C6" s="29" cm="1">
        <f t="array" aca="1" ref="C6" ca="1">INDEX(C_lags!$B:$B,A6+1)</f>
        <v>-1.4E-2</v>
      </c>
    </row>
    <row r="7" spans="1:5" x14ac:dyDescent="0.3">
      <c r="A7" s="26">
        <f t="shared" ref="A7:A55" si="1">A6+1</f>
        <v>2</v>
      </c>
      <c r="B7" s="2">
        <f t="shared" si="0"/>
        <v>0</v>
      </c>
      <c r="C7" s="27" cm="1">
        <f t="array" aca="1" ref="C7" ca="1">INDEX(C_lags!$B:$B,A7+1)</f>
        <v>3.1031031031031032E-2</v>
      </c>
    </row>
    <row r="8" spans="1:5" x14ac:dyDescent="0.3">
      <c r="A8" s="28">
        <f t="shared" si="1"/>
        <v>3</v>
      </c>
      <c r="B8" s="3">
        <f t="shared" si="0"/>
        <v>0</v>
      </c>
      <c r="C8" s="29" cm="1">
        <f t="array" aca="1" ref="C8" ca="1">INDEX(C_lags!$B:$B,A8+1)</f>
        <v>-8.617234468937876E-2</v>
      </c>
    </row>
    <row r="9" spans="1:5" x14ac:dyDescent="0.3">
      <c r="A9" s="26">
        <f t="shared" si="1"/>
        <v>4</v>
      </c>
      <c r="B9" s="2">
        <f t="shared" si="0"/>
        <v>0</v>
      </c>
      <c r="C9" s="27" cm="1">
        <f t="array" aca="1" ref="C9" ca="1">INDEX(C_lags!$B:$B,A9+1)</f>
        <v>3.1093279839518557E-2</v>
      </c>
    </row>
    <row r="10" spans="1:5" x14ac:dyDescent="0.3">
      <c r="A10" s="28">
        <f t="shared" si="1"/>
        <v>5</v>
      </c>
      <c r="B10" s="3">
        <f t="shared" si="0"/>
        <v>0</v>
      </c>
      <c r="C10" s="29" cm="1">
        <f t="array" aca="1" ref="C10" ca="1">INDEX(C_lags!$B:$B,A10+1)</f>
        <v>3.8152610441767071E-2</v>
      </c>
    </row>
    <row r="11" spans="1:5" x14ac:dyDescent="0.3">
      <c r="A11" s="26">
        <f t="shared" si="1"/>
        <v>6</v>
      </c>
      <c r="B11" s="2">
        <f t="shared" si="0"/>
        <v>0</v>
      </c>
      <c r="C11" s="27" cm="1">
        <f t="array" aca="1" ref="C11" ca="1">INDEX(C_lags!$B:$B,A11+1)</f>
        <v>-7.5376884422110546E-2</v>
      </c>
    </row>
    <row r="12" spans="1:5" x14ac:dyDescent="0.3">
      <c r="A12" s="28">
        <f t="shared" si="1"/>
        <v>7</v>
      </c>
      <c r="B12" s="3">
        <f t="shared" si="0"/>
        <v>0</v>
      </c>
      <c r="C12" s="29" cm="1">
        <f t="array" aca="1" ref="C12" ca="1">INDEX(C_lags!$B:$B,A12+1)</f>
        <v>-1.0060362173038229E-2</v>
      </c>
    </row>
    <row r="13" spans="1:5" x14ac:dyDescent="0.3">
      <c r="A13" s="26">
        <f t="shared" si="1"/>
        <v>8</v>
      </c>
      <c r="B13" s="2">
        <f t="shared" si="0"/>
        <v>0</v>
      </c>
      <c r="C13" s="27" cm="1">
        <f t="array" aca="1" ref="C13" ca="1">INDEX(C_lags!$B:$B,A13+1)</f>
        <v>4.9345417925478349E-2</v>
      </c>
    </row>
    <row r="14" spans="1:5" x14ac:dyDescent="0.3">
      <c r="A14" s="28">
        <f t="shared" si="1"/>
        <v>9</v>
      </c>
      <c r="B14" s="3">
        <f t="shared" si="0"/>
        <v>0</v>
      </c>
      <c r="C14" s="29" cm="1">
        <f t="array" aca="1" ref="C14" ca="1">INDEX(C_lags!$B:$B,A14+1)</f>
        <v>6.0483870967741937E-2</v>
      </c>
    </row>
    <row r="15" spans="1:5" x14ac:dyDescent="0.3">
      <c r="A15" s="26">
        <f t="shared" si="1"/>
        <v>10</v>
      </c>
      <c r="B15" s="2">
        <f t="shared" si="0"/>
        <v>0</v>
      </c>
      <c r="C15" s="27" cm="1">
        <f t="array" aca="1" ref="C15" ca="1">INDEX(C_lags!$B:$B,A15+1)</f>
        <v>2.119071644803229E-2</v>
      </c>
    </row>
    <row r="16" spans="1:5" x14ac:dyDescent="0.3">
      <c r="A16" s="28">
        <f t="shared" si="1"/>
        <v>11</v>
      </c>
      <c r="B16" s="3">
        <f t="shared" si="0"/>
        <v>0</v>
      </c>
      <c r="C16" s="29" cm="1">
        <f t="array" aca="1" ref="C16" ca="1">INDEX(C_lags!$B:$B,A16+1)</f>
        <v>-7.8787878787878782E-2</v>
      </c>
    </row>
    <row r="17" spans="1:3" x14ac:dyDescent="0.3">
      <c r="A17" s="26">
        <f t="shared" si="1"/>
        <v>12</v>
      </c>
      <c r="B17" s="2">
        <f t="shared" si="0"/>
        <v>0</v>
      </c>
      <c r="C17" s="27" cm="1">
        <f t="array" aca="1" ref="C17" ca="1">INDEX(C_lags!$B:$B,A17+1)</f>
        <v>-1.7189079878665317E-2</v>
      </c>
    </row>
    <row r="18" spans="1:3" x14ac:dyDescent="0.3">
      <c r="A18" s="28">
        <f t="shared" si="1"/>
        <v>13</v>
      </c>
      <c r="B18" s="3">
        <f t="shared" si="0"/>
        <v>0</v>
      </c>
      <c r="C18" s="29" cm="1">
        <f t="array" aca="1" ref="C18" ca="1">INDEX(C_lags!$B:$B,A18+1)</f>
        <v>1.6194331983805668E-2</v>
      </c>
    </row>
    <row r="19" spans="1:3" x14ac:dyDescent="0.3">
      <c r="A19" s="26">
        <f t="shared" si="1"/>
        <v>14</v>
      </c>
      <c r="B19" s="2">
        <f t="shared" si="0"/>
        <v>0</v>
      </c>
      <c r="C19" s="27" cm="1">
        <f t="array" aca="1" ref="C19" ca="1">INDEX(C_lags!$B:$B,A19+1)</f>
        <v>2.5329280648429583E-2</v>
      </c>
    </row>
    <row r="20" spans="1:3" x14ac:dyDescent="0.3">
      <c r="A20" s="28">
        <f t="shared" si="1"/>
        <v>15</v>
      </c>
      <c r="B20" s="3">
        <f t="shared" si="0"/>
        <v>0</v>
      </c>
      <c r="C20" s="29" cm="1">
        <f t="array" aca="1" ref="C20" ca="1">INDEX(C_lags!$B:$B,A20+1)</f>
        <v>-2.8397565922920892E-2</v>
      </c>
    </row>
    <row r="21" spans="1:3" x14ac:dyDescent="0.3">
      <c r="A21" s="26">
        <f t="shared" si="1"/>
        <v>16</v>
      </c>
      <c r="B21" s="2">
        <f t="shared" si="0"/>
        <v>0</v>
      </c>
      <c r="C21" s="27" cm="1">
        <f t="array" aca="1" ref="C21" ca="1">INDEX(C_lags!$B:$B,A21+1)</f>
        <v>-1.7258883248730966E-2</v>
      </c>
    </row>
    <row r="22" spans="1:3" x14ac:dyDescent="0.3">
      <c r="A22" s="28">
        <f t="shared" si="1"/>
        <v>17</v>
      </c>
      <c r="B22" s="3">
        <f t="shared" si="0"/>
        <v>0</v>
      </c>
      <c r="C22" s="29" cm="1">
        <f t="array" aca="1" ref="C22" ca="1">INDEX(C_lags!$B:$B,A22+1)</f>
        <v>3.2520325203252036E-2</v>
      </c>
    </row>
    <row r="23" spans="1:3" x14ac:dyDescent="0.3">
      <c r="A23" s="26">
        <f t="shared" si="1"/>
        <v>18</v>
      </c>
      <c r="B23" s="2">
        <f t="shared" si="0"/>
        <v>0</v>
      </c>
      <c r="C23" s="27" cm="1">
        <f t="array" aca="1" ref="C23" ca="1">INDEX(C_lags!$B:$B,A23+1)</f>
        <v>3.9674465920651068E-2</v>
      </c>
    </row>
    <row r="24" spans="1:3" x14ac:dyDescent="0.3">
      <c r="A24" s="28">
        <f t="shared" si="1"/>
        <v>19</v>
      </c>
      <c r="B24" s="3">
        <f t="shared" si="0"/>
        <v>0</v>
      </c>
      <c r="C24" s="29" cm="1">
        <f t="array" aca="1" ref="C24" ca="1">INDEX(C_lags!$B:$B,A24+1)</f>
        <v>2.8513238289205704E-2</v>
      </c>
    </row>
    <row r="25" spans="1:3" x14ac:dyDescent="0.3">
      <c r="A25" s="26">
        <f t="shared" si="1"/>
        <v>20</v>
      </c>
      <c r="B25" s="2">
        <f t="shared" si="0"/>
        <v>0</v>
      </c>
      <c r="C25" s="27" cm="1">
        <f t="array" aca="1" ref="C25" ca="1">INDEX(C_lags!$B:$B,A25+1)</f>
        <v>-1.1213047910295617E-2</v>
      </c>
    </row>
    <row r="26" spans="1:3" x14ac:dyDescent="0.3">
      <c r="A26" s="28">
        <f t="shared" si="1"/>
        <v>21</v>
      </c>
      <c r="B26" s="3">
        <f t="shared" si="0"/>
        <v>0</v>
      </c>
      <c r="C26" s="29" cm="1">
        <f t="array" aca="1" ref="C26" ca="1">INDEX(C_lags!$B:$B,A26+1)</f>
        <v>-1.020408163265306E-2</v>
      </c>
    </row>
    <row r="27" spans="1:3" x14ac:dyDescent="0.3">
      <c r="A27" s="26">
        <f t="shared" si="1"/>
        <v>22</v>
      </c>
      <c r="B27" s="2">
        <f t="shared" si="0"/>
        <v>0</v>
      </c>
      <c r="C27" s="27" cm="1">
        <f t="array" aca="1" ref="C27" ca="1">INDEX(C_lags!$B:$B,A27+1)</f>
        <v>2.9622063329928498E-2</v>
      </c>
    </row>
    <row r="28" spans="1:3" x14ac:dyDescent="0.3">
      <c r="A28" s="28">
        <f t="shared" si="1"/>
        <v>23</v>
      </c>
      <c r="B28" s="3">
        <f t="shared" si="0"/>
        <v>0</v>
      </c>
      <c r="C28" s="29" cm="1">
        <f t="array" aca="1" ref="C28" ca="1">INDEX(C_lags!$B:$B,A28+1)</f>
        <v>2.6584867075664622E-2</v>
      </c>
    </row>
    <row r="29" spans="1:3" x14ac:dyDescent="0.3">
      <c r="A29" s="26">
        <f t="shared" si="1"/>
        <v>24</v>
      </c>
      <c r="B29" s="2">
        <f t="shared" si="0"/>
        <v>0</v>
      </c>
      <c r="C29" s="27" cm="1">
        <f t="array" aca="1" ref="C29" ca="1">INDEX(C_lags!$B:$B,A29+1)</f>
        <v>-5.4247697031729783E-2</v>
      </c>
    </row>
    <row r="30" spans="1:3" x14ac:dyDescent="0.3">
      <c r="A30" s="28">
        <f t="shared" si="1"/>
        <v>25</v>
      </c>
      <c r="B30" s="3">
        <f t="shared" si="0"/>
        <v>0</v>
      </c>
      <c r="C30" s="29" cm="1">
        <f t="array" aca="1" ref="C30" ca="1">INDEX(C_lags!$B:$B,A30+1)</f>
        <v>-6.1475409836065573E-2</v>
      </c>
    </row>
    <row r="31" spans="1:3" x14ac:dyDescent="0.3">
      <c r="A31" s="26">
        <f t="shared" si="1"/>
        <v>26</v>
      </c>
      <c r="B31" s="2">
        <f t="shared" si="0"/>
        <v>0</v>
      </c>
      <c r="C31" s="27" cm="1">
        <f t="array" aca="1" ref="C31" ca="1">INDEX(C_lags!$B:$B,A31+1)</f>
        <v>2.564102564102564E-2</v>
      </c>
    </row>
    <row r="32" spans="1:3" x14ac:dyDescent="0.3">
      <c r="A32" s="28">
        <f t="shared" si="1"/>
        <v>27</v>
      </c>
      <c r="B32" s="3">
        <f t="shared" si="0"/>
        <v>0</v>
      </c>
      <c r="C32" s="29" cm="1">
        <f t="array" aca="1" ref="C32" ca="1">INDEX(C_lags!$B:$B,A32+1)</f>
        <v>4.7227926078028747E-2</v>
      </c>
    </row>
    <row r="33" spans="1:3" x14ac:dyDescent="0.3">
      <c r="A33" s="26">
        <f t="shared" si="1"/>
        <v>28</v>
      </c>
      <c r="B33" s="2">
        <f t="shared" si="0"/>
        <v>0</v>
      </c>
      <c r="C33" s="27" cm="1">
        <f t="array" aca="1" ref="C33" ca="1">INDEX(C_lags!$B:$B,A33+1)</f>
        <v>1.1305241521068859E-2</v>
      </c>
    </row>
    <row r="34" spans="1:3" x14ac:dyDescent="0.3">
      <c r="A34" s="28">
        <f t="shared" si="1"/>
        <v>29</v>
      </c>
      <c r="B34" s="3">
        <f t="shared" si="0"/>
        <v>0</v>
      </c>
      <c r="C34" s="29" cm="1">
        <f t="array" aca="1" ref="C34" ca="1">INDEX(C_lags!$B:$B,A34+1)</f>
        <v>-4.5267489711934158E-2</v>
      </c>
    </row>
    <row r="35" spans="1:3" x14ac:dyDescent="0.3">
      <c r="A35" s="26">
        <f t="shared" si="1"/>
        <v>30</v>
      </c>
      <c r="B35" s="2">
        <f t="shared" si="0"/>
        <v>0</v>
      </c>
      <c r="C35" s="27" cm="1">
        <f t="array" aca="1" ref="C35" ca="1">INDEX(C_lags!$B:$B,A35+1)</f>
        <v>-1.3388259526261586E-2</v>
      </c>
    </row>
    <row r="36" spans="1:3" x14ac:dyDescent="0.3">
      <c r="A36" s="28">
        <f t="shared" si="1"/>
        <v>31</v>
      </c>
      <c r="B36" s="3">
        <f t="shared" si="0"/>
        <v>0</v>
      </c>
      <c r="C36" s="29" cm="1">
        <f t="array" aca="1" ref="C36" ca="1">INDEX(C_lags!$B:$B,A36+1)</f>
        <v>2.6804123711340205E-2</v>
      </c>
    </row>
    <row r="37" spans="1:3" x14ac:dyDescent="0.3">
      <c r="A37" s="26">
        <f t="shared" si="1"/>
        <v>32</v>
      </c>
      <c r="B37" s="2">
        <f t="shared" si="0"/>
        <v>0</v>
      </c>
      <c r="C37" s="27" cm="1">
        <f t="array" aca="1" ref="C37" ca="1">INDEX(C_lags!$B:$B,A37+1)</f>
        <v>9.2879256965944269E-3</v>
      </c>
    </row>
    <row r="38" spans="1:3" x14ac:dyDescent="0.3">
      <c r="A38" s="28">
        <f t="shared" si="1"/>
        <v>33</v>
      </c>
      <c r="B38" s="3">
        <f t="shared" si="0"/>
        <v>0</v>
      </c>
      <c r="C38" s="29" cm="1">
        <f t="array" aca="1" ref="C38" ca="1">INDEX(C_lags!$B:$B,A38+1)</f>
        <v>-3.0991735537190084E-2</v>
      </c>
    </row>
    <row r="39" spans="1:3" x14ac:dyDescent="0.3">
      <c r="A39" s="26">
        <f t="shared" si="1"/>
        <v>34</v>
      </c>
      <c r="B39" s="2">
        <f t="shared" si="0"/>
        <v>0</v>
      </c>
      <c r="C39" s="27" cm="1">
        <f t="array" aca="1" ref="C39" ca="1">INDEX(C_lags!$B:$B,A39+1)</f>
        <v>-4.4467425025853151E-2</v>
      </c>
    </row>
    <row r="40" spans="1:3" x14ac:dyDescent="0.3">
      <c r="A40" s="28">
        <f t="shared" si="1"/>
        <v>35</v>
      </c>
      <c r="B40" s="3">
        <f t="shared" si="0"/>
        <v>0</v>
      </c>
      <c r="C40" s="29" cm="1">
        <f t="array" aca="1" ref="C40" ca="1">INDEX(C_lags!$B:$B,A40+1)</f>
        <v>8.2815734989648039E-3</v>
      </c>
    </row>
    <row r="41" spans="1:3" x14ac:dyDescent="0.3">
      <c r="A41" s="26">
        <f t="shared" si="1"/>
        <v>36</v>
      </c>
      <c r="B41" s="2">
        <f t="shared" si="0"/>
        <v>0</v>
      </c>
      <c r="C41" s="27" cm="1">
        <f t="array" aca="1" ref="C41" ca="1">INDEX(C_lags!$B:$B,A41+1)</f>
        <v>-2.3834196891191709E-2</v>
      </c>
    </row>
    <row r="42" spans="1:3" x14ac:dyDescent="0.3">
      <c r="A42" s="28">
        <f t="shared" si="1"/>
        <v>37</v>
      </c>
      <c r="B42" s="3">
        <f t="shared" si="0"/>
        <v>0</v>
      </c>
      <c r="C42" s="29" cm="1">
        <f t="array" aca="1" ref="C42" ca="1">INDEX(C_lags!$B:$B,A42+1)</f>
        <v>-4.1493775933609959E-3</v>
      </c>
    </row>
    <row r="43" spans="1:3" x14ac:dyDescent="0.3">
      <c r="A43" s="26">
        <f t="shared" si="1"/>
        <v>38</v>
      </c>
      <c r="B43" s="2">
        <f t="shared" si="0"/>
        <v>0</v>
      </c>
      <c r="C43" s="27" cm="1">
        <f t="array" aca="1" ref="C43" ca="1">INDEX(C_lags!$B:$B,A43+1)</f>
        <v>-3.2191069574247146E-2</v>
      </c>
    </row>
    <row r="44" spans="1:3" x14ac:dyDescent="0.3">
      <c r="A44" s="28">
        <f t="shared" si="1"/>
        <v>39</v>
      </c>
      <c r="B44" s="3">
        <f t="shared" si="0"/>
        <v>0</v>
      </c>
      <c r="C44" s="29" cm="1">
        <f t="array" aca="1" ref="C44" ca="1">INDEX(C_lags!$B:$B,A44+1)</f>
        <v>-5.6133056133056136E-2</v>
      </c>
    </row>
    <row r="45" spans="1:3" x14ac:dyDescent="0.3">
      <c r="A45" s="26">
        <f t="shared" si="1"/>
        <v>40</v>
      </c>
      <c r="B45" s="2">
        <f t="shared" si="0"/>
        <v>0</v>
      </c>
      <c r="C45" s="27" cm="1">
        <f t="array" aca="1" ref="C45" ca="1">INDEX(C_lags!$B:$B,A45+1)</f>
        <v>6.1394380853277836E-2</v>
      </c>
    </row>
    <row r="46" spans="1:3" x14ac:dyDescent="0.3">
      <c r="A46" s="28">
        <f t="shared" si="1"/>
        <v>41</v>
      </c>
      <c r="B46" s="3">
        <f t="shared" si="0"/>
        <v>0</v>
      </c>
      <c r="C46" s="29" cm="1">
        <f t="array" aca="1" ref="C46" ca="1">INDEX(C_lags!$B:$B,A46+1)</f>
        <v>1.8749999999999999E-2</v>
      </c>
    </row>
    <row r="47" spans="1:3" x14ac:dyDescent="0.3">
      <c r="A47" s="26">
        <f t="shared" si="1"/>
        <v>42</v>
      </c>
      <c r="B47" s="2">
        <f t="shared" si="0"/>
        <v>0</v>
      </c>
      <c r="C47" s="27" cm="1">
        <f t="array" aca="1" ref="C47" ca="1">INDEX(C_lags!$B:$B,A47+1)</f>
        <v>-8.6548488008342028E-2</v>
      </c>
    </row>
    <row r="48" spans="1:3" x14ac:dyDescent="0.3">
      <c r="A48" s="28">
        <f t="shared" si="1"/>
        <v>43</v>
      </c>
      <c r="B48" s="3">
        <f t="shared" si="0"/>
        <v>0</v>
      </c>
      <c r="C48" s="29" cm="1">
        <f t="array" aca="1" ref="C48" ca="1">INDEX(C_lags!$B:$B,A48+1)</f>
        <v>-4.1753653444676405E-3</v>
      </c>
    </row>
    <row r="49" spans="1:3" x14ac:dyDescent="0.3">
      <c r="A49" s="26">
        <f t="shared" si="1"/>
        <v>44</v>
      </c>
      <c r="B49" s="2">
        <f t="shared" si="0"/>
        <v>0</v>
      </c>
      <c r="C49" s="27" cm="1">
        <f t="array" aca="1" ref="C49" ca="1">INDEX(C_lags!$B:$B,A49+1)</f>
        <v>2.612330198537095E-2</v>
      </c>
    </row>
    <row r="50" spans="1:3" x14ac:dyDescent="0.3">
      <c r="A50" s="28">
        <f t="shared" si="1"/>
        <v>45</v>
      </c>
      <c r="B50" s="3">
        <f t="shared" si="0"/>
        <v>0</v>
      </c>
      <c r="C50" s="29" cm="1">
        <f t="array" aca="1" ref="C50" ca="1">INDEX(C_lags!$B:$B,A50+1)</f>
        <v>4.1841004184100415E-3</v>
      </c>
    </row>
    <row r="51" spans="1:3" x14ac:dyDescent="0.3">
      <c r="A51" s="26">
        <f t="shared" si="1"/>
        <v>46</v>
      </c>
      <c r="B51" s="2">
        <f t="shared" si="0"/>
        <v>0</v>
      </c>
      <c r="C51" s="27" cm="1">
        <f t="array" aca="1" ref="C51" ca="1">INDEX(C_lags!$B:$B,A51+1)</f>
        <v>1.7801047120418849E-2</v>
      </c>
    </row>
    <row r="52" spans="1:3" x14ac:dyDescent="0.3">
      <c r="A52" s="28">
        <f t="shared" si="1"/>
        <v>47</v>
      </c>
      <c r="B52" s="3">
        <f t="shared" si="0"/>
        <v>0</v>
      </c>
      <c r="C52" s="29" cm="1">
        <f t="array" aca="1" ref="C52" ca="1">INDEX(C_lags!$B:$B,A52+1)</f>
        <v>-5.6603773584905662E-2</v>
      </c>
    </row>
    <row r="53" spans="1:3" x14ac:dyDescent="0.3">
      <c r="A53" s="26">
        <f t="shared" si="1"/>
        <v>48</v>
      </c>
      <c r="B53" s="2">
        <f t="shared" si="0"/>
        <v>0</v>
      </c>
      <c r="C53" s="27" cm="1">
        <f t="array" aca="1" ref="C53" ca="1">INDEX(C_lags!$B:$B,A53+1)</f>
        <v>3.6726128016789088E-2</v>
      </c>
    </row>
    <row r="54" spans="1:3" x14ac:dyDescent="0.3">
      <c r="A54" s="28">
        <f t="shared" si="1"/>
        <v>49</v>
      </c>
      <c r="B54" s="3">
        <f t="shared" si="0"/>
        <v>0</v>
      </c>
      <c r="C54" s="29" cm="1">
        <f t="array" aca="1" ref="C54" ca="1">INDEX(C_lags!$B:$B,A54+1)</f>
        <v>2.5210084033613446E-2</v>
      </c>
    </row>
    <row r="55" spans="1:3" ht="15" thickBot="1" x14ac:dyDescent="0.35">
      <c r="A55" s="35">
        <f t="shared" si="1"/>
        <v>50</v>
      </c>
      <c r="B55" s="39">
        <f t="shared" si="0"/>
        <v>0</v>
      </c>
      <c r="C55" s="36" cm="1">
        <f t="array" aca="1" ref="C55" ca="1">INDEX(C_lags!$B:$B,A55+1)</f>
        <v>-3.1545741324921135E-3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R_lags</vt:lpstr>
      <vt:lpstr>data_prep</vt:lpstr>
      <vt:lpstr>C_lags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2025-12-26T11:09:28Z</dcterms:modified>
</cp:coreProperties>
</file>