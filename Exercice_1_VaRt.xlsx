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e\Desktop\cours\ESILV\A4\S1\SPECIALIZATION_IF\Market risk\PROJET_MR\"/>
    </mc:Choice>
  </mc:AlternateContent>
  <xr:revisionPtr revIDLastSave="0" documentId="13_ncr:1_{331B7C00-9D10-4C3A-87BE-26B5566344D7}" xr6:coauthVersionLast="47" xr6:coauthVersionMax="47" xr10:uidLastSave="{00000000-0000-0000-0000-000000000000}"/>
  <bookViews>
    <workbookView xWindow="-108" yWindow="-108" windowWidth="23256" windowHeight="12456" activeTab="1" xr2:uid="{8A879255-FBC0-43FF-9FFC-26C254E6F58F}"/>
  </bookViews>
  <sheets>
    <sheet name="Estimation_1516" sheetId="1" r:id="rId1"/>
    <sheet name="Back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C6" i="2"/>
  <c r="C3" i="2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B10" i="1" l="1"/>
  <c r="G3" i="1" s="1" a="1"/>
  <c r="G3" i="1" s="1"/>
  <c r="H4" i="1" l="1"/>
  <c r="G4" i="1" s="1" a="1"/>
  <c r="G4" i="1" s="1"/>
  <c r="H5" i="1"/>
  <c r="G5" i="1" s="1" a="1"/>
  <c r="G5" i="1" s="1"/>
  <c r="H6" i="1" l="1"/>
  <c r="G6" i="1" s="1" a="1"/>
  <c r="G6" i="1" s="1"/>
  <c r="H7" i="1" l="1"/>
  <c r="G7" i="1" s="1" a="1"/>
  <c r="G7" i="1" s="1"/>
  <c r="H8" i="1" l="1"/>
  <c r="G8" i="1" s="1" a="1"/>
  <c r="G8" i="1" s="1"/>
  <c r="H9" i="1" l="1"/>
  <c r="G9" i="1" s="1" a="1"/>
  <c r="G9" i="1" s="1"/>
  <c r="H10" i="1" l="1"/>
  <c r="G10" i="1" s="1" a="1"/>
  <c r="G10" i="1" s="1"/>
  <c r="H11" i="1" l="1"/>
  <c r="G11" i="1" s="1" a="1"/>
  <c r="G11" i="1" s="1"/>
  <c r="H12" i="1" l="1"/>
  <c r="G12" i="1" s="1" a="1"/>
  <c r="G12" i="1" s="1"/>
  <c r="H13" i="1" l="1"/>
  <c r="G13" i="1" s="1" a="1"/>
  <c r="G13" i="1" s="1"/>
  <c r="H14" i="1" l="1"/>
  <c r="G14" i="1" s="1" a="1"/>
  <c r="G14" i="1" s="1"/>
  <c r="H15" i="1" l="1"/>
  <c r="G15" i="1" s="1" a="1"/>
  <c r="G15" i="1" s="1"/>
  <c r="H16" i="1" l="1"/>
  <c r="G16" i="1" s="1" a="1"/>
  <c r="G16" i="1" s="1"/>
  <c r="H17" i="1" l="1"/>
  <c r="G17" i="1" s="1" a="1"/>
  <c r="G17" i="1" s="1"/>
  <c r="H18" i="1" l="1"/>
  <c r="G18" i="1" s="1" a="1"/>
  <c r="G18" i="1" s="1"/>
  <c r="H19" i="1" l="1"/>
  <c r="G19" i="1" s="1" a="1"/>
  <c r="G19" i="1" s="1"/>
  <c r="H20" i="1" l="1"/>
  <c r="G20" i="1" s="1" a="1"/>
  <c r="G20" i="1" s="1"/>
  <c r="H21" i="1" l="1"/>
  <c r="G21" i="1" s="1" a="1"/>
  <c r="G21" i="1" s="1"/>
  <c r="H22" i="1" l="1"/>
  <c r="G22" i="1" s="1" a="1"/>
  <c r="G22" i="1" s="1"/>
  <c r="H23" i="1" l="1"/>
  <c r="G23" i="1" s="1" a="1"/>
  <c r="G23" i="1" s="1"/>
  <c r="H24" i="1" l="1"/>
  <c r="G24" i="1" s="1" a="1"/>
  <c r="G24" i="1" s="1"/>
  <c r="H25" i="1" l="1"/>
  <c r="G25" i="1" s="1" a="1"/>
  <c r="G25" i="1" s="1"/>
  <c r="H26" i="1" l="1"/>
  <c r="G26" i="1" s="1" a="1"/>
  <c r="G26" i="1" s="1"/>
  <c r="H27" i="1" l="1"/>
  <c r="G27" i="1" s="1" a="1"/>
  <c r="G27" i="1" s="1"/>
  <c r="H28" i="1" l="1"/>
  <c r="G28" i="1" s="1" a="1"/>
  <c r="G28" i="1" s="1"/>
  <c r="H29" i="1" l="1"/>
  <c r="G29" i="1" s="1" a="1"/>
  <c r="G29" i="1" s="1"/>
  <c r="H30" i="1" l="1"/>
  <c r="G30" i="1" s="1" a="1"/>
  <c r="G30" i="1" s="1"/>
  <c r="H31" i="1" l="1"/>
  <c r="G31" i="1" s="1" a="1"/>
  <c r="G31" i="1" s="1"/>
  <c r="H32" i="1" l="1"/>
  <c r="G32" i="1" s="1" a="1"/>
  <c r="G32" i="1" s="1"/>
  <c r="H33" i="1" l="1"/>
  <c r="G33" i="1" s="1" a="1"/>
  <c r="G33" i="1" s="1"/>
  <c r="H34" i="1" l="1"/>
  <c r="G34" i="1" s="1" a="1"/>
  <c r="G34" i="1" s="1"/>
  <c r="H35" i="1" l="1"/>
  <c r="G35" i="1" s="1" a="1"/>
  <c r="G35" i="1" s="1"/>
  <c r="H36" i="1" l="1"/>
  <c r="G36" i="1" s="1" a="1"/>
  <c r="G36" i="1" s="1"/>
  <c r="H37" i="1" l="1"/>
  <c r="G37" i="1" s="1" a="1"/>
  <c r="G37" i="1" s="1"/>
  <c r="H38" i="1" l="1"/>
  <c r="G38" i="1" s="1" a="1"/>
  <c r="G38" i="1" s="1"/>
  <c r="H39" i="1" l="1"/>
  <c r="G39" i="1" s="1" a="1"/>
  <c r="G39" i="1" s="1"/>
  <c r="H40" i="1" l="1"/>
  <c r="G40" i="1" s="1" a="1"/>
  <c r="G40" i="1" s="1"/>
  <c r="H41" i="1" l="1"/>
  <c r="G41" i="1" s="1" a="1"/>
  <c r="G41" i="1" s="1"/>
  <c r="H42" i="1" l="1"/>
  <c r="G42" i="1" s="1" a="1"/>
  <c r="G42" i="1" s="1"/>
  <c r="H43" i="1" l="1"/>
  <c r="G43" i="1" s="1" a="1"/>
  <c r="G43" i="1" s="1"/>
  <c r="H44" i="1" l="1"/>
  <c r="G44" i="1" s="1" a="1"/>
  <c r="G44" i="1" s="1"/>
  <c r="H45" i="1" l="1"/>
  <c r="G45" i="1" s="1" a="1"/>
  <c r="G45" i="1" s="1"/>
  <c r="H46" i="1" l="1"/>
  <c r="G46" i="1" s="1" a="1"/>
  <c r="G46" i="1" s="1"/>
  <c r="H47" i="1" l="1"/>
  <c r="G47" i="1" s="1" a="1"/>
  <c r="G47" i="1" s="1"/>
  <c r="H48" i="1" l="1"/>
  <c r="G48" i="1" s="1" a="1"/>
  <c r="G48" i="1" s="1"/>
  <c r="H49" i="1" l="1"/>
  <c r="G49" i="1" s="1" a="1"/>
  <c r="G49" i="1" s="1"/>
  <c r="H50" i="1" l="1"/>
  <c r="G50" i="1" s="1" a="1"/>
  <c r="G50" i="1" s="1"/>
  <c r="H51" i="1" l="1"/>
  <c r="G51" i="1" s="1" a="1"/>
  <c r="G51" i="1" s="1"/>
  <c r="H52" i="1" l="1"/>
  <c r="G52" i="1" s="1" a="1"/>
  <c r="G52" i="1" s="1"/>
  <c r="H53" i="1" l="1"/>
  <c r="G53" i="1" s="1" a="1"/>
  <c r="G53" i="1" s="1"/>
  <c r="H54" i="1" l="1"/>
  <c r="G54" i="1" s="1" a="1"/>
  <c r="G54" i="1" s="1"/>
  <c r="H55" i="1" l="1"/>
  <c r="G55" i="1" s="1" a="1"/>
  <c r="G55" i="1" s="1"/>
  <c r="H56" i="1" l="1"/>
  <c r="G56" i="1" s="1" a="1"/>
  <c r="G56" i="1" s="1"/>
  <c r="H57" i="1" l="1"/>
  <c r="G57" i="1" s="1" a="1"/>
  <c r="G57" i="1" s="1"/>
  <c r="H58" i="1" l="1"/>
  <c r="G58" i="1" s="1" a="1"/>
  <c r="G58" i="1" s="1"/>
  <c r="H59" i="1" l="1"/>
  <c r="G59" i="1" s="1" a="1"/>
  <c r="G59" i="1" s="1"/>
  <c r="H60" i="1" l="1"/>
  <c r="G60" i="1" s="1" a="1"/>
  <c r="G60" i="1" s="1"/>
  <c r="H61" i="1" l="1"/>
  <c r="G61" i="1" s="1" a="1"/>
  <c r="G61" i="1" s="1"/>
  <c r="H62" i="1" l="1"/>
  <c r="G62" i="1" s="1" a="1"/>
  <c r="G62" i="1" s="1"/>
  <c r="H63" i="1" l="1"/>
  <c r="G63" i="1" s="1" a="1"/>
  <c r="G63" i="1" s="1"/>
  <c r="H64" i="1" l="1"/>
  <c r="G64" i="1" s="1" a="1"/>
  <c r="G64" i="1" s="1"/>
  <c r="H65" i="1" l="1"/>
  <c r="G65" i="1" s="1" a="1"/>
  <c r="G65" i="1" s="1"/>
  <c r="H66" i="1" l="1"/>
  <c r="G66" i="1" s="1" a="1"/>
  <c r="G66" i="1" s="1"/>
  <c r="H67" i="1" l="1"/>
  <c r="G67" i="1" s="1" a="1"/>
  <c r="G67" i="1" s="1"/>
  <c r="H68" i="1" l="1"/>
  <c r="G68" i="1" s="1" a="1"/>
  <c r="G68" i="1" s="1"/>
  <c r="H69" i="1" l="1"/>
  <c r="G69" i="1" s="1" a="1"/>
  <c r="G69" i="1" s="1"/>
  <c r="H70" i="1" l="1"/>
  <c r="G70" i="1" s="1" a="1"/>
  <c r="G70" i="1" s="1"/>
  <c r="H71" i="1" l="1"/>
  <c r="G71" i="1" s="1" a="1"/>
  <c r="G71" i="1" s="1"/>
  <c r="H72" i="1" l="1"/>
  <c r="G72" i="1" s="1" a="1"/>
  <c r="G72" i="1" s="1"/>
  <c r="H73" i="1" l="1"/>
  <c r="G73" i="1" s="1" a="1"/>
  <c r="G73" i="1" s="1"/>
  <c r="H74" i="1" l="1"/>
  <c r="G74" i="1" s="1" a="1"/>
  <c r="G74" i="1" s="1"/>
  <c r="H75" i="1" l="1"/>
  <c r="G75" i="1" s="1" a="1"/>
  <c r="G75" i="1" s="1"/>
  <c r="H76" i="1" l="1"/>
  <c r="G76" i="1" s="1" a="1"/>
  <c r="G76" i="1" s="1"/>
  <c r="H77" i="1" l="1"/>
  <c r="G77" i="1" s="1" a="1"/>
  <c r="G77" i="1" s="1"/>
  <c r="H78" i="1" l="1"/>
  <c r="G78" i="1" s="1" a="1"/>
  <c r="G78" i="1" s="1"/>
  <c r="H79" i="1" l="1"/>
  <c r="G79" i="1" s="1" a="1"/>
  <c r="G79" i="1" s="1"/>
  <c r="H80" i="1" l="1"/>
  <c r="G80" i="1" s="1" a="1"/>
  <c r="G80" i="1" s="1"/>
  <c r="H81" i="1" l="1"/>
  <c r="G81" i="1" s="1" a="1"/>
  <c r="G81" i="1" s="1"/>
  <c r="H82" i="1" l="1"/>
  <c r="G82" i="1" s="1" a="1"/>
  <c r="G82" i="1" s="1"/>
  <c r="H83" i="1" l="1"/>
  <c r="G83" i="1" s="1" a="1"/>
  <c r="G83" i="1" s="1"/>
  <c r="H84" i="1" l="1"/>
  <c r="G84" i="1" s="1" a="1"/>
  <c r="G84" i="1" s="1"/>
  <c r="H85" i="1" l="1"/>
  <c r="G85" i="1" s="1" a="1"/>
  <c r="G85" i="1" s="1"/>
  <c r="H86" i="1" l="1"/>
  <c r="G86" i="1" s="1" a="1"/>
  <c r="G86" i="1" s="1"/>
  <c r="H87" i="1" l="1"/>
  <c r="G87" i="1" s="1" a="1"/>
  <c r="G87" i="1" s="1"/>
  <c r="H88" i="1" l="1"/>
  <c r="G88" i="1" s="1" a="1"/>
  <c r="G88" i="1" s="1"/>
  <c r="H89" i="1" l="1"/>
  <c r="G89" i="1" s="1" a="1"/>
  <c r="G89" i="1" s="1"/>
  <c r="H90" i="1" l="1"/>
  <c r="G90" i="1" s="1" a="1"/>
  <c r="G90" i="1" s="1"/>
  <c r="H91" i="1" l="1"/>
  <c r="G91" i="1" s="1" a="1"/>
  <c r="G91" i="1" s="1"/>
  <c r="H92" i="1" l="1"/>
  <c r="G92" i="1" s="1" a="1"/>
  <c r="G92" i="1" s="1"/>
  <c r="H93" i="1" l="1"/>
  <c r="G93" i="1" s="1" a="1"/>
  <c r="G93" i="1" s="1"/>
  <c r="H94" i="1" l="1"/>
  <c r="G94" i="1" s="1" a="1"/>
  <c r="G94" i="1" s="1"/>
  <c r="H95" i="1" l="1"/>
  <c r="G95" i="1" s="1" a="1"/>
  <c r="G95" i="1" s="1"/>
  <c r="H96" i="1" l="1"/>
  <c r="G96" i="1" s="1" a="1"/>
  <c r="G96" i="1" s="1"/>
  <c r="H97" i="1" l="1"/>
  <c r="G97" i="1" s="1" a="1"/>
  <c r="G97" i="1" s="1"/>
  <c r="H98" i="1" l="1"/>
  <c r="G98" i="1" s="1" a="1"/>
  <c r="G98" i="1" s="1"/>
  <c r="H99" i="1" l="1"/>
  <c r="G99" i="1" s="1" a="1"/>
  <c r="G99" i="1" s="1"/>
  <c r="H100" i="1" l="1"/>
  <c r="G100" i="1" s="1" a="1"/>
  <c r="G100" i="1" s="1"/>
  <c r="H101" i="1" l="1"/>
  <c r="G101" i="1" s="1" a="1"/>
  <c r="G101" i="1" s="1"/>
  <c r="H102" i="1" l="1"/>
  <c r="G102" i="1" s="1" a="1"/>
  <c r="G102" i="1" s="1"/>
  <c r="H103" i="1" l="1"/>
  <c r="G103" i="1" s="1" a="1"/>
  <c r="G103" i="1" s="1"/>
  <c r="H104" i="1" l="1"/>
  <c r="G104" i="1" s="1" a="1"/>
  <c r="G104" i="1" s="1"/>
  <c r="H105" i="1" l="1"/>
  <c r="G105" i="1" s="1" a="1"/>
  <c r="G105" i="1" s="1"/>
  <c r="H106" i="1" l="1"/>
  <c r="G106" i="1" s="1" a="1"/>
  <c r="G106" i="1" s="1"/>
  <c r="H107" i="1" l="1"/>
  <c r="G107" i="1" s="1" a="1"/>
  <c r="G107" i="1" s="1"/>
  <c r="H108" i="1" l="1"/>
  <c r="G108" i="1" s="1" a="1"/>
  <c r="G108" i="1" s="1"/>
  <c r="H109" i="1" l="1"/>
  <c r="G109" i="1" s="1" a="1"/>
  <c r="G109" i="1" s="1"/>
  <c r="H110" i="1" l="1"/>
  <c r="G110" i="1" s="1" a="1"/>
  <c r="G110" i="1" s="1"/>
  <c r="H111" i="1" l="1"/>
  <c r="G111" i="1" s="1" a="1"/>
  <c r="G111" i="1" s="1"/>
  <c r="H112" i="1" l="1"/>
  <c r="G112" i="1" s="1" a="1"/>
  <c r="G112" i="1" s="1"/>
  <c r="H113" i="1" l="1"/>
  <c r="G113" i="1" s="1" a="1"/>
  <c r="G113" i="1" s="1"/>
  <c r="H114" i="1" l="1"/>
  <c r="G114" i="1" s="1" a="1"/>
  <c r="G114" i="1" s="1"/>
  <c r="H115" i="1" l="1"/>
  <c r="G115" i="1" s="1" a="1"/>
  <c r="G115" i="1" s="1"/>
  <c r="H116" i="1" l="1"/>
  <c r="G116" i="1" s="1" a="1"/>
  <c r="G116" i="1" s="1"/>
  <c r="H117" i="1" l="1"/>
  <c r="G117" i="1" s="1" a="1"/>
  <c r="G117" i="1" s="1"/>
  <c r="H118" i="1" l="1"/>
  <c r="G118" i="1" s="1" a="1"/>
  <c r="G118" i="1" s="1"/>
  <c r="H119" i="1" l="1"/>
  <c r="G119" i="1" s="1" a="1"/>
  <c r="G119" i="1" s="1"/>
  <c r="H120" i="1" l="1"/>
  <c r="G120" i="1" s="1" a="1"/>
  <c r="G120" i="1" s="1"/>
  <c r="H121" i="1" l="1"/>
  <c r="G121" i="1" s="1" a="1"/>
  <c r="G121" i="1" s="1"/>
  <c r="H122" i="1" l="1"/>
  <c r="G122" i="1" s="1" a="1"/>
  <c r="G122" i="1" s="1"/>
  <c r="H123" i="1" l="1"/>
  <c r="G123" i="1" s="1" a="1"/>
  <c r="G123" i="1" s="1"/>
  <c r="H124" i="1" l="1"/>
  <c r="G124" i="1" s="1" a="1"/>
  <c r="G124" i="1" s="1"/>
  <c r="H125" i="1" l="1"/>
  <c r="G125" i="1" s="1" a="1"/>
  <c r="G125" i="1" s="1"/>
  <c r="H126" i="1" l="1"/>
  <c r="G126" i="1" s="1" a="1"/>
  <c r="G126" i="1" s="1"/>
  <c r="H127" i="1" l="1"/>
  <c r="G127" i="1" s="1" a="1"/>
  <c r="G127" i="1" s="1"/>
  <c r="H128" i="1" l="1"/>
  <c r="G128" i="1" s="1" a="1"/>
  <c r="G128" i="1" s="1"/>
  <c r="H129" i="1" l="1"/>
  <c r="G129" i="1" s="1" a="1"/>
  <c r="G129" i="1" s="1"/>
  <c r="H130" i="1" l="1"/>
  <c r="G130" i="1" s="1" a="1"/>
  <c r="G130" i="1" s="1"/>
  <c r="H131" i="1" l="1"/>
  <c r="G131" i="1" s="1" a="1"/>
  <c r="G131" i="1" s="1"/>
  <c r="H132" i="1" l="1"/>
  <c r="G132" i="1" s="1" a="1"/>
  <c r="G132" i="1" s="1"/>
  <c r="H133" i="1" l="1"/>
  <c r="G133" i="1" s="1" a="1"/>
  <c r="G133" i="1" s="1"/>
  <c r="H134" i="1" l="1"/>
  <c r="G134" i="1" s="1" a="1"/>
  <c r="G134" i="1" s="1"/>
  <c r="H135" i="1" l="1"/>
  <c r="G135" i="1" s="1" a="1"/>
  <c r="G135" i="1" s="1"/>
  <c r="H136" i="1" l="1"/>
  <c r="G136" i="1" s="1" a="1"/>
  <c r="G136" i="1" s="1"/>
  <c r="H137" i="1" l="1"/>
  <c r="G137" i="1" s="1" a="1"/>
  <c r="G137" i="1" s="1"/>
  <c r="H138" i="1" l="1"/>
  <c r="G138" i="1" s="1" a="1"/>
  <c r="G138" i="1" s="1"/>
  <c r="H139" i="1" l="1"/>
  <c r="G139" i="1" s="1" a="1"/>
  <c r="G139" i="1" s="1"/>
  <c r="H140" i="1" l="1"/>
  <c r="G140" i="1" s="1" a="1"/>
  <c r="G140" i="1" s="1"/>
  <c r="H141" i="1" l="1"/>
  <c r="G141" i="1" s="1" a="1"/>
  <c r="G141" i="1" s="1"/>
  <c r="H142" i="1" l="1"/>
  <c r="G142" i="1" s="1" a="1"/>
  <c r="G142" i="1" s="1"/>
  <c r="H143" i="1" l="1"/>
  <c r="G143" i="1" s="1" a="1"/>
  <c r="G143" i="1" s="1"/>
  <c r="H144" i="1" l="1"/>
  <c r="G144" i="1" s="1" a="1"/>
  <c r="G144" i="1" s="1"/>
  <c r="H145" i="1" l="1"/>
  <c r="G145" i="1" s="1" a="1"/>
  <c r="G145" i="1" s="1"/>
  <c r="H146" i="1" l="1"/>
  <c r="G146" i="1" s="1" a="1"/>
  <c r="G146" i="1" s="1"/>
  <c r="H147" i="1" l="1"/>
  <c r="G147" i="1" s="1" a="1"/>
  <c r="G147" i="1" s="1"/>
  <c r="H148" i="1" l="1"/>
  <c r="G148" i="1" s="1" a="1"/>
  <c r="G148" i="1" s="1"/>
  <c r="H149" i="1" l="1"/>
  <c r="G149" i="1" s="1" a="1"/>
  <c r="G149" i="1" s="1"/>
  <c r="H150" i="1" l="1"/>
  <c r="G150" i="1" s="1" a="1"/>
  <c r="G150" i="1" s="1"/>
  <c r="H151" i="1" l="1"/>
  <c r="G151" i="1" s="1" a="1"/>
  <c r="G151" i="1" s="1"/>
  <c r="H152" i="1" l="1"/>
  <c r="G152" i="1" s="1" a="1"/>
  <c r="G152" i="1" s="1"/>
  <c r="H153" i="1" l="1"/>
  <c r="G153" i="1" s="1" a="1"/>
  <c r="G153" i="1" s="1"/>
  <c r="H154" i="1" l="1"/>
  <c r="G154" i="1" s="1" a="1"/>
  <c r="G154" i="1" s="1"/>
  <c r="H155" i="1" l="1"/>
  <c r="G155" i="1" s="1" a="1"/>
  <c r="G155" i="1" s="1"/>
  <c r="H156" i="1" l="1"/>
  <c r="G156" i="1" s="1" a="1"/>
  <c r="G156" i="1" s="1"/>
  <c r="H157" i="1" l="1"/>
  <c r="G157" i="1" s="1" a="1"/>
  <c r="G157" i="1" s="1"/>
  <c r="H158" i="1" l="1"/>
  <c r="G158" i="1" s="1" a="1"/>
  <c r="G158" i="1" s="1"/>
  <c r="H159" i="1" l="1"/>
  <c r="G159" i="1" s="1" a="1"/>
  <c r="G159" i="1" s="1"/>
  <c r="H160" i="1" l="1"/>
  <c r="G160" i="1" s="1" a="1"/>
  <c r="G160" i="1" s="1"/>
  <c r="H161" i="1" l="1"/>
  <c r="G161" i="1" s="1" a="1"/>
  <c r="G161" i="1" s="1"/>
  <c r="H162" i="1" l="1"/>
  <c r="G162" i="1" s="1" a="1"/>
  <c r="G162" i="1" s="1"/>
  <c r="H163" i="1" l="1"/>
  <c r="G163" i="1" s="1" a="1"/>
  <c r="G163" i="1" s="1"/>
  <c r="H164" i="1" l="1"/>
  <c r="G164" i="1" s="1" a="1"/>
  <c r="G164" i="1" s="1"/>
  <c r="H165" i="1" l="1"/>
  <c r="G165" i="1" s="1" a="1"/>
  <c r="G165" i="1" s="1"/>
  <c r="H166" i="1" l="1"/>
  <c r="G166" i="1" s="1" a="1"/>
  <c r="G166" i="1" s="1"/>
  <c r="H167" i="1" l="1"/>
  <c r="G167" i="1" s="1" a="1"/>
  <c r="G167" i="1" s="1"/>
  <c r="H168" i="1" l="1"/>
  <c r="G168" i="1" s="1" a="1"/>
  <c r="G168" i="1" s="1"/>
  <c r="H169" i="1" l="1"/>
  <c r="G169" i="1" s="1" a="1"/>
  <c r="G169" i="1" s="1"/>
  <c r="H170" i="1" l="1"/>
  <c r="G170" i="1" s="1" a="1"/>
  <c r="G170" i="1" s="1"/>
  <c r="H171" i="1" l="1"/>
  <c r="G171" i="1" s="1" a="1"/>
  <c r="G171" i="1" s="1"/>
  <c r="H172" i="1" l="1"/>
  <c r="G172" i="1" s="1" a="1"/>
  <c r="G172" i="1" s="1"/>
  <c r="H173" i="1" l="1"/>
  <c r="G173" i="1" s="1" a="1"/>
  <c r="G173" i="1" s="1"/>
  <c r="H174" i="1" l="1"/>
  <c r="G174" i="1" s="1" a="1"/>
  <c r="G174" i="1" s="1"/>
  <c r="H175" i="1" l="1"/>
  <c r="G175" i="1" s="1" a="1"/>
  <c r="G175" i="1" s="1"/>
  <c r="H176" i="1" l="1"/>
  <c r="G176" i="1" s="1" a="1"/>
  <c r="G176" i="1" s="1"/>
  <c r="H177" i="1" l="1"/>
  <c r="G177" i="1" s="1" a="1"/>
  <c r="G177" i="1" s="1"/>
  <c r="H178" i="1" l="1"/>
  <c r="G178" i="1" s="1" a="1"/>
  <c r="G178" i="1" s="1"/>
  <c r="H179" i="1" l="1"/>
  <c r="G179" i="1" s="1" a="1"/>
  <c r="G179" i="1" s="1"/>
  <c r="H180" i="1" l="1"/>
  <c r="G180" i="1" s="1" a="1"/>
  <c r="G180" i="1" s="1"/>
  <c r="H181" i="1" l="1"/>
  <c r="G181" i="1" s="1" a="1"/>
  <c r="G181" i="1" s="1"/>
  <c r="H182" i="1" l="1"/>
  <c r="G182" i="1" s="1" a="1"/>
  <c r="G182" i="1" s="1"/>
  <c r="H183" i="1" l="1"/>
  <c r="G183" i="1" s="1" a="1"/>
  <c r="G183" i="1" s="1"/>
  <c r="H184" i="1" l="1"/>
  <c r="G184" i="1" s="1" a="1"/>
  <c r="G184" i="1" s="1"/>
  <c r="H185" i="1" l="1"/>
  <c r="G185" i="1" s="1" a="1"/>
  <c r="G185" i="1" s="1"/>
  <c r="H186" i="1" l="1"/>
  <c r="G186" i="1" s="1" a="1"/>
  <c r="G186" i="1" s="1"/>
  <c r="H187" i="1" l="1"/>
  <c r="G187" i="1" s="1" a="1"/>
  <c r="G187" i="1" s="1"/>
  <c r="H188" i="1" l="1"/>
  <c r="G188" i="1" s="1" a="1"/>
  <c r="G188" i="1" s="1"/>
  <c r="H189" i="1" l="1"/>
  <c r="G189" i="1" s="1" a="1"/>
  <c r="G189" i="1" s="1"/>
  <c r="H190" i="1" l="1"/>
  <c r="G190" i="1" s="1" a="1"/>
  <c r="G190" i="1" s="1"/>
  <c r="H191" i="1" l="1"/>
  <c r="G191" i="1" s="1" a="1"/>
  <c r="G191" i="1" s="1"/>
  <c r="H192" i="1" l="1"/>
  <c r="G192" i="1" s="1" a="1"/>
  <c r="G192" i="1" s="1"/>
  <c r="H193" i="1" l="1"/>
  <c r="G193" i="1" s="1" a="1"/>
  <c r="G193" i="1" s="1"/>
  <c r="H194" i="1" l="1"/>
  <c r="G194" i="1" s="1" a="1"/>
  <c r="G194" i="1" s="1"/>
  <c r="H195" i="1" l="1"/>
  <c r="G195" i="1" s="1" a="1"/>
  <c r="G195" i="1" s="1"/>
  <c r="H196" i="1" l="1"/>
  <c r="G196" i="1" s="1" a="1"/>
  <c r="G196" i="1" s="1"/>
  <c r="H197" i="1" l="1"/>
  <c r="G197" i="1" s="1" a="1"/>
  <c r="G197" i="1" s="1"/>
  <c r="H198" i="1" l="1"/>
  <c r="G198" i="1" s="1" a="1"/>
  <c r="G198" i="1" s="1"/>
  <c r="H199" i="1" l="1"/>
  <c r="G199" i="1" s="1" a="1"/>
  <c r="G199" i="1" s="1"/>
  <c r="H200" i="1" l="1"/>
  <c r="G200" i="1" s="1" a="1"/>
  <c r="G200" i="1" s="1"/>
  <c r="H201" i="1" l="1"/>
  <c r="G201" i="1" s="1" a="1"/>
  <c r="G201" i="1" s="1"/>
  <c r="H202" i="1" l="1"/>
  <c r="G202" i="1" s="1" a="1"/>
  <c r="G202" i="1" s="1"/>
  <c r="H203" i="1" l="1"/>
  <c r="G203" i="1" s="1" a="1"/>
  <c r="G203" i="1" s="1"/>
  <c r="H204" i="1" l="1"/>
  <c r="G204" i="1" s="1" a="1"/>
  <c r="G204" i="1" s="1"/>
  <c r="H205" i="1" l="1"/>
  <c r="G205" i="1" s="1" a="1"/>
  <c r="G205" i="1" s="1"/>
  <c r="H206" i="1" l="1"/>
  <c r="G206" i="1" s="1" a="1"/>
  <c r="G206" i="1" s="1"/>
  <c r="H207" i="1" l="1"/>
  <c r="G207" i="1" s="1" a="1"/>
  <c r="G207" i="1" s="1"/>
  <c r="H208" i="1" l="1"/>
  <c r="G208" i="1" s="1" a="1"/>
  <c r="G208" i="1" s="1"/>
  <c r="H209" i="1" l="1"/>
  <c r="G209" i="1" s="1" a="1"/>
  <c r="G209" i="1" s="1"/>
  <c r="H210" i="1" l="1"/>
  <c r="G210" i="1" s="1" a="1"/>
  <c r="G210" i="1" s="1"/>
  <c r="H211" i="1" l="1"/>
  <c r="G211" i="1" s="1" a="1"/>
  <c r="G211" i="1" s="1"/>
  <c r="H212" i="1" l="1"/>
  <c r="G212" i="1" s="1" a="1"/>
  <c r="G212" i="1" s="1"/>
  <c r="H213" i="1" l="1"/>
  <c r="G213" i="1" s="1" a="1"/>
  <c r="G213" i="1" s="1"/>
  <c r="H214" i="1" l="1"/>
  <c r="G214" i="1" s="1" a="1"/>
  <c r="G214" i="1" s="1"/>
  <c r="H215" i="1" l="1"/>
  <c r="G215" i="1" s="1" a="1"/>
  <c r="G215" i="1" s="1"/>
  <c r="H216" i="1" l="1"/>
  <c r="G216" i="1" s="1" a="1"/>
  <c r="G216" i="1" s="1"/>
  <c r="H217" i="1" l="1"/>
  <c r="G217" i="1" s="1" a="1"/>
  <c r="G217" i="1" s="1"/>
  <c r="H218" i="1" l="1"/>
  <c r="G218" i="1" s="1" a="1"/>
  <c r="G218" i="1" s="1"/>
  <c r="H219" i="1" l="1"/>
  <c r="G219" i="1" s="1" a="1"/>
  <c r="G219" i="1" s="1"/>
  <c r="H220" i="1" l="1"/>
  <c r="G220" i="1" s="1" a="1"/>
  <c r="G220" i="1" s="1"/>
  <c r="H221" i="1" l="1"/>
  <c r="G221" i="1" s="1" a="1"/>
  <c r="G221" i="1" s="1"/>
  <c r="H222" i="1" l="1"/>
  <c r="G222" i="1" s="1" a="1"/>
  <c r="G222" i="1" s="1"/>
  <c r="H223" i="1" l="1"/>
  <c r="G223" i="1" s="1" a="1"/>
  <c r="G223" i="1" s="1"/>
  <c r="H224" i="1" l="1"/>
  <c r="G224" i="1" s="1" a="1"/>
  <c r="G224" i="1" s="1"/>
  <c r="H225" i="1" l="1"/>
  <c r="G225" i="1" s="1" a="1"/>
  <c r="G225" i="1" s="1"/>
  <c r="H226" i="1" l="1"/>
  <c r="G226" i="1" s="1" a="1"/>
  <c r="G226" i="1" s="1"/>
  <c r="H227" i="1" l="1"/>
  <c r="G227" i="1" s="1" a="1"/>
  <c r="G227" i="1" s="1"/>
  <c r="H228" i="1" l="1"/>
  <c r="G228" i="1" s="1" a="1"/>
  <c r="G228" i="1" s="1"/>
  <c r="H229" i="1" l="1"/>
  <c r="G229" i="1" s="1" a="1"/>
  <c r="G229" i="1" s="1"/>
  <c r="H230" i="1" l="1"/>
  <c r="G230" i="1" s="1" a="1"/>
  <c r="G230" i="1" s="1"/>
  <c r="H231" i="1" l="1"/>
  <c r="G231" i="1" s="1" a="1"/>
  <c r="G231" i="1" s="1"/>
  <c r="H232" i="1" l="1"/>
  <c r="G232" i="1" s="1" a="1"/>
  <c r="G232" i="1" s="1"/>
  <c r="H233" i="1" l="1"/>
  <c r="G233" i="1" s="1" a="1"/>
  <c r="G233" i="1" s="1"/>
  <c r="H234" i="1" l="1"/>
  <c r="G234" i="1" s="1" a="1"/>
  <c r="G234" i="1" s="1"/>
  <c r="H235" i="1" l="1"/>
  <c r="G235" i="1" s="1" a="1"/>
  <c r="G235" i="1" s="1"/>
  <c r="H236" i="1" l="1"/>
  <c r="G236" i="1" s="1" a="1"/>
  <c r="G236" i="1" s="1"/>
  <c r="H237" i="1" l="1"/>
  <c r="G237" i="1" s="1" a="1"/>
  <c r="G237" i="1" s="1"/>
  <c r="H238" i="1" l="1"/>
  <c r="G238" i="1" s="1" a="1"/>
  <c r="G238" i="1" s="1"/>
  <c r="H239" i="1" l="1"/>
  <c r="G239" i="1" s="1" a="1"/>
  <c r="G239" i="1" s="1"/>
  <c r="H240" i="1" l="1"/>
  <c r="G240" i="1" s="1" a="1"/>
  <c r="G240" i="1" s="1"/>
  <c r="H241" i="1" l="1"/>
  <c r="G241" i="1" s="1" a="1"/>
  <c r="G241" i="1" s="1"/>
  <c r="H242" i="1" l="1"/>
  <c r="G242" i="1" s="1" a="1"/>
  <c r="G242" i="1" s="1"/>
  <c r="H243" i="1" l="1"/>
  <c r="G243" i="1" s="1" a="1"/>
  <c r="G243" i="1" s="1"/>
  <c r="H244" i="1" l="1"/>
  <c r="G244" i="1" s="1" a="1"/>
  <c r="G244" i="1" s="1"/>
  <c r="H245" i="1" l="1"/>
  <c r="G245" i="1" s="1" a="1"/>
  <c r="G245" i="1" s="1"/>
  <c r="H246" i="1" l="1"/>
  <c r="G246" i="1" s="1" a="1"/>
  <c r="G246" i="1" s="1"/>
  <c r="H247" i="1" l="1"/>
  <c r="G247" i="1" s="1" a="1"/>
  <c r="G247" i="1" s="1"/>
  <c r="H248" i="1" l="1"/>
  <c r="G248" i="1" s="1" a="1"/>
  <c r="G248" i="1" s="1"/>
  <c r="H249" i="1" l="1"/>
  <c r="G249" i="1" s="1" a="1"/>
  <c r="G249" i="1" s="1"/>
  <c r="H250" i="1" l="1"/>
  <c r="G250" i="1" s="1" a="1"/>
  <c r="G250" i="1" s="1"/>
  <c r="H251" i="1" l="1"/>
  <c r="G251" i="1" s="1" a="1"/>
  <c r="G251" i="1" s="1"/>
  <c r="H252" i="1" l="1"/>
  <c r="G252" i="1" s="1" a="1"/>
  <c r="G252" i="1" s="1"/>
  <c r="H253" i="1" l="1"/>
  <c r="G253" i="1" s="1" a="1"/>
  <c r="G253" i="1" s="1"/>
  <c r="H254" i="1" l="1"/>
  <c r="G254" i="1" s="1" a="1"/>
  <c r="G254" i="1" s="1"/>
  <c r="H255" i="1" l="1"/>
  <c r="G255" i="1" s="1" a="1"/>
  <c r="G255" i="1" s="1"/>
  <c r="H256" i="1" l="1"/>
  <c r="G256" i="1" s="1" a="1"/>
  <c r="G256" i="1" s="1"/>
  <c r="H257" i="1" l="1"/>
  <c r="G257" i="1" s="1" a="1"/>
  <c r="G257" i="1" s="1"/>
  <c r="H258" i="1" l="1"/>
  <c r="G258" i="1" s="1" a="1"/>
  <c r="G258" i="1" s="1"/>
  <c r="H259" i="1" l="1"/>
  <c r="G259" i="1" s="1" a="1"/>
  <c r="G259" i="1" s="1"/>
  <c r="H260" i="1" l="1"/>
  <c r="G260" i="1" s="1" a="1"/>
  <c r="G260" i="1" s="1"/>
  <c r="H261" i="1" l="1"/>
  <c r="G261" i="1" s="1" a="1"/>
  <c r="G261" i="1" s="1"/>
  <c r="H262" i="1" l="1"/>
  <c r="G262" i="1" s="1" a="1"/>
  <c r="G262" i="1" s="1"/>
  <c r="H263" i="1" l="1"/>
  <c r="G263" i="1" s="1" a="1"/>
  <c r="G263" i="1" s="1"/>
  <c r="H264" i="1" l="1"/>
  <c r="G264" i="1" s="1" a="1"/>
  <c r="G264" i="1" s="1"/>
  <c r="H265" i="1" l="1"/>
  <c r="G265" i="1" s="1" a="1"/>
  <c r="G265" i="1" s="1"/>
  <c r="H266" i="1" l="1"/>
  <c r="G266" i="1" s="1" a="1"/>
  <c r="G266" i="1" s="1"/>
  <c r="H267" i="1" l="1"/>
  <c r="G267" i="1" s="1" a="1"/>
  <c r="G267" i="1" s="1"/>
  <c r="H268" i="1" l="1"/>
  <c r="G268" i="1" s="1" a="1"/>
  <c r="G268" i="1" s="1"/>
  <c r="H269" i="1" l="1"/>
  <c r="G269" i="1" s="1" a="1"/>
  <c r="G269" i="1" s="1"/>
  <c r="H270" i="1" l="1"/>
  <c r="G270" i="1" s="1" a="1"/>
  <c r="G270" i="1" s="1"/>
  <c r="H271" i="1" l="1"/>
  <c r="G271" i="1" s="1" a="1"/>
  <c r="G271" i="1" s="1"/>
  <c r="H272" i="1" l="1"/>
  <c r="G272" i="1" s="1" a="1"/>
  <c r="G272" i="1" s="1"/>
  <c r="H273" i="1" l="1"/>
  <c r="G273" i="1" s="1" a="1"/>
  <c r="G273" i="1" s="1"/>
  <c r="H274" i="1" l="1"/>
  <c r="G274" i="1" s="1" a="1"/>
  <c r="G274" i="1" s="1"/>
  <c r="H275" i="1" l="1"/>
  <c r="G275" i="1" s="1" a="1"/>
  <c r="G275" i="1" s="1"/>
  <c r="H276" i="1" l="1"/>
  <c r="G276" i="1" s="1" a="1"/>
  <c r="G276" i="1" s="1"/>
  <c r="H277" i="1" l="1"/>
  <c r="G277" i="1" s="1" a="1"/>
  <c r="G277" i="1" s="1"/>
  <c r="H278" i="1" l="1"/>
  <c r="G278" i="1" s="1" a="1"/>
  <c r="G278" i="1" s="1"/>
  <c r="H279" i="1" l="1"/>
  <c r="G279" i="1" s="1" a="1"/>
  <c r="G279" i="1" s="1"/>
  <c r="H280" i="1" l="1"/>
  <c r="G280" i="1" s="1" a="1"/>
  <c r="G280" i="1" s="1"/>
  <c r="H281" i="1" l="1"/>
  <c r="G281" i="1" s="1" a="1"/>
  <c r="G281" i="1" s="1"/>
  <c r="H282" i="1" l="1"/>
  <c r="G282" i="1" s="1" a="1"/>
  <c r="G282" i="1" s="1"/>
  <c r="H283" i="1" l="1"/>
  <c r="G283" i="1" s="1" a="1"/>
  <c r="G283" i="1" s="1"/>
  <c r="H284" i="1" l="1"/>
  <c r="G284" i="1" s="1" a="1"/>
  <c r="G284" i="1" s="1"/>
  <c r="H285" i="1" l="1"/>
  <c r="G285" i="1" s="1" a="1"/>
  <c r="G285" i="1" s="1"/>
  <c r="H286" i="1" l="1"/>
  <c r="G286" i="1" s="1" a="1"/>
  <c r="G286" i="1" s="1"/>
  <c r="H287" i="1" l="1"/>
  <c r="G287" i="1" s="1" a="1"/>
  <c r="G287" i="1" s="1"/>
  <c r="H288" i="1" l="1"/>
  <c r="G288" i="1" s="1" a="1"/>
  <c r="G288" i="1" s="1"/>
  <c r="H289" i="1" l="1"/>
  <c r="G289" i="1" s="1" a="1"/>
  <c r="G289" i="1" s="1"/>
  <c r="H290" i="1" l="1"/>
  <c r="G290" i="1" s="1" a="1"/>
  <c r="G290" i="1" s="1"/>
  <c r="H291" i="1" l="1"/>
  <c r="G291" i="1" s="1" a="1"/>
  <c r="G291" i="1" s="1"/>
  <c r="H292" i="1" l="1"/>
  <c r="G292" i="1" s="1" a="1"/>
  <c r="G292" i="1" s="1"/>
  <c r="H293" i="1" l="1"/>
  <c r="G293" i="1" s="1" a="1"/>
  <c r="G293" i="1" s="1"/>
  <c r="H294" i="1" l="1"/>
  <c r="G294" i="1" s="1" a="1"/>
  <c r="G294" i="1" s="1"/>
  <c r="H295" i="1" l="1"/>
  <c r="G295" i="1" s="1" a="1"/>
  <c r="G295" i="1" s="1"/>
  <c r="H296" i="1" l="1"/>
  <c r="G296" i="1" s="1" a="1"/>
  <c r="G296" i="1" s="1"/>
  <c r="H297" i="1" l="1"/>
  <c r="G297" i="1" s="1" a="1"/>
  <c r="G297" i="1" s="1"/>
  <c r="H298" i="1" l="1"/>
  <c r="G298" i="1" s="1" a="1"/>
  <c r="G298" i="1" s="1"/>
  <c r="H299" i="1" l="1"/>
  <c r="G299" i="1" s="1" a="1"/>
  <c r="G299" i="1" s="1"/>
  <c r="H300" i="1" l="1"/>
  <c r="G300" i="1" s="1" a="1"/>
  <c r="G300" i="1" s="1"/>
  <c r="H301" i="1" l="1"/>
  <c r="G301" i="1" s="1" a="1"/>
  <c r="G301" i="1" s="1"/>
  <c r="H302" i="1" l="1"/>
  <c r="G302" i="1" s="1" a="1"/>
  <c r="G302" i="1" s="1"/>
  <c r="H303" i="1" l="1"/>
  <c r="G303" i="1" s="1" a="1"/>
  <c r="G303" i="1" s="1"/>
  <c r="H304" i="1" l="1"/>
  <c r="G304" i="1" s="1" a="1"/>
  <c r="G304" i="1" s="1"/>
  <c r="H305" i="1" l="1"/>
  <c r="G305" i="1" s="1" a="1"/>
  <c r="G305" i="1" s="1"/>
  <c r="H306" i="1" l="1"/>
  <c r="G306" i="1" s="1" a="1"/>
  <c r="G306" i="1" s="1"/>
  <c r="H307" i="1" l="1"/>
  <c r="G307" i="1" s="1" a="1"/>
  <c r="G307" i="1" s="1"/>
  <c r="H308" i="1" l="1"/>
  <c r="G308" i="1" s="1" a="1"/>
  <c r="G308" i="1" s="1"/>
  <c r="H309" i="1" l="1"/>
  <c r="G309" i="1" s="1" a="1"/>
  <c r="G309" i="1" s="1"/>
  <c r="H310" i="1" l="1"/>
  <c r="G310" i="1" s="1" a="1"/>
  <c r="G310" i="1" s="1"/>
  <c r="H311" i="1" l="1"/>
  <c r="G311" i="1" s="1" a="1"/>
  <c r="G311" i="1" s="1"/>
  <c r="H312" i="1" l="1"/>
  <c r="G312" i="1" s="1" a="1"/>
  <c r="G312" i="1" s="1"/>
  <c r="H313" i="1" l="1"/>
  <c r="G313" i="1" s="1" a="1"/>
  <c r="G313" i="1" s="1"/>
  <c r="H314" i="1" l="1"/>
  <c r="G314" i="1" s="1" a="1"/>
  <c r="G314" i="1" s="1"/>
  <c r="H315" i="1" l="1"/>
  <c r="G315" i="1" s="1" a="1"/>
  <c r="G315" i="1" s="1"/>
  <c r="H316" i="1" l="1"/>
  <c r="G316" i="1" s="1" a="1"/>
  <c r="G316" i="1" s="1"/>
  <c r="H317" i="1" l="1"/>
  <c r="G317" i="1" s="1" a="1"/>
  <c r="G317" i="1" s="1"/>
  <c r="H318" i="1" l="1"/>
  <c r="G318" i="1" s="1" a="1"/>
  <c r="G318" i="1" s="1"/>
  <c r="H319" i="1" l="1"/>
  <c r="G319" i="1" s="1" a="1"/>
  <c r="G319" i="1" s="1"/>
  <c r="H320" i="1" l="1"/>
  <c r="G320" i="1" s="1" a="1"/>
  <c r="G320" i="1" s="1"/>
  <c r="H321" i="1" l="1"/>
  <c r="G321" i="1" s="1" a="1"/>
  <c r="G321" i="1" s="1"/>
  <c r="H322" i="1" l="1"/>
  <c r="G322" i="1" s="1" a="1"/>
  <c r="G322" i="1" s="1"/>
  <c r="H323" i="1" l="1"/>
  <c r="G323" i="1" s="1" a="1"/>
  <c r="G323" i="1" s="1"/>
  <c r="H324" i="1" l="1"/>
  <c r="G324" i="1" s="1" a="1"/>
  <c r="G324" i="1" s="1"/>
  <c r="H325" i="1" l="1"/>
  <c r="G325" i="1" s="1" a="1"/>
  <c r="G325" i="1" s="1"/>
  <c r="H326" i="1" l="1"/>
  <c r="G326" i="1" s="1" a="1"/>
  <c r="G326" i="1" s="1"/>
  <c r="H327" i="1" l="1"/>
  <c r="G327" i="1" s="1" a="1"/>
  <c r="G327" i="1" s="1"/>
  <c r="H328" i="1" l="1"/>
  <c r="G328" i="1" s="1" a="1"/>
  <c r="G328" i="1" s="1"/>
  <c r="H329" i="1" l="1"/>
  <c r="G329" i="1" s="1" a="1"/>
  <c r="G329" i="1" s="1"/>
  <c r="H330" i="1" l="1"/>
  <c r="G330" i="1" s="1" a="1"/>
  <c r="G330" i="1" s="1"/>
  <c r="H331" i="1" l="1"/>
  <c r="G331" i="1" s="1" a="1"/>
  <c r="G331" i="1" s="1"/>
  <c r="H332" i="1" l="1"/>
  <c r="G332" i="1" s="1" a="1"/>
  <c r="G332" i="1" s="1"/>
  <c r="H333" i="1" l="1"/>
  <c r="G333" i="1" s="1" a="1"/>
  <c r="G333" i="1" s="1"/>
  <c r="H334" i="1" l="1"/>
  <c r="G334" i="1" s="1" a="1"/>
  <c r="G334" i="1" s="1"/>
  <c r="H335" i="1" l="1"/>
  <c r="G335" i="1" s="1" a="1"/>
  <c r="G335" i="1" s="1"/>
  <c r="H336" i="1" l="1"/>
  <c r="G336" i="1" s="1" a="1"/>
  <c r="G336" i="1" s="1"/>
  <c r="H337" i="1" l="1"/>
  <c r="G337" i="1" s="1" a="1"/>
  <c r="G337" i="1" s="1"/>
  <c r="H338" i="1" l="1"/>
  <c r="G338" i="1" s="1" a="1"/>
  <c r="G338" i="1" s="1"/>
  <c r="H339" i="1" l="1"/>
  <c r="G339" i="1" s="1" a="1"/>
  <c r="G339" i="1" s="1"/>
  <c r="H340" i="1" l="1"/>
  <c r="G340" i="1" s="1" a="1"/>
  <c r="G340" i="1" s="1"/>
  <c r="H341" i="1" l="1"/>
  <c r="G341" i="1" s="1" a="1"/>
  <c r="G341" i="1" s="1"/>
  <c r="H342" i="1" l="1"/>
  <c r="G342" i="1" s="1" a="1"/>
  <c r="G342" i="1" s="1"/>
  <c r="H343" i="1" l="1"/>
  <c r="G343" i="1" s="1" a="1"/>
  <c r="G343" i="1" s="1"/>
  <c r="H344" i="1" l="1"/>
  <c r="G344" i="1" s="1" a="1"/>
  <c r="G344" i="1" s="1"/>
  <c r="H345" i="1" l="1"/>
  <c r="G345" i="1" s="1" a="1"/>
  <c r="G345" i="1" s="1"/>
  <c r="H346" i="1" l="1"/>
  <c r="G346" i="1" s="1" a="1"/>
  <c r="G346" i="1" s="1"/>
  <c r="H347" i="1" l="1"/>
  <c r="G347" i="1" s="1" a="1"/>
  <c r="G347" i="1" s="1"/>
  <c r="H348" i="1" l="1"/>
  <c r="G348" i="1" s="1" a="1"/>
  <c r="G348" i="1" s="1"/>
  <c r="H349" i="1" l="1"/>
  <c r="G349" i="1" s="1" a="1"/>
  <c r="G349" i="1" s="1"/>
  <c r="H350" i="1" l="1"/>
  <c r="G350" i="1" s="1" a="1"/>
  <c r="G350" i="1" s="1"/>
  <c r="H351" i="1" l="1"/>
  <c r="G351" i="1" s="1" a="1"/>
  <c r="G351" i="1" s="1"/>
  <c r="H352" i="1" l="1"/>
  <c r="G352" i="1" s="1" a="1"/>
  <c r="G352" i="1" s="1"/>
  <c r="H353" i="1" l="1"/>
  <c r="G353" i="1" s="1" a="1"/>
  <c r="G353" i="1" s="1"/>
  <c r="H354" i="1" l="1"/>
  <c r="G354" i="1" s="1" a="1"/>
  <c r="G354" i="1" s="1"/>
  <c r="H355" i="1" l="1"/>
  <c r="G355" i="1" s="1" a="1"/>
  <c r="G355" i="1" s="1"/>
  <c r="H356" i="1" l="1"/>
  <c r="G356" i="1" s="1" a="1"/>
  <c r="G356" i="1" s="1"/>
  <c r="H357" i="1" l="1"/>
  <c r="G357" i="1" s="1" a="1"/>
  <c r="G357" i="1" s="1"/>
  <c r="H358" i="1" l="1"/>
  <c r="G358" i="1" s="1" a="1"/>
  <c r="G358" i="1" s="1"/>
  <c r="H359" i="1" l="1"/>
  <c r="G359" i="1" s="1" a="1"/>
  <c r="G359" i="1" s="1"/>
  <c r="H360" i="1" l="1"/>
  <c r="G360" i="1" s="1" a="1"/>
  <c r="G360" i="1" s="1"/>
  <c r="H361" i="1" l="1"/>
  <c r="G361" i="1" s="1" a="1"/>
  <c r="G361" i="1" s="1"/>
  <c r="H362" i="1" l="1"/>
  <c r="G362" i="1" s="1" a="1"/>
  <c r="G362" i="1" s="1"/>
  <c r="H363" i="1" l="1"/>
  <c r="G363" i="1" s="1" a="1"/>
  <c r="G363" i="1" s="1"/>
  <c r="H364" i="1" l="1"/>
  <c r="G364" i="1" s="1" a="1"/>
  <c r="G364" i="1" s="1"/>
  <c r="H365" i="1" l="1"/>
  <c r="G365" i="1" s="1" a="1"/>
  <c r="G365" i="1" s="1"/>
  <c r="H366" i="1" l="1"/>
  <c r="G366" i="1" s="1" a="1"/>
  <c r="G366" i="1" s="1"/>
  <c r="H367" i="1" l="1"/>
  <c r="G367" i="1" s="1" a="1"/>
  <c r="G367" i="1" s="1"/>
  <c r="H368" i="1" l="1"/>
  <c r="G368" i="1" s="1" a="1"/>
  <c r="G368" i="1" s="1"/>
  <c r="H369" i="1" l="1"/>
  <c r="G369" i="1" s="1" a="1"/>
  <c r="G369" i="1" s="1"/>
  <c r="H370" i="1" l="1"/>
  <c r="G370" i="1" s="1" a="1"/>
  <c r="G370" i="1" s="1"/>
  <c r="H371" i="1" l="1"/>
  <c r="G371" i="1" s="1" a="1"/>
  <c r="G371" i="1" s="1"/>
  <c r="H372" i="1" l="1"/>
  <c r="G372" i="1" s="1" a="1"/>
  <c r="G372" i="1" s="1"/>
  <c r="H373" i="1" l="1"/>
  <c r="G373" i="1" s="1" a="1"/>
  <c r="G373" i="1" s="1"/>
  <c r="H374" i="1" l="1"/>
  <c r="G374" i="1" s="1" a="1"/>
  <c r="G374" i="1" s="1"/>
  <c r="H375" i="1" l="1"/>
  <c r="G375" i="1" s="1" a="1"/>
  <c r="G375" i="1" s="1"/>
  <c r="H376" i="1" l="1"/>
  <c r="G376" i="1" s="1" a="1"/>
  <c r="G376" i="1" s="1"/>
  <c r="H377" i="1" l="1"/>
  <c r="G377" i="1" s="1" a="1"/>
  <c r="G377" i="1" s="1"/>
  <c r="H378" i="1" l="1"/>
  <c r="G378" i="1" s="1" a="1"/>
  <c r="G378" i="1" s="1"/>
  <c r="H379" i="1" l="1"/>
  <c r="G379" i="1" s="1" a="1"/>
  <c r="G379" i="1" s="1"/>
  <c r="H380" i="1" l="1"/>
  <c r="G380" i="1" s="1" a="1"/>
  <c r="G380" i="1" s="1"/>
  <c r="H381" i="1" l="1"/>
  <c r="G381" i="1" s="1" a="1"/>
  <c r="G381" i="1" s="1"/>
  <c r="H382" i="1" l="1"/>
  <c r="G382" i="1" s="1" a="1"/>
  <c r="G382" i="1" s="1"/>
  <c r="H383" i="1" l="1"/>
  <c r="G383" i="1" s="1" a="1"/>
  <c r="G383" i="1" s="1"/>
  <c r="H384" i="1" l="1"/>
  <c r="G384" i="1" s="1" a="1"/>
  <c r="G384" i="1" s="1"/>
  <c r="H385" i="1" l="1"/>
  <c r="G385" i="1" s="1" a="1"/>
  <c r="G385" i="1" s="1"/>
  <c r="H386" i="1" l="1"/>
  <c r="G386" i="1" s="1" a="1"/>
  <c r="G386" i="1" s="1"/>
  <c r="H387" i="1" l="1"/>
  <c r="G387" i="1" s="1" a="1"/>
  <c r="G387" i="1" s="1"/>
  <c r="H388" i="1" l="1"/>
  <c r="G388" i="1" s="1" a="1"/>
  <c r="G388" i="1" s="1"/>
  <c r="H389" i="1" l="1"/>
  <c r="G389" i="1" s="1" a="1"/>
  <c r="G389" i="1" s="1"/>
  <c r="H390" i="1" l="1"/>
  <c r="G390" i="1" s="1" a="1"/>
  <c r="G390" i="1" s="1"/>
  <c r="H391" i="1" l="1"/>
  <c r="G391" i="1" s="1" a="1"/>
  <c r="G391" i="1" s="1"/>
  <c r="H392" i="1" l="1"/>
  <c r="G392" i="1" s="1" a="1"/>
  <c r="G392" i="1" s="1"/>
  <c r="H393" i="1" l="1"/>
  <c r="G393" i="1" s="1" a="1"/>
  <c r="G393" i="1" s="1"/>
  <c r="H394" i="1" l="1"/>
  <c r="G394" i="1" s="1" a="1"/>
  <c r="G394" i="1" s="1"/>
  <c r="H395" i="1" l="1"/>
  <c r="G395" i="1" s="1" a="1"/>
  <c r="G395" i="1" s="1"/>
  <c r="H396" i="1" l="1"/>
  <c r="G396" i="1" s="1" a="1"/>
  <c r="G396" i="1" s="1"/>
  <c r="H397" i="1" l="1"/>
  <c r="G397" i="1" s="1" a="1"/>
  <c r="G397" i="1" s="1"/>
  <c r="H398" i="1" l="1"/>
  <c r="G398" i="1" s="1" a="1"/>
  <c r="G398" i="1" s="1"/>
  <c r="H399" i="1" l="1"/>
  <c r="G399" i="1" s="1" a="1"/>
  <c r="G399" i="1" s="1"/>
  <c r="H400" i="1" l="1"/>
  <c r="G400" i="1" s="1" a="1"/>
  <c r="G400" i="1" s="1"/>
  <c r="H401" i="1" l="1"/>
  <c r="G401" i="1" s="1" a="1"/>
  <c r="G401" i="1" s="1"/>
  <c r="H402" i="1" l="1"/>
  <c r="G402" i="1" s="1" a="1"/>
  <c r="G402" i="1" s="1"/>
  <c r="H403" i="1" l="1"/>
  <c r="G403" i="1" s="1" a="1"/>
  <c r="G403" i="1" s="1"/>
  <c r="H404" i="1" l="1"/>
  <c r="G404" i="1" s="1" a="1"/>
  <c r="G404" i="1" s="1"/>
  <c r="H405" i="1" l="1"/>
  <c r="G405" i="1" s="1" a="1"/>
  <c r="G405" i="1" s="1"/>
  <c r="H406" i="1" l="1"/>
  <c r="G406" i="1" s="1" a="1"/>
  <c r="G406" i="1" s="1"/>
  <c r="H407" i="1" l="1"/>
  <c r="G407" i="1" s="1" a="1"/>
  <c r="G407" i="1" s="1"/>
  <c r="H408" i="1" l="1"/>
  <c r="G408" i="1" s="1" a="1"/>
  <c r="G408" i="1" s="1"/>
  <c r="H409" i="1" l="1"/>
  <c r="G409" i="1" s="1" a="1"/>
  <c r="G409" i="1" s="1"/>
  <c r="H410" i="1" l="1"/>
  <c r="G410" i="1" s="1" a="1"/>
  <c r="G410" i="1" s="1"/>
  <c r="H411" i="1" l="1"/>
  <c r="G411" i="1" s="1" a="1"/>
  <c r="G411" i="1" s="1"/>
  <c r="H412" i="1" l="1"/>
  <c r="G412" i="1" s="1" a="1"/>
  <c r="G412" i="1" s="1"/>
  <c r="H413" i="1" l="1"/>
  <c r="G413" i="1" s="1" a="1"/>
  <c r="G413" i="1" s="1"/>
  <c r="H414" i="1" l="1"/>
  <c r="G414" i="1" s="1" a="1"/>
  <c r="G414" i="1" s="1"/>
  <c r="H415" i="1" l="1"/>
  <c r="G415" i="1" s="1" a="1"/>
  <c r="G415" i="1" s="1"/>
  <c r="H416" i="1" l="1"/>
  <c r="G416" i="1" s="1" a="1"/>
  <c r="G416" i="1" s="1"/>
  <c r="H417" i="1" l="1"/>
  <c r="G417" i="1" s="1" a="1"/>
  <c r="G417" i="1" s="1"/>
  <c r="H418" i="1" l="1"/>
  <c r="G418" i="1" s="1" a="1"/>
  <c r="G418" i="1" s="1"/>
  <c r="H419" i="1" l="1"/>
  <c r="G419" i="1" s="1" a="1"/>
  <c r="G419" i="1" s="1"/>
  <c r="H420" i="1" l="1"/>
  <c r="G420" i="1" s="1" a="1"/>
  <c r="G420" i="1" s="1"/>
  <c r="H421" i="1" l="1"/>
  <c r="G421" i="1" s="1" a="1"/>
  <c r="G421" i="1" s="1"/>
  <c r="H422" i="1" l="1"/>
  <c r="G422" i="1" s="1" a="1"/>
  <c r="G422" i="1" s="1"/>
  <c r="H423" i="1" l="1"/>
  <c r="G423" i="1" s="1" a="1"/>
  <c r="G423" i="1" s="1"/>
  <c r="H424" i="1" l="1"/>
  <c r="G424" i="1" s="1" a="1"/>
  <c r="G424" i="1" s="1"/>
  <c r="H425" i="1" l="1"/>
  <c r="G425" i="1" s="1" a="1"/>
  <c r="G425" i="1" s="1"/>
  <c r="H426" i="1" l="1"/>
  <c r="G426" i="1" s="1" a="1"/>
  <c r="G426" i="1" s="1"/>
  <c r="H427" i="1" l="1"/>
  <c r="G427" i="1" s="1" a="1"/>
  <c r="G427" i="1" s="1"/>
  <c r="H428" i="1" l="1"/>
  <c r="G428" i="1" s="1" a="1"/>
  <c r="G428" i="1" s="1"/>
  <c r="H429" i="1" l="1"/>
  <c r="G429" i="1" s="1" a="1"/>
  <c r="G429" i="1" s="1"/>
  <c r="H430" i="1" l="1"/>
  <c r="G430" i="1" s="1" a="1"/>
  <c r="G430" i="1" s="1"/>
  <c r="H431" i="1" l="1"/>
  <c r="G431" i="1" s="1" a="1"/>
  <c r="G431" i="1" s="1"/>
  <c r="H432" i="1" l="1"/>
  <c r="G432" i="1" s="1" a="1"/>
  <c r="G432" i="1" s="1"/>
  <c r="H433" i="1" l="1"/>
  <c r="G433" i="1" s="1" a="1"/>
  <c r="G433" i="1" s="1"/>
  <c r="H434" i="1" l="1"/>
  <c r="G434" i="1" s="1" a="1"/>
  <c r="G434" i="1" s="1"/>
  <c r="H435" i="1" l="1"/>
  <c r="G435" i="1" s="1" a="1"/>
  <c r="G435" i="1" s="1"/>
  <c r="H436" i="1" l="1"/>
  <c r="G436" i="1" s="1" a="1"/>
  <c r="G436" i="1" s="1"/>
  <c r="H437" i="1" l="1"/>
  <c r="G437" i="1" s="1" a="1"/>
  <c r="G437" i="1" s="1"/>
  <c r="H438" i="1" l="1"/>
  <c r="G438" i="1" s="1" a="1"/>
  <c r="G438" i="1" s="1"/>
  <c r="H439" i="1" l="1"/>
  <c r="G439" i="1" s="1" a="1"/>
  <c r="G439" i="1" s="1"/>
  <c r="H440" i="1" l="1"/>
  <c r="G440" i="1" s="1" a="1"/>
  <c r="G440" i="1" s="1"/>
  <c r="H441" i="1" l="1"/>
  <c r="G441" i="1" s="1" a="1"/>
  <c r="G441" i="1" s="1"/>
  <c r="H442" i="1" l="1"/>
  <c r="G442" i="1" s="1" a="1"/>
  <c r="G442" i="1" s="1"/>
  <c r="H443" i="1" l="1"/>
  <c r="G443" i="1" s="1" a="1"/>
  <c r="G443" i="1" s="1"/>
  <c r="H444" i="1" l="1"/>
  <c r="G444" i="1" s="1" a="1"/>
  <c r="G444" i="1" s="1"/>
  <c r="H445" i="1" l="1"/>
  <c r="G445" i="1" s="1" a="1"/>
  <c r="G445" i="1" s="1"/>
  <c r="H446" i="1" l="1"/>
  <c r="G446" i="1" s="1" a="1"/>
  <c r="G446" i="1" s="1"/>
  <c r="H447" i="1" l="1"/>
  <c r="G447" i="1" s="1" a="1"/>
  <c r="G447" i="1" s="1"/>
  <c r="H448" i="1" l="1"/>
  <c r="G448" i="1" s="1" a="1"/>
  <c r="G448" i="1" s="1"/>
  <c r="H449" i="1" l="1"/>
  <c r="G449" i="1" s="1" a="1"/>
  <c r="G449" i="1" s="1"/>
  <c r="H450" i="1" l="1"/>
  <c r="G450" i="1" s="1" a="1"/>
  <c r="G450" i="1" s="1"/>
  <c r="H451" i="1" l="1"/>
  <c r="G451" i="1" s="1" a="1"/>
  <c r="G451" i="1" s="1"/>
  <c r="H452" i="1" l="1"/>
  <c r="G452" i="1" s="1" a="1"/>
  <c r="G452" i="1" s="1"/>
  <c r="H453" i="1" l="1"/>
  <c r="G453" i="1" s="1" a="1"/>
  <c r="G453" i="1" s="1"/>
  <c r="H454" i="1" l="1"/>
  <c r="G454" i="1" s="1" a="1"/>
  <c r="G454" i="1" s="1"/>
  <c r="H455" i="1" l="1"/>
  <c r="G455" i="1" s="1" a="1"/>
  <c r="G455" i="1" s="1"/>
  <c r="H456" i="1" l="1"/>
  <c r="G456" i="1" s="1" a="1"/>
  <c r="G456" i="1" s="1"/>
  <c r="H457" i="1" l="1"/>
  <c r="G457" i="1" s="1" a="1"/>
  <c r="G457" i="1" s="1"/>
  <c r="H458" i="1" l="1"/>
  <c r="G458" i="1" s="1" a="1"/>
  <c r="G458" i="1" s="1"/>
  <c r="H459" i="1" l="1"/>
  <c r="G459" i="1" s="1" a="1"/>
  <c r="G459" i="1" s="1"/>
  <c r="H460" i="1" l="1"/>
  <c r="G460" i="1" s="1" a="1"/>
  <c r="G460" i="1" s="1"/>
  <c r="H461" i="1" l="1"/>
  <c r="G461" i="1" s="1" a="1"/>
  <c r="G461" i="1" s="1"/>
  <c r="H462" i="1" l="1"/>
  <c r="G462" i="1" s="1" a="1"/>
  <c r="G462" i="1" s="1"/>
  <c r="H463" i="1" l="1"/>
  <c r="G463" i="1" s="1" a="1"/>
  <c r="G463" i="1" s="1"/>
  <c r="H464" i="1" l="1"/>
  <c r="G464" i="1" s="1" a="1"/>
  <c r="G464" i="1" s="1"/>
  <c r="H465" i="1" l="1"/>
  <c r="G465" i="1" s="1" a="1"/>
  <c r="G465" i="1" s="1"/>
  <c r="H466" i="1" l="1"/>
  <c r="G466" i="1" s="1" a="1"/>
  <c r="G466" i="1" s="1"/>
  <c r="H467" i="1" l="1"/>
  <c r="G467" i="1" s="1" a="1"/>
  <c r="G467" i="1" s="1"/>
  <c r="H468" i="1" l="1"/>
  <c r="G468" i="1" s="1" a="1"/>
  <c r="G468" i="1" s="1"/>
  <c r="H469" i="1" l="1"/>
  <c r="G469" i="1" s="1" a="1"/>
  <c r="G469" i="1" s="1"/>
  <c r="H470" i="1" l="1"/>
  <c r="G470" i="1" s="1" a="1"/>
  <c r="G470" i="1" s="1"/>
  <c r="H471" i="1" l="1"/>
  <c r="G471" i="1" s="1" a="1"/>
  <c r="G471" i="1" s="1"/>
  <c r="H472" i="1" l="1"/>
  <c r="G472" i="1" s="1" a="1"/>
  <c r="G472" i="1" s="1"/>
  <c r="H473" i="1" l="1"/>
  <c r="G473" i="1" s="1" a="1"/>
  <c r="G473" i="1" s="1"/>
  <c r="H474" i="1" l="1"/>
  <c r="G474" i="1" s="1" a="1"/>
  <c r="G474" i="1" s="1"/>
  <c r="H475" i="1" l="1"/>
  <c r="G475" i="1" s="1" a="1"/>
  <c r="G475" i="1" s="1"/>
  <c r="H476" i="1" l="1"/>
  <c r="G476" i="1" s="1" a="1"/>
  <c r="G476" i="1" s="1"/>
  <c r="H477" i="1" l="1"/>
  <c r="G477" i="1" s="1" a="1"/>
  <c r="G477" i="1" s="1"/>
  <c r="H478" i="1" l="1"/>
  <c r="G478" i="1" s="1" a="1"/>
  <c r="G478" i="1" s="1"/>
  <c r="H479" i="1" l="1"/>
  <c r="G479" i="1" s="1" a="1"/>
  <c r="G479" i="1" s="1"/>
  <c r="H480" i="1" l="1"/>
  <c r="G480" i="1" s="1" a="1"/>
  <c r="G480" i="1" s="1"/>
  <c r="H481" i="1" l="1"/>
  <c r="G481" i="1" s="1" a="1"/>
  <c r="G481" i="1" s="1"/>
  <c r="H482" i="1" l="1"/>
  <c r="G482" i="1" s="1" a="1"/>
  <c r="G482" i="1" s="1"/>
  <c r="H483" i="1" l="1"/>
  <c r="G483" i="1" s="1" a="1"/>
  <c r="G483" i="1" s="1"/>
  <c r="H484" i="1" l="1"/>
  <c r="G484" i="1" s="1" a="1"/>
  <c r="G484" i="1" s="1"/>
  <c r="H485" i="1" l="1"/>
  <c r="G485" i="1" s="1" a="1"/>
  <c r="G485" i="1" s="1"/>
  <c r="H486" i="1" l="1"/>
  <c r="G486" i="1" s="1" a="1"/>
  <c r="G486" i="1" s="1"/>
  <c r="H487" i="1" l="1"/>
  <c r="G487" i="1" s="1" a="1"/>
  <c r="G487" i="1" s="1"/>
  <c r="H488" i="1" l="1"/>
  <c r="G488" i="1" s="1" a="1"/>
  <c r="G488" i="1" s="1"/>
  <c r="H489" i="1" l="1"/>
  <c r="G489" i="1" s="1" a="1"/>
  <c r="G489" i="1" s="1"/>
  <c r="H490" i="1" l="1"/>
  <c r="G490" i="1" s="1" a="1"/>
  <c r="G490" i="1" s="1"/>
  <c r="H491" i="1" l="1"/>
  <c r="G491" i="1" s="1" a="1"/>
  <c r="G491" i="1" s="1"/>
  <c r="H492" i="1" l="1"/>
  <c r="G492" i="1" s="1" a="1"/>
  <c r="G492" i="1" s="1"/>
  <c r="H493" i="1" l="1"/>
  <c r="G493" i="1" s="1" a="1"/>
  <c r="G493" i="1" s="1"/>
  <c r="H494" i="1" l="1"/>
  <c r="G494" i="1" s="1" a="1"/>
  <c r="G494" i="1" s="1"/>
  <c r="H495" i="1" l="1"/>
  <c r="G495" i="1" s="1" a="1"/>
  <c r="G495" i="1" s="1"/>
  <c r="H496" i="1" l="1"/>
  <c r="G496" i="1" s="1" a="1"/>
  <c r="G496" i="1" s="1"/>
  <c r="H497" i="1" l="1"/>
  <c r="G497" i="1" s="1" a="1"/>
  <c r="G497" i="1" s="1"/>
  <c r="H498" i="1" l="1"/>
  <c r="G498" i="1" s="1" a="1"/>
  <c r="G498" i="1" s="1"/>
  <c r="H499" i="1" l="1"/>
  <c r="G499" i="1" s="1" a="1"/>
  <c r="G499" i="1" s="1"/>
  <c r="H500" i="1" l="1"/>
  <c r="G500" i="1" s="1" a="1"/>
  <c r="G500" i="1" s="1"/>
  <c r="H501" i="1" l="1"/>
  <c r="G501" i="1" s="1" a="1"/>
  <c r="G501" i="1" s="1"/>
  <c r="H502" i="1" l="1"/>
  <c r="G502" i="1" s="1" a="1"/>
  <c r="G502" i="1" s="1"/>
  <c r="H503" i="1" l="1"/>
  <c r="G503" i="1" s="1" a="1"/>
  <c r="G503" i="1" s="1"/>
  <c r="H504" i="1" l="1"/>
  <c r="G504" i="1" s="1" a="1"/>
  <c r="G504" i="1" s="1"/>
  <c r="H505" i="1" l="1"/>
  <c r="G505" i="1" s="1" a="1"/>
  <c r="G505" i="1" s="1"/>
  <c r="H506" i="1" l="1"/>
  <c r="G506" i="1" s="1" a="1"/>
  <c r="G506" i="1" s="1"/>
  <c r="H507" i="1" l="1"/>
  <c r="G507" i="1" s="1" a="1"/>
  <c r="G507" i="1" s="1"/>
  <c r="H508" i="1" l="1"/>
  <c r="G508" i="1" s="1" a="1"/>
  <c r="G508" i="1" s="1"/>
  <c r="H509" i="1" l="1"/>
  <c r="G509" i="1" s="1" a="1"/>
  <c r="G509" i="1" s="1"/>
  <c r="H510" i="1" l="1"/>
  <c r="G510" i="1" s="1" a="1"/>
  <c r="G510" i="1" s="1"/>
  <c r="H511" i="1" l="1"/>
  <c r="G511" i="1" s="1" a="1"/>
  <c r="G511" i="1" s="1"/>
  <c r="H512" i="1" l="1"/>
  <c r="G512" i="1" s="1" a="1"/>
  <c r="G512" i="1" s="1"/>
  <c r="H513" i="1" l="1"/>
  <c r="G513" i="1" s="1" a="1"/>
  <c r="G513" i="1" s="1"/>
  <c r="H514" i="1" l="1"/>
  <c r="G514" i="1" s="1" a="1"/>
  <c r="G514" i="1" s="1"/>
  <c r="H515" i="1" l="1"/>
  <c r="G515" i="1" s="1" a="1"/>
  <c r="G515" i="1" s="1"/>
  <c r="H516" i="1" l="1"/>
  <c r="G516" i="1" s="1" a="1"/>
  <c r="G516" i="1" s="1"/>
  <c r="H517" i="1" l="1"/>
  <c r="G517" i="1" s="1" a="1"/>
  <c r="G517" i="1" s="1"/>
  <c r="H518" i="1" l="1"/>
  <c r="G518" i="1" s="1" a="1"/>
  <c r="G518" i="1" s="1"/>
  <c r="H519" i="1" l="1"/>
  <c r="G519" i="1" s="1" a="1"/>
  <c r="G519" i="1" s="1"/>
  <c r="H520" i="1" l="1"/>
  <c r="G520" i="1" s="1" a="1"/>
  <c r="G520" i="1" s="1"/>
  <c r="H521" i="1" l="1"/>
  <c r="G521" i="1" s="1" a="1"/>
  <c r="G521" i="1" s="1"/>
  <c r="H522" i="1" l="1"/>
  <c r="G522" i="1" s="1" a="1"/>
  <c r="G522" i="1" s="1"/>
  <c r="H523" i="1" l="1"/>
  <c r="G523" i="1" s="1" a="1"/>
  <c r="G523" i="1" s="1"/>
  <c r="H524" i="1" l="1"/>
  <c r="G524" i="1" s="1" a="1"/>
  <c r="G524" i="1" s="1"/>
  <c r="H525" i="1" l="1"/>
  <c r="G525" i="1" s="1" a="1"/>
  <c r="G525" i="1" s="1"/>
  <c r="H526" i="1" l="1"/>
  <c r="G526" i="1" s="1" a="1"/>
  <c r="G526" i="1" s="1"/>
  <c r="H527" i="1" l="1"/>
  <c r="G527" i="1" s="1" a="1"/>
  <c r="G527" i="1" s="1"/>
  <c r="H528" i="1" l="1"/>
  <c r="G528" i="1" s="1" a="1"/>
  <c r="G528" i="1" s="1"/>
  <c r="H529" i="1" l="1"/>
  <c r="G529" i="1" s="1" a="1"/>
  <c r="G529" i="1" s="1"/>
  <c r="H530" i="1" l="1"/>
  <c r="G530" i="1" s="1" a="1"/>
  <c r="G530" i="1" s="1"/>
  <c r="H531" i="1" l="1"/>
  <c r="G531" i="1" s="1" a="1"/>
  <c r="G531" i="1" s="1"/>
  <c r="H532" i="1" l="1"/>
  <c r="G532" i="1" s="1" a="1"/>
  <c r="G532" i="1" s="1"/>
  <c r="H533" i="1" l="1"/>
  <c r="G533" i="1" s="1" a="1"/>
  <c r="G533" i="1" s="1"/>
  <c r="H534" i="1" l="1"/>
  <c r="G534" i="1" s="1" a="1"/>
  <c r="G534" i="1" s="1"/>
  <c r="H535" i="1" l="1"/>
  <c r="G535" i="1" s="1" a="1"/>
  <c r="G535" i="1" s="1"/>
  <c r="H536" i="1" l="1"/>
  <c r="G536" i="1" s="1" a="1"/>
  <c r="G536" i="1" s="1"/>
  <c r="H537" i="1" l="1"/>
  <c r="G537" i="1" s="1" a="1"/>
  <c r="G537" i="1" s="1"/>
  <c r="H538" i="1" l="1"/>
  <c r="G538" i="1" s="1" a="1"/>
  <c r="G538" i="1" s="1"/>
  <c r="H539" i="1" l="1"/>
  <c r="G539" i="1" s="1" a="1"/>
  <c r="G539" i="1" s="1"/>
  <c r="H540" i="1" l="1"/>
  <c r="G540" i="1" s="1" a="1"/>
  <c r="G540" i="1" s="1"/>
  <c r="H541" i="1" l="1"/>
  <c r="G541" i="1" s="1" a="1"/>
  <c r="G541" i="1" s="1"/>
  <c r="H542" i="1" l="1"/>
  <c r="G542" i="1" s="1" a="1"/>
  <c r="G542" i="1" s="1"/>
  <c r="H543" i="1" l="1"/>
  <c r="G543" i="1" s="1" a="1"/>
  <c r="G543" i="1" s="1"/>
  <c r="H544" i="1" l="1"/>
  <c r="G544" i="1" s="1" a="1"/>
  <c r="G544" i="1" s="1"/>
  <c r="H545" i="1" l="1"/>
  <c r="G545" i="1" s="1" a="1"/>
  <c r="G545" i="1" s="1"/>
  <c r="H546" i="1" l="1"/>
  <c r="G546" i="1" s="1" a="1"/>
  <c r="G546" i="1" s="1"/>
  <c r="H547" i="1" l="1"/>
  <c r="G547" i="1" s="1" a="1"/>
  <c r="G547" i="1" s="1"/>
  <c r="H548" i="1" l="1"/>
  <c r="G548" i="1" s="1" a="1"/>
  <c r="G548" i="1" s="1"/>
  <c r="H549" i="1" l="1"/>
  <c r="G549" i="1" s="1" a="1"/>
  <c r="G549" i="1" s="1"/>
  <c r="H550" i="1" l="1"/>
  <c r="G550" i="1" s="1" a="1"/>
  <c r="G550" i="1" s="1"/>
  <c r="H551" i="1" l="1"/>
  <c r="G551" i="1" s="1" a="1"/>
  <c r="G551" i="1" s="1"/>
  <c r="H552" i="1" l="1"/>
  <c r="G552" i="1" s="1" a="1"/>
  <c r="G552" i="1" s="1"/>
  <c r="H553" i="1" l="1"/>
  <c r="G553" i="1" s="1" a="1"/>
  <c r="G553" i="1" s="1"/>
  <c r="H554" i="1" l="1"/>
  <c r="G554" i="1" s="1" a="1"/>
  <c r="G554" i="1" s="1"/>
  <c r="H555" i="1" l="1"/>
  <c r="G555" i="1" s="1" a="1"/>
  <c r="G555" i="1" s="1"/>
  <c r="H556" i="1" l="1"/>
  <c r="G556" i="1" s="1" a="1"/>
  <c r="G556" i="1" s="1"/>
  <c r="H557" i="1" l="1"/>
  <c r="G557" i="1" s="1" a="1"/>
  <c r="G557" i="1" s="1"/>
  <c r="H558" i="1" l="1"/>
  <c r="G558" i="1" s="1" a="1"/>
  <c r="G558" i="1" s="1"/>
  <c r="H559" i="1" l="1"/>
  <c r="G559" i="1" s="1" a="1"/>
  <c r="G559" i="1" s="1"/>
  <c r="H560" i="1" l="1"/>
  <c r="G560" i="1" s="1" a="1"/>
  <c r="G560" i="1" s="1"/>
  <c r="H561" i="1" l="1"/>
  <c r="G561" i="1" s="1" a="1"/>
  <c r="G561" i="1" s="1"/>
  <c r="H562" i="1" l="1"/>
  <c r="G562" i="1" s="1" a="1"/>
  <c r="G562" i="1" s="1"/>
  <c r="H563" i="1" l="1"/>
  <c r="G563" i="1" s="1" a="1"/>
  <c r="G563" i="1" s="1"/>
  <c r="H564" i="1" l="1"/>
  <c r="G564" i="1" s="1" a="1"/>
  <c r="G564" i="1" s="1"/>
  <c r="H565" i="1" l="1"/>
  <c r="G565" i="1" s="1" a="1"/>
  <c r="G565" i="1" s="1"/>
  <c r="H566" i="1" l="1"/>
  <c r="G566" i="1" s="1" a="1"/>
  <c r="G566" i="1" s="1"/>
  <c r="H567" i="1" l="1"/>
  <c r="G567" i="1" s="1" a="1"/>
  <c r="G567" i="1" s="1"/>
  <c r="H568" i="1" l="1"/>
  <c r="G568" i="1" s="1" a="1"/>
  <c r="G568" i="1" s="1"/>
  <c r="H569" i="1" l="1"/>
  <c r="G569" i="1" s="1" a="1"/>
  <c r="G569" i="1" s="1"/>
  <c r="H570" i="1" l="1"/>
  <c r="G570" i="1" s="1" a="1"/>
  <c r="G570" i="1" s="1"/>
  <c r="H571" i="1" l="1"/>
  <c r="G571" i="1" s="1" a="1"/>
  <c r="G571" i="1" s="1"/>
  <c r="H572" i="1" l="1"/>
  <c r="G572" i="1" s="1" a="1"/>
  <c r="G572" i="1" s="1"/>
  <c r="H573" i="1" l="1"/>
  <c r="G573" i="1" s="1" a="1"/>
  <c r="G573" i="1" s="1"/>
  <c r="H574" i="1" l="1"/>
  <c r="G574" i="1" s="1" a="1"/>
  <c r="G574" i="1" s="1"/>
  <c r="H575" i="1" l="1"/>
  <c r="G575" i="1" s="1" a="1"/>
  <c r="G575" i="1" s="1"/>
  <c r="H576" i="1" l="1"/>
  <c r="G576" i="1" s="1" a="1"/>
  <c r="G576" i="1" s="1"/>
  <c r="H577" i="1" l="1"/>
  <c r="G577" i="1" s="1" a="1"/>
  <c r="G577" i="1" s="1"/>
  <c r="H578" i="1" l="1"/>
  <c r="G578" i="1" s="1" a="1"/>
  <c r="G578" i="1" s="1"/>
  <c r="H579" i="1" l="1"/>
  <c r="G579" i="1" s="1" a="1"/>
  <c r="G579" i="1" s="1"/>
  <c r="H580" i="1" l="1"/>
  <c r="G580" i="1" s="1" a="1"/>
  <c r="G580" i="1" s="1"/>
  <c r="H581" i="1" l="1"/>
  <c r="G581" i="1" s="1" a="1"/>
  <c r="G581" i="1" s="1"/>
  <c r="H582" i="1" l="1"/>
  <c r="G582" i="1" s="1" a="1"/>
  <c r="G582" i="1" s="1"/>
  <c r="H583" i="1" l="1"/>
  <c r="G583" i="1" s="1" a="1"/>
  <c r="G583" i="1" s="1"/>
  <c r="H584" i="1" l="1"/>
  <c r="G584" i="1" s="1" a="1"/>
  <c r="G584" i="1" s="1"/>
  <c r="H585" i="1" l="1"/>
  <c r="G585" i="1" s="1" a="1"/>
  <c r="G585" i="1" s="1"/>
  <c r="H586" i="1" l="1"/>
  <c r="G586" i="1" s="1" a="1"/>
  <c r="G586" i="1" s="1"/>
  <c r="H587" i="1" l="1"/>
  <c r="G587" i="1" s="1" a="1"/>
  <c r="G587" i="1" s="1"/>
  <c r="H588" i="1" l="1"/>
  <c r="G588" i="1" s="1" a="1"/>
  <c r="G588" i="1" s="1"/>
  <c r="H589" i="1" l="1"/>
  <c r="G589" i="1" s="1" a="1"/>
  <c r="G589" i="1" s="1"/>
  <c r="H590" i="1" l="1"/>
  <c r="G590" i="1" s="1" a="1"/>
  <c r="G590" i="1" s="1"/>
  <c r="H591" i="1" l="1"/>
  <c r="G591" i="1" s="1" a="1"/>
  <c r="G591" i="1" s="1"/>
  <c r="H592" i="1" l="1"/>
  <c r="G592" i="1" s="1" a="1"/>
  <c r="G592" i="1" s="1"/>
  <c r="H593" i="1" l="1"/>
  <c r="G593" i="1" s="1" a="1"/>
  <c r="G593" i="1" s="1"/>
  <c r="H594" i="1" l="1"/>
  <c r="G594" i="1" s="1" a="1"/>
  <c r="G594" i="1" s="1"/>
  <c r="H595" i="1" l="1"/>
  <c r="G595" i="1" s="1" a="1"/>
  <c r="G595" i="1" s="1"/>
  <c r="H596" i="1" l="1"/>
  <c r="G596" i="1" s="1" a="1"/>
  <c r="G596" i="1" s="1"/>
  <c r="H597" i="1" l="1"/>
  <c r="G597" i="1" s="1" a="1"/>
  <c r="G597" i="1" s="1"/>
  <c r="H598" i="1" l="1"/>
  <c r="G598" i="1" s="1" a="1"/>
  <c r="G598" i="1" s="1"/>
  <c r="H599" i="1" l="1"/>
  <c r="G599" i="1" s="1" a="1"/>
  <c r="G599" i="1" s="1"/>
  <c r="H600" i="1" l="1"/>
  <c r="G600" i="1" s="1" a="1"/>
  <c r="G600" i="1" s="1"/>
  <c r="H601" i="1" l="1"/>
  <c r="G601" i="1" s="1" a="1"/>
  <c r="G601" i="1" s="1"/>
  <c r="H602" i="1" l="1"/>
  <c r="G602" i="1" s="1" a="1"/>
  <c r="G602" i="1" s="1"/>
  <c r="H603" i="1" l="1"/>
  <c r="G603" i="1" s="1" a="1"/>
  <c r="G603" i="1" s="1"/>
  <c r="H604" i="1" l="1"/>
  <c r="G604" i="1" s="1" a="1"/>
  <c r="G604" i="1" s="1"/>
  <c r="H605" i="1" l="1"/>
  <c r="G605" i="1" s="1" a="1"/>
  <c r="G605" i="1" s="1"/>
  <c r="H606" i="1" l="1"/>
  <c r="G606" i="1" s="1" a="1"/>
  <c r="G606" i="1" s="1"/>
  <c r="H607" i="1" l="1"/>
  <c r="G607" i="1" s="1" a="1"/>
  <c r="G607" i="1" s="1"/>
  <c r="H608" i="1" l="1"/>
  <c r="G608" i="1" s="1" a="1"/>
  <c r="G608" i="1" s="1"/>
  <c r="H609" i="1" l="1"/>
  <c r="G609" i="1" s="1" a="1"/>
  <c r="G609" i="1" s="1"/>
  <c r="H610" i="1" l="1"/>
  <c r="G610" i="1" s="1" a="1"/>
  <c r="G610" i="1" s="1"/>
  <c r="H611" i="1" l="1"/>
  <c r="G611" i="1" s="1" a="1"/>
  <c r="G611" i="1" s="1"/>
  <c r="H612" i="1" l="1"/>
  <c r="G612" i="1" s="1" a="1"/>
  <c r="G612" i="1" s="1"/>
  <c r="H613" i="1" l="1"/>
  <c r="G613" i="1" s="1" a="1"/>
  <c r="G613" i="1" s="1"/>
  <c r="H614" i="1" l="1"/>
  <c r="G614" i="1" s="1" a="1"/>
  <c r="G614" i="1" s="1"/>
  <c r="H615" i="1" l="1"/>
  <c r="G615" i="1" s="1" a="1"/>
  <c r="G615" i="1" s="1"/>
  <c r="H616" i="1" l="1"/>
  <c r="G616" i="1" s="1" a="1"/>
  <c r="G616" i="1" s="1"/>
  <c r="H617" i="1" l="1"/>
  <c r="G617" i="1" s="1" a="1"/>
  <c r="G617" i="1" s="1"/>
  <c r="H618" i="1" l="1"/>
  <c r="G618" i="1" s="1" a="1"/>
  <c r="G618" i="1" s="1"/>
  <c r="H619" i="1" l="1"/>
  <c r="G619" i="1" s="1" a="1"/>
  <c r="G619" i="1" s="1"/>
  <c r="H620" i="1" l="1"/>
  <c r="G620" i="1" s="1" a="1"/>
  <c r="G620" i="1" s="1"/>
  <c r="H621" i="1" l="1"/>
  <c r="G621" i="1" s="1" a="1"/>
  <c r="G621" i="1" s="1"/>
  <c r="H622" i="1" l="1"/>
  <c r="G622" i="1" s="1" a="1"/>
  <c r="G622" i="1" s="1"/>
  <c r="H623" i="1" l="1"/>
  <c r="G623" i="1" s="1" a="1"/>
  <c r="G623" i="1" s="1"/>
  <c r="H624" i="1" l="1"/>
  <c r="G624" i="1" s="1" a="1"/>
  <c r="G624" i="1" s="1"/>
  <c r="H625" i="1" l="1"/>
  <c r="G625" i="1" s="1" a="1"/>
  <c r="G625" i="1" s="1"/>
  <c r="H626" i="1" l="1"/>
  <c r="G626" i="1" s="1" a="1"/>
  <c r="G626" i="1" s="1"/>
  <c r="H627" i="1" l="1"/>
  <c r="G627" i="1" s="1" a="1"/>
  <c r="G627" i="1" s="1"/>
  <c r="H628" i="1" l="1"/>
  <c r="G628" i="1" s="1" a="1"/>
  <c r="G628" i="1" s="1"/>
  <c r="H629" i="1" l="1"/>
  <c r="G629" i="1" s="1" a="1"/>
  <c r="G629" i="1" s="1"/>
  <c r="H630" i="1" l="1"/>
  <c r="G630" i="1" s="1" a="1"/>
  <c r="G630" i="1" s="1"/>
  <c r="H631" i="1" l="1"/>
  <c r="G631" i="1" s="1" a="1"/>
  <c r="G631" i="1" s="1"/>
  <c r="H632" i="1" l="1"/>
  <c r="G632" i="1" s="1" a="1"/>
  <c r="G632" i="1" s="1"/>
  <c r="H633" i="1" l="1"/>
  <c r="G633" i="1" s="1" a="1"/>
  <c r="G633" i="1" s="1"/>
  <c r="H634" i="1" l="1"/>
  <c r="G634" i="1" s="1" a="1"/>
  <c r="G634" i="1" s="1"/>
  <c r="H635" i="1" l="1"/>
  <c r="G635" i="1" s="1" a="1"/>
  <c r="G635" i="1" s="1"/>
  <c r="H636" i="1" l="1"/>
  <c r="G636" i="1" s="1" a="1"/>
  <c r="G636" i="1" s="1"/>
  <c r="H637" i="1" l="1"/>
  <c r="G637" i="1" s="1" a="1"/>
  <c r="G637" i="1" s="1"/>
  <c r="H638" i="1" l="1"/>
  <c r="G638" i="1" s="1" a="1"/>
  <c r="G638" i="1" s="1"/>
  <c r="H639" i="1" l="1"/>
  <c r="G639" i="1" s="1" a="1"/>
  <c r="G639" i="1" s="1"/>
  <c r="H640" i="1" l="1"/>
  <c r="G640" i="1" s="1" a="1"/>
  <c r="G640" i="1" s="1"/>
  <c r="H641" i="1" l="1"/>
  <c r="G641" i="1" s="1" a="1"/>
  <c r="G641" i="1" s="1"/>
  <c r="H642" i="1" l="1"/>
  <c r="G642" i="1" s="1" a="1"/>
  <c r="G642" i="1" s="1"/>
  <c r="H643" i="1" l="1"/>
  <c r="G643" i="1" s="1" a="1"/>
  <c r="G643" i="1" s="1"/>
  <c r="H644" i="1" l="1"/>
  <c r="G644" i="1" s="1" a="1"/>
  <c r="G644" i="1" s="1"/>
  <c r="H645" i="1" l="1"/>
  <c r="G645" i="1" s="1" a="1"/>
  <c r="G645" i="1" s="1"/>
  <c r="H646" i="1" l="1"/>
  <c r="G646" i="1" s="1" a="1"/>
  <c r="G646" i="1" s="1"/>
  <c r="H647" i="1" l="1"/>
  <c r="G647" i="1" s="1" a="1"/>
  <c r="G647" i="1" s="1"/>
  <c r="H648" i="1" l="1"/>
  <c r="G648" i="1" s="1" a="1"/>
  <c r="G648" i="1" s="1"/>
  <c r="H649" i="1" l="1"/>
  <c r="G649" i="1" s="1" a="1"/>
  <c r="G649" i="1" s="1"/>
  <c r="H650" i="1" l="1"/>
  <c r="G650" i="1" s="1" a="1"/>
  <c r="G650" i="1" s="1"/>
  <c r="H651" i="1" l="1"/>
  <c r="G651" i="1" s="1" a="1"/>
  <c r="G651" i="1" s="1"/>
  <c r="H652" i="1" l="1"/>
  <c r="G652" i="1" s="1" a="1"/>
  <c r="G652" i="1" s="1"/>
  <c r="H653" i="1" l="1"/>
  <c r="G653" i="1" s="1" a="1"/>
  <c r="G653" i="1" s="1"/>
  <c r="H654" i="1" l="1"/>
  <c r="G654" i="1" s="1" a="1"/>
  <c r="G654" i="1" s="1"/>
  <c r="H655" i="1" l="1"/>
  <c r="G655" i="1" s="1" a="1"/>
  <c r="G655" i="1" s="1"/>
  <c r="H656" i="1" l="1"/>
  <c r="G656" i="1" s="1" a="1"/>
  <c r="G656" i="1" s="1"/>
  <c r="H657" i="1" l="1"/>
  <c r="G657" i="1" s="1" a="1"/>
  <c r="G657" i="1" s="1"/>
  <c r="H658" i="1" l="1"/>
  <c r="G658" i="1" s="1" a="1"/>
  <c r="G658" i="1" s="1"/>
  <c r="H659" i="1" l="1"/>
  <c r="G659" i="1" s="1" a="1"/>
  <c r="G659" i="1" s="1"/>
  <c r="H660" i="1" l="1"/>
  <c r="G660" i="1" s="1" a="1"/>
  <c r="G660" i="1" s="1"/>
  <c r="H661" i="1" l="1"/>
  <c r="G661" i="1" s="1" a="1"/>
  <c r="G661" i="1" s="1"/>
  <c r="H662" i="1" l="1"/>
  <c r="G662" i="1" s="1" a="1"/>
  <c r="G662" i="1" s="1"/>
  <c r="H663" i="1" l="1"/>
  <c r="G663" i="1" s="1" a="1"/>
  <c r="G663" i="1" s="1"/>
  <c r="H664" i="1" l="1"/>
  <c r="G664" i="1" s="1" a="1"/>
  <c r="G664" i="1" s="1"/>
  <c r="H665" i="1" l="1"/>
  <c r="G665" i="1" s="1" a="1"/>
  <c r="G665" i="1" s="1"/>
  <c r="H666" i="1" l="1"/>
  <c r="G666" i="1" s="1" a="1"/>
  <c r="G666" i="1" s="1"/>
  <c r="H667" i="1" l="1"/>
  <c r="G667" i="1" s="1" a="1"/>
  <c r="G667" i="1" s="1"/>
  <c r="H668" i="1" l="1"/>
  <c r="G668" i="1" s="1" a="1"/>
  <c r="G668" i="1" s="1"/>
  <c r="H669" i="1" l="1"/>
  <c r="G669" i="1" s="1" a="1"/>
  <c r="G669" i="1" s="1"/>
  <c r="H670" i="1" l="1"/>
  <c r="G670" i="1" s="1" a="1"/>
  <c r="G670" i="1" s="1"/>
  <c r="H671" i="1" l="1"/>
  <c r="G671" i="1" s="1" a="1"/>
  <c r="G671" i="1" s="1"/>
  <c r="H672" i="1" l="1"/>
  <c r="G672" i="1" s="1" a="1"/>
  <c r="G672" i="1" s="1"/>
  <c r="H673" i="1" l="1"/>
  <c r="G673" i="1" s="1" a="1"/>
  <c r="G673" i="1" s="1"/>
  <c r="H674" i="1" l="1"/>
  <c r="G674" i="1" s="1" a="1"/>
  <c r="G674" i="1" s="1"/>
  <c r="H675" i="1" l="1"/>
  <c r="G675" i="1" s="1" a="1"/>
  <c r="G675" i="1" s="1"/>
  <c r="H676" i="1" l="1"/>
  <c r="G676" i="1" s="1" a="1"/>
  <c r="G676" i="1" s="1"/>
  <c r="H677" i="1" l="1"/>
  <c r="G677" i="1" s="1" a="1"/>
  <c r="G677" i="1" s="1"/>
  <c r="H678" i="1" l="1"/>
  <c r="G678" i="1" s="1" a="1"/>
  <c r="G678" i="1" s="1"/>
  <c r="H679" i="1" l="1"/>
  <c r="G679" i="1" s="1" a="1"/>
  <c r="G679" i="1" s="1"/>
  <c r="H680" i="1" l="1"/>
  <c r="G680" i="1" s="1" a="1"/>
  <c r="G680" i="1" s="1"/>
  <c r="H681" i="1" l="1"/>
  <c r="G681" i="1" s="1" a="1"/>
  <c r="G681" i="1" s="1"/>
  <c r="H682" i="1" l="1"/>
  <c r="G682" i="1" s="1" a="1"/>
  <c r="G682" i="1" s="1"/>
  <c r="H683" i="1" l="1"/>
  <c r="G683" i="1" s="1" a="1"/>
  <c r="G683" i="1" s="1"/>
  <c r="H684" i="1" l="1"/>
  <c r="G684" i="1" s="1" a="1"/>
  <c r="G684" i="1" s="1"/>
  <c r="H685" i="1" l="1"/>
  <c r="G685" i="1" s="1" a="1"/>
  <c r="G685" i="1" s="1"/>
  <c r="H686" i="1" l="1"/>
  <c r="G686" i="1" s="1" a="1"/>
  <c r="G686" i="1" s="1"/>
  <c r="H687" i="1" l="1"/>
  <c r="G687" i="1" s="1" a="1"/>
  <c r="G687" i="1" s="1"/>
  <c r="H688" i="1" l="1"/>
  <c r="G688" i="1" s="1" a="1"/>
  <c r="G688" i="1" s="1"/>
  <c r="H689" i="1" l="1"/>
  <c r="G689" i="1" s="1" a="1"/>
  <c r="G689" i="1" s="1"/>
  <c r="H690" i="1" l="1"/>
  <c r="G690" i="1" s="1" a="1"/>
  <c r="G690" i="1" s="1"/>
  <c r="H691" i="1" l="1"/>
  <c r="G691" i="1" s="1" a="1"/>
  <c r="G691" i="1" s="1"/>
  <c r="H692" i="1" l="1"/>
  <c r="G692" i="1" s="1" a="1"/>
  <c r="G692" i="1" s="1"/>
  <c r="H693" i="1" l="1"/>
  <c r="G693" i="1" s="1" a="1"/>
  <c r="G693" i="1" s="1"/>
  <c r="H694" i="1" l="1"/>
  <c r="G694" i="1" s="1" a="1"/>
  <c r="G694" i="1" s="1"/>
  <c r="H695" i="1" l="1"/>
  <c r="G695" i="1" s="1" a="1"/>
  <c r="G695" i="1" s="1"/>
  <c r="H696" i="1" l="1"/>
  <c r="G696" i="1" s="1" a="1"/>
  <c r="G696" i="1" s="1"/>
  <c r="H697" i="1" l="1"/>
  <c r="G697" i="1" s="1" a="1"/>
  <c r="G697" i="1" s="1"/>
  <c r="H698" i="1" l="1"/>
  <c r="G698" i="1" s="1" a="1"/>
  <c r="G698" i="1" s="1"/>
  <c r="H699" i="1" l="1"/>
  <c r="G699" i="1" s="1" a="1"/>
  <c r="G699" i="1" s="1"/>
  <c r="H700" i="1" l="1"/>
  <c r="G700" i="1" s="1" a="1"/>
  <c r="G700" i="1" s="1"/>
  <c r="H701" i="1" l="1"/>
  <c r="G701" i="1" s="1" a="1"/>
  <c r="G701" i="1" s="1"/>
  <c r="H702" i="1" l="1"/>
  <c r="G702" i="1" s="1" a="1"/>
  <c r="G702" i="1" s="1"/>
  <c r="H703" i="1" l="1"/>
  <c r="G703" i="1" s="1" a="1"/>
  <c r="G703" i="1" s="1"/>
  <c r="H704" i="1" l="1"/>
  <c r="G704" i="1" s="1" a="1"/>
  <c r="G704" i="1" s="1"/>
  <c r="H705" i="1" l="1"/>
  <c r="G705" i="1" s="1" a="1"/>
  <c r="G705" i="1" s="1"/>
  <c r="H706" i="1" l="1"/>
  <c r="G706" i="1" s="1" a="1"/>
  <c r="G706" i="1" s="1"/>
  <c r="H707" i="1" l="1"/>
  <c r="G707" i="1" s="1" a="1"/>
  <c r="G707" i="1" s="1"/>
  <c r="H708" i="1" l="1"/>
  <c r="G708" i="1" s="1" a="1"/>
  <c r="G708" i="1" s="1"/>
  <c r="H709" i="1" l="1"/>
  <c r="G709" i="1" s="1" a="1"/>
  <c r="G709" i="1" s="1"/>
  <c r="H710" i="1" l="1"/>
  <c r="G710" i="1" s="1" a="1"/>
  <c r="G710" i="1" s="1"/>
  <c r="H711" i="1" l="1"/>
  <c r="G711" i="1" s="1" a="1"/>
  <c r="G711" i="1" s="1"/>
  <c r="H712" i="1" l="1"/>
  <c r="G712" i="1" s="1" a="1"/>
  <c r="G712" i="1" s="1"/>
  <c r="H713" i="1" l="1"/>
  <c r="G713" i="1" s="1" a="1"/>
  <c r="G713" i="1" s="1"/>
  <c r="H714" i="1" l="1"/>
  <c r="G714" i="1" s="1" a="1"/>
  <c r="G714" i="1" s="1"/>
  <c r="H715" i="1" l="1"/>
  <c r="G715" i="1" s="1" a="1"/>
  <c r="G715" i="1" s="1"/>
  <c r="H716" i="1" l="1"/>
  <c r="G716" i="1" s="1" a="1"/>
  <c r="G716" i="1" s="1"/>
  <c r="H717" i="1" l="1"/>
  <c r="G717" i="1" s="1" a="1"/>
  <c r="G717" i="1" s="1"/>
  <c r="H718" i="1" l="1"/>
  <c r="G718" i="1" s="1" a="1"/>
  <c r="G718" i="1" s="1"/>
  <c r="H719" i="1" l="1"/>
  <c r="G719" i="1" s="1" a="1"/>
  <c r="G719" i="1" s="1"/>
  <c r="H720" i="1" l="1"/>
  <c r="G720" i="1" s="1" a="1"/>
  <c r="G720" i="1" s="1"/>
  <c r="H721" i="1" l="1"/>
  <c r="G721" i="1" s="1" a="1"/>
  <c r="G721" i="1" s="1"/>
  <c r="H722" i="1" l="1"/>
  <c r="G722" i="1" s="1" a="1"/>
  <c r="G722" i="1" s="1"/>
  <c r="H723" i="1" l="1"/>
  <c r="G723" i="1" s="1" a="1"/>
  <c r="G723" i="1" s="1"/>
  <c r="H724" i="1" l="1"/>
  <c r="G724" i="1" s="1" a="1"/>
  <c r="G724" i="1" s="1"/>
  <c r="H725" i="1" l="1"/>
  <c r="G725" i="1" s="1" a="1"/>
  <c r="G725" i="1" s="1"/>
  <c r="H726" i="1" l="1"/>
  <c r="G726" i="1" s="1" a="1"/>
  <c r="G726" i="1" s="1"/>
  <c r="H727" i="1" l="1"/>
  <c r="G727" i="1" s="1" a="1"/>
  <c r="G727" i="1" s="1"/>
  <c r="H728" i="1" l="1"/>
  <c r="G728" i="1" s="1" a="1"/>
  <c r="G728" i="1" s="1"/>
  <c r="H729" i="1" l="1"/>
  <c r="G729" i="1" s="1" a="1"/>
  <c r="G729" i="1" s="1"/>
  <c r="H730" i="1" l="1"/>
  <c r="G730" i="1" s="1" a="1"/>
  <c r="G730" i="1" s="1"/>
  <c r="H731" i="1" l="1"/>
  <c r="G731" i="1" s="1" a="1"/>
  <c r="G731" i="1" s="1"/>
  <c r="H732" i="1" l="1"/>
  <c r="G732" i="1" s="1" a="1"/>
  <c r="G732" i="1" s="1"/>
  <c r="H733" i="1" l="1"/>
  <c r="G733" i="1" s="1" a="1"/>
  <c r="G733" i="1" s="1"/>
  <c r="H734" i="1" l="1"/>
  <c r="G734" i="1" s="1" a="1"/>
  <c r="G734" i="1" s="1"/>
  <c r="H735" i="1" l="1"/>
  <c r="G735" i="1" s="1" a="1"/>
  <c r="G735" i="1" s="1"/>
  <c r="H736" i="1" l="1"/>
  <c r="G736" i="1" s="1" a="1"/>
  <c r="G736" i="1" s="1"/>
  <c r="H737" i="1" l="1"/>
  <c r="G737" i="1" s="1" a="1"/>
  <c r="G737" i="1" s="1"/>
  <c r="H738" i="1" l="1"/>
  <c r="G738" i="1" s="1" a="1"/>
  <c r="G738" i="1" s="1"/>
  <c r="H739" i="1" l="1"/>
  <c r="G739" i="1" s="1" a="1"/>
  <c r="G739" i="1" s="1"/>
  <c r="H740" i="1" l="1"/>
  <c r="G740" i="1" s="1" a="1"/>
  <c r="G740" i="1" s="1"/>
  <c r="H741" i="1" l="1"/>
  <c r="G741" i="1" s="1" a="1"/>
  <c r="G741" i="1" s="1"/>
  <c r="H742" i="1" l="1"/>
  <c r="G742" i="1" s="1" a="1"/>
  <c r="G742" i="1" s="1"/>
  <c r="H743" i="1" l="1"/>
  <c r="G743" i="1" s="1" a="1"/>
  <c r="G743" i="1" s="1"/>
  <c r="H744" i="1" l="1"/>
  <c r="G744" i="1" s="1" a="1"/>
  <c r="G744" i="1" s="1"/>
  <c r="H745" i="1" l="1"/>
  <c r="G745" i="1" s="1" a="1"/>
  <c r="G745" i="1" s="1"/>
  <c r="H746" i="1" l="1"/>
  <c r="G746" i="1" s="1" a="1"/>
  <c r="G746" i="1" s="1"/>
  <c r="H747" i="1" l="1"/>
  <c r="G747" i="1" s="1" a="1"/>
  <c r="G747" i="1" s="1"/>
  <c r="H748" i="1" l="1"/>
  <c r="G748" i="1" s="1" a="1"/>
  <c r="G748" i="1" s="1"/>
  <c r="H749" i="1" l="1"/>
  <c r="G749" i="1" s="1" a="1"/>
  <c r="G749" i="1" s="1"/>
  <c r="H750" i="1" l="1"/>
  <c r="G750" i="1" s="1" a="1"/>
  <c r="G750" i="1" s="1"/>
  <c r="H751" i="1" l="1"/>
  <c r="G751" i="1" s="1" a="1"/>
  <c r="G751" i="1" s="1"/>
  <c r="H752" i="1" l="1"/>
  <c r="G752" i="1" s="1" a="1"/>
  <c r="G752" i="1" s="1"/>
  <c r="H753" i="1" l="1"/>
  <c r="G753" i="1" s="1" a="1"/>
  <c r="G753" i="1" s="1"/>
  <c r="H754" i="1" l="1"/>
  <c r="G754" i="1" s="1" a="1"/>
  <c r="G754" i="1" s="1"/>
  <c r="H755" i="1" l="1"/>
  <c r="G755" i="1" s="1" a="1"/>
  <c r="G755" i="1" s="1"/>
  <c r="H756" i="1" l="1"/>
  <c r="G756" i="1" s="1" a="1"/>
  <c r="G756" i="1" s="1"/>
  <c r="H757" i="1" l="1"/>
  <c r="G757" i="1" s="1" a="1"/>
  <c r="G757" i="1" s="1"/>
  <c r="H758" i="1" l="1"/>
  <c r="G758" i="1" s="1" a="1"/>
  <c r="G758" i="1" s="1"/>
  <c r="H759" i="1" l="1"/>
  <c r="G759" i="1" s="1" a="1"/>
  <c r="G759" i="1" s="1"/>
  <c r="H760" i="1" l="1"/>
  <c r="G760" i="1" s="1" a="1"/>
  <c r="G760" i="1" s="1"/>
  <c r="H761" i="1" l="1"/>
  <c r="G761" i="1" s="1" a="1"/>
  <c r="G761" i="1" s="1"/>
  <c r="H762" i="1" l="1"/>
  <c r="G762" i="1" s="1" a="1"/>
  <c r="G762" i="1" s="1"/>
  <c r="H763" i="1" l="1"/>
  <c r="G763" i="1" s="1" a="1"/>
  <c r="G763" i="1" s="1"/>
  <c r="H764" i="1" l="1"/>
  <c r="G764" i="1" s="1" a="1"/>
  <c r="G764" i="1" s="1"/>
  <c r="H765" i="1" l="1"/>
  <c r="G765" i="1" s="1" a="1"/>
  <c r="G765" i="1" s="1"/>
  <c r="H766" i="1" l="1"/>
  <c r="G766" i="1" s="1" a="1"/>
  <c r="G766" i="1" s="1"/>
  <c r="H767" i="1" l="1"/>
  <c r="G767" i="1" s="1" a="1"/>
  <c r="G767" i="1" s="1"/>
  <c r="H768" i="1" l="1"/>
  <c r="G768" i="1" s="1" a="1"/>
  <c r="G768" i="1" s="1"/>
  <c r="H769" i="1" l="1"/>
  <c r="G769" i="1" s="1" a="1"/>
  <c r="G769" i="1" s="1"/>
  <c r="H770" i="1" l="1"/>
  <c r="G770" i="1" s="1" a="1"/>
  <c r="G770" i="1" s="1"/>
  <c r="H771" i="1" l="1"/>
  <c r="G771" i="1" s="1" a="1"/>
  <c r="G771" i="1" s="1"/>
  <c r="H772" i="1" l="1"/>
  <c r="G772" i="1" s="1" a="1"/>
  <c r="G772" i="1" s="1"/>
  <c r="H773" i="1" l="1"/>
  <c r="G773" i="1" s="1" a="1"/>
  <c r="G773" i="1" s="1"/>
  <c r="H774" i="1" l="1"/>
  <c r="G774" i="1" s="1" a="1"/>
  <c r="G774" i="1" s="1"/>
  <c r="H775" i="1" l="1"/>
  <c r="G775" i="1" s="1" a="1"/>
  <c r="G775" i="1" s="1"/>
  <c r="H776" i="1" l="1"/>
  <c r="G776" i="1" s="1" a="1"/>
  <c r="G776" i="1" s="1"/>
  <c r="H777" i="1" l="1"/>
  <c r="G777" i="1" s="1" a="1"/>
  <c r="G777" i="1" s="1"/>
  <c r="H778" i="1" l="1"/>
  <c r="G778" i="1" s="1" a="1"/>
  <c r="G778" i="1" s="1"/>
  <c r="H779" i="1" l="1"/>
  <c r="G779" i="1" s="1" a="1"/>
  <c r="G779" i="1" s="1"/>
  <c r="H780" i="1" l="1"/>
  <c r="G780" i="1" s="1" a="1"/>
  <c r="G780" i="1" s="1"/>
  <c r="H781" i="1" l="1"/>
  <c r="G781" i="1" s="1" a="1"/>
  <c r="G781" i="1" s="1"/>
  <c r="H782" i="1" l="1"/>
  <c r="G782" i="1" s="1" a="1"/>
  <c r="G782" i="1" s="1"/>
  <c r="H783" i="1" l="1"/>
  <c r="G783" i="1" s="1" a="1"/>
  <c r="G783" i="1" s="1"/>
  <c r="H784" i="1" l="1"/>
  <c r="G784" i="1" s="1" a="1"/>
  <c r="G784" i="1" s="1"/>
  <c r="H785" i="1" l="1"/>
  <c r="G785" i="1" s="1" a="1"/>
  <c r="G785" i="1" s="1"/>
  <c r="H786" i="1" l="1"/>
  <c r="G786" i="1" s="1" a="1"/>
  <c r="G786" i="1" s="1"/>
  <c r="H787" i="1" l="1"/>
  <c r="G787" i="1" s="1" a="1"/>
  <c r="G787" i="1" s="1"/>
  <c r="H788" i="1" l="1"/>
  <c r="G788" i="1" s="1" a="1"/>
  <c r="G788" i="1" s="1"/>
  <c r="H789" i="1" l="1"/>
  <c r="G789" i="1" s="1" a="1"/>
  <c r="G789" i="1" s="1"/>
  <c r="H790" i="1" l="1"/>
  <c r="G790" i="1" s="1" a="1"/>
  <c r="G790" i="1" s="1"/>
  <c r="H791" i="1" l="1"/>
  <c r="G791" i="1" s="1" a="1"/>
  <c r="G791" i="1" s="1"/>
  <c r="H792" i="1" l="1"/>
  <c r="G792" i="1" s="1" a="1"/>
  <c r="G792" i="1" s="1"/>
  <c r="H793" i="1" l="1"/>
  <c r="G793" i="1" s="1" a="1"/>
  <c r="G793" i="1" s="1"/>
  <c r="H794" i="1" l="1"/>
  <c r="G794" i="1" s="1" a="1"/>
  <c r="G794" i="1" s="1"/>
  <c r="H795" i="1" l="1"/>
  <c r="G795" i="1" s="1" a="1"/>
  <c r="G795" i="1" s="1"/>
  <c r="H796" i="1" l="1"/>
  <c r="G796" i="1" s="1" a="1"/>
  <c r="G796" i="1" s="1"/>
  <c r="H797" i="1" l="1"/>
  <c r="G797" i="1" s="1" a="1"/>
  <c r="G797" i="1" s="1"/>
  <c r="H798" i="1" l="1"/>
  <c r="G798" i="1" s="1" a="1"/>
  <c r="G798" i="1" s="1"/>
  <c r="H799" i="1" l="1"/>
  <c r="G799" i="1" s="1" a="1"/>
  <c r="G799" i="1" s="1"/>
  <c r="H800" i="1" l="1"/>
  <c r="G800" i="1" s="1" a="1"/>
  <c r="G800" i="1" s="1"/>
  <c r="H801" i="1" l="1"/>
  <c r="G801" i="1" s="1" a="1"/>
  <c r="G801" i="1" s="1"/>
  <c r="H802" i="1" l="1"/>
  <c r="G802" i="1" s="1" a="1"/>
  <c r="G802" i="1" s="1"/>
  <c r="H803" i="1" l="1"/>
  <c r="G803" i="1" s="1" a="1"/>
  <c r="G803" i="1" s="1"/>
  <c r="H804" i="1" l="1"/>
  <c r="G804" i="1" s="1" a="1"/>
  <c r="G804" i="1" s="1"/>
  <c r="H805" i="1" l="1"/>
  <c r="G805" i="1" s="1" a="1"/>
  <c r="G805" i="1" s="1"/>
  <c r="H806" i="1" l="1"/>
  <c r="G806" i="1" s="1" a="1"/>
  <c r="G806" i="1" s="1"/>
  <c r="H807" i="1" l="1"/>
  <c r="G807" i="1" s="1" a="1"/>
  <c r="G807" i="1" s="1"/>
  <c r="H808" i="1" l="1"/>
  <c r="G808" i="1" s="1" a="1"/>
  <c r="G808" i="1" s="1"/>
  <c r="H809" i="1" l="1"/>
  <c r="G809" i="1" s="1" a="1"/>
  <c r="G809" i="1" s="1"/>
  <c r="H810" i="1" l="1"/>
  <c r="G810" i="1" s="1" a="1"/>
  <c r="G810" i="1" s="1"/>
  <c r="H811" i="1" l="1"/>
  <c r="G811" i="1" s="1" a="1"/>
  <c r="G811" i="1" s="1"/>
  <c r="H812" i="1" l="1"/>
  <c r="G812" i="1" s="1" a="1"/>
  <c r="G812" i="1" s="1"/>
  <c r="H813" i="1" l="1"/>
  <c r="G813" i="1" s="1" a="1"/>
  <c r="G813" i="1" s="1"/>
  <c r="H814" i="1" l="1"/>
  <c r="G814" i="1" s="1" a="1"/>
  <c r="G814" i="1" s="1"/>
  <c r="H815" i="1" l="1"/>
  <c r="G815" i="1" s="1" a="1"/>
  <c r="G815" i="1" s="1"/>
  <c r="H816" i="1" l="1"/>
  <c r="G816" i="1" s="1" a="1"/>
  <c r="G816" i="1" s="1"/>
  <c r="H817" i="1" l="1"/>
  <c r="G817" i="1" s="1" a="1"/>
  <c r="G817" i="1" s="1"/>
  <c r="H818" i="1" l="1"/>
  <c r="G818" i="1" s="1" a="1"/>
  <c r="G818" i="1" s="1"/>
  <c r="H819" i="1" l="1"/>
  <c r="G819" i="1" s="1" a="1"/>
  <c r="G819" i="1" s="1"/>
  <c r="H820" i="1" l="1"/>
  <c r="G820" i="1" s="1" a="1"/>
  <c r="G820" i="1" s="1"/>
  <c r="H821" i="1" l="1"/>
  <c r="G821" i="1" s="1" a="1"/>
  <c r="G821" i="1" s="1"/>
  <c r="H822" i="1" l="1"/>
  <c r="G822" i="1" s="1" a="1"/>
  <c r="G822" i="1" s="1"/>
  <c r="H823" i="1" l="1"/>
  <c r="G823" i="1" s="1" a="1"/>
  <c r="G823" i="1" s="1"/>
  <c r="H824" i="1" l="1"/>
  <c r="G824" i="1" s="1" a="1"/>
  <c r="G824" i="1" s="1"/>
  <c r="H825" i="1" l="1"/>
  <c r="G825" i="1" s="1" a="1"/>
  <c r="G825" i="1" s="1"/>
  <c r="H826" i="1" l="1"/>
  <c r="G826" i="1" s="1" a="1"/>
  <c r="G826" i="1" s="1"/>
  <c r="H827" i="1" l="1"/>
  <c r="G827" i="1" s="1" a="1"/>
  <c r="G827" i="1" s="1"/>
  <c r="H828" i="1" l="1"/>
  <c r="G828" i="1" s="1" a="1"/>
  <c r="G828" i="1" s="1"/>
  <c r="H829" i="1" l="1"/>
  <c r="G829" i="1" s="1" a="1"/>
  <c r="G829" i="1" s="1"/>
  <c r="H830" i="1" l="1"/>
  <c r="G830" i="1" s="1" a="1"/>
  <c r="G830" i="1" s="1"/>
  <c r="H831" i="1" l="1"/>
  <c r="G831" i="1" s="1" a="1"/>
  <c r="G831" i="1" s="1"/>
  <c r="H832" i="1" l="1"/>
  <c r="G832" i="1" s="1" a="1"/>
  <c r="G832" i="1" s="1"/>
  <c r="H833" i="1" l="1"/>
  <c r="G833" i="1" s="1" a="1"/>
  <c r="G833" i="1" s="1"/>
  <c r="H834" i="1" l="1"/>
  <c r="G834" i="1" s="1" a="1"/>
  <c r="G834" i="1" s="1"/>
  <c r="H835" i="1" l="1"/>
  <c r="G835" i="1" s="1" a="1"/>
  <c r="G835" i="1" s="1"/>
  <c r="H836" i="1" l="1"/>
  <c r="G836" i="1" s="1" a="1"/>
  <c r="G836" i="1" s="1"/>
  <c r="H837" i="1" l="1"/>
  <c r="G837" i="1" s="1" a="1"/>
  <c r="G837" i="1" s="1"/>
  <c r="H838" i="1" l="1"/>
  <c r="G838" i="1" s="1" a="1"/>
  <c r="G838" i="1" s="1"/>
  <c r="H839" i="1" l="1"/>
  <c r="G839" i="1" s="1" a="1"/>
  <c r="G839" i="1" s="1"/>
  <c r="H840" i="1" l="1"/>
  <c r="G840" i="1" s="1" a="1"/>
  <c r="G840" i="1" s="1"/>
  <c r="H841" i="1" l="1"/>
  <c r="G841" i="1" s="1" a="1"/>
  <c r="G841" i="1" s="1"/>
  <c r="H842" i="1" l="1"/>
  <c r="G842" i="1" s="1" a="1"/>
  <c r="G842" i="1" s="1"/>
  <c r="H843" i="1" l="1"/>
  <c r="G843" i="1" s="1" a="1"/>
  <c r="G843" i="1" s="1"/>
  <c r="H844" i="1" l="1"/>
  <c r="G844" i="1" s="1" a="1"/>
  <c r="G844" i="1" s="1"/>
  <c r="H845" i="1" l="1"/>
  <c r="G845" i="1" s="1" a="1"/>
  <c r="G845" i="1" s="1"/>
  <c r="H846" i="1" l="1"/>
  <c r="G846" i="1" s="1" a="1"/>
  <c r="G846" i="1" s="1"/>
  <c r="H847" i="1" l="1"/>
  <c r="G847" i="1" s="1" a="1"/>
  <c r="G847" i="1" s="1"/>
  <c r="H848" i="1" l="1"/>
  <c r="G848" i="1" s="1" a="1"/>
  <c r="G848" i="1" s="1"/>
  <c r="H849" i="1" l="1"/>
  <c r="G849" i="1" s="1" a="1"/>
  <c r="G849" i="1" s="1"/>
  <c r="H850" i="1" l="1"/>
  <c r="G850" i="1" s="1" a="1"/>
  <c r="G850" i="1" s="1"/>
  <c r="H851" i="1" l="1"/>
  <c r="G851" i="1" s="1" a="1"/>
  <c r="G851" i="1" s="1"/>
  <c r="H852" i="1" l="1"/>
  <c r="G852" i="1" s="1" a="1"/>
  <c r="G852" i="1" s="1"/>
  <c r="H853" i="1" l="1"/>
  <c r="G853" i="1" s="1" a="1"/>
  <c r="G853" i="1" s="1"/>
  <c r="H854" i="1" l="1"/>
  <c r="G854" i="1" s="1" a="1"/>
  <c r="G854" i="1" s="1"/>
  <c r="H855" i="1" l="1"/>
  <c r="G855" i="1" s="1" a="1"/>
  <c r="G855" i="1" s="1"/>
  <c r="H856" i="1" l="1"/>
  <c r="G856" i="1" s="1" a="1"/>
  <c r="G856" i="1" s="1"/>
  <c r="H857" i="1" l="1"/>
  <c r="G857" i="1" s="1" a="1"/>
  <c r="G857" i="1" s="1"/>
  <c r="H858" i="1" l="1"/>
  <c r="G858" i="1" s="1" a="1"/>
  <c r="G858" i="1" s="1"/>
  <c r="H859" i="1" l="1"/>
  <c r="G859" i="1" s="1" a="1"/>
  <c r="G859" i="1" s="1"/>
  <c r="H860" i="1" l="1"/>
  <c r="G860" i="1" s="1" a="1"/>
  <c r="G860" i="1" s="1"/>
  <c r="H861" i="1" l="1"/>
  <c r="G861" i="1" s="1" a="1"/>
  <c r="G861" i="1" s="1"/>
  <c r="H862" i="1" l="1"/>
  <c r="G862" i="1" s="1" a="1"/>
  <c r="G862" i="1" s="1"/>
  <c r="H863" i="1" l="1"/>
  <c r="G863" i="1" s="1" a="1"/>
  <c r="G863" i="1" s="1"/>
  <c r="H864" i="1" l="1"/>
  <c r="G864" i="1" s="1" a="1"/>
  <c r="G864" i="1" s="1"/>
  <c r="H865" i="1" l="1"/>
  <c r="G865" i="1" s="1" a="1"/>
  <c r="G865" i="1" s="1"/>
  <c r="H866" i="1" l="1"/>
  <c r="G866" i="1" s="1" a="1"/>
  <c r="G866" i="1" s="1"/>
  <c r="H867" i="1" l="1"/>
  <c r="G867" i="1" s="1" a="1"/>
  <c r="G867" i="1" s="1"/>
  <c r="H868" i="1" l="1"/>
  <c r="G868" i="1" s="1" a="1"/>
  <c r="G868" i="1" s="1"/>
  <c r="H869" i="1" l="1"/>
  <c r="G869" i="1" s="1" a="1"/>
  <c r="G869" i="1" s="1"/>
  <c r="H870" i="1" l="1"/>
  <c r="G870" i="1" s="1" a="1"/>
  <c r="G870" i="1" s="1"/>
  <c r="H871" i="1" l="1"/>
  <c r="G871" i="1" s="1" a="1"/>
  <c r="G871" i="1" s="1"/>
  <c r="H872" i="1" l="1"/>
  <c r="G872" i="1" s="1" a="1"/>
  <c r="G872" i="1" s="1"/>
  <c r="H873" i="1" l="1"/>
  <c r="G873" i="1" s="1" a="1"/>
  <c r="G873" i="1" s="1"/>
  <c r="H874" i="1" l="1"/>
  <c r="G874" i="1" s="1" a="1"/>
  <c r="G874" i="1" s="1"/>
  <c r="H875" i="1" l="1"/>
  <c r="G875" i="1" s="1" a="1"/>
  <c r="G875" i="1" s="1"/>
  <c r="H876" i="1" l="1"/>
  <c r="G876" i="1" s="1" a="1"/>
  <c r="G876" i="1" s="1"/>
  <c r="H877" i="1" l="1"/>
  <c r="G877" i="1" s="1" a="1"/>
  <c r="G877" i="1" s="1"/>
  <c r="H878" i="1" l="1"/>
  <c r="G878" i="1" s="1" a="1"/>
  <c r="G878" i="1" s="1"/>
  <c r="H879" i="1" l="1"/>
  <c r="G879" i="1" s="1" a="1"/>
  <c r="G879" i="1" s="1"/>
  <c r="H880" i="1" l="1"/>
  <c r="G880" i="1" s="1" a="1"/>
  <c r="G880" i="1" s="1"/>
  <c r="H881" i="1" l="1"/>
  <c r="G881" i="1" s="1" a="1"/>
  <c r="G881" i="1" s="1"/>
  <c r="H882" i="1" l="1"/>
  <c r="G882" i="1" s="1" a="1"/>
  <c r="G882" i="1" s="1"/>
  <c r="H883" i="1" l="1"/>
  <c r="G883" i="1" s="1" a="1"/>
  <c r="G883" i="1" s="1"/>
  <c r="H884" i="1" l="1"/>
  <c r="G884" i="1" s="1" a="1"/>
  <c r="G884" i="1" s="1"/>
  <c r="H885" i="1" l="1"/>
  <c r="G885" i="1" s="1" a="1"/>
  <c r="G885" i="1" s="1"/>
  <c r="H886" i="1" l="1"/>
  <c r="G886" i="1" s="1" a="1"/>
  <c r="G886" i="1" s="1"/>
  <c r="H887" i="1" l="1"/>
  <c r="G887" i="1" s="1" a="1"/>
  <c r="G887" i="1" s="1"/>
  <c r="H888" i="1" l="1"/>
  <c r="G888" i="1" s="1" a="1"/>
  <c r="G888" i="1" s="1"/>
  <c r="H889" i="1" l="1"/>
  <c r="G889" i="1" s="1" a="1"/>
  <c r="G889" i="1" s="1"/>
  <c r="H890" i="1" l="1"/>
  <c r="G890" i="1" s="1" a="1"/>
  <c r="G890" i="1" s="1"/>
  <c r="H891" i="1" l="1"/>
  <c r="G891" i="1" s="1" a="1"/>
  <c r="G891" i="1" s="1"/>
  <c r="H892" i="1" l="1"/>
  <c r="G892" i="1" s="1" a="1"/>
  <c r="G892" i="1" s="1"/>
  <c r="H893" i="1" l="1"/>
  <c r="G893" i="1" s="1" a="1"/>
  <c r="G893" i="1" s="1"/>
  <c r="H894" i="1" l="1"/>
  <c r="G894" i="1" s="1" a="1"/>
  <c r="G894" i="1" s="1"/>
  <c r="H895" i="1" l="1"/>
  <c r="G895" i="1" s="1" a="1"/>
  <c r="G895" i="1" s="1"/>
  <c r="H896" i="1" l="1"/>
  <c r="G896" i="1" s="1" a="1"/>
  <c r="G896" i="1" s="1"/>
  <c r="H897" i="1" l="1"/>
  <c r="G897" i="1" s="1" a="1"/>
  <c r="G897" i="1" s="1"/>
  <c r="H898" i="1" l="1"/>
  <c r="G898" i="1" s="1" a="1"/>
  <c r="G898" i="1" s="1"/>
  <c r="H899" i="1" l="1"/>
  <c r="G899" i="1" s="1" a="1"/>
  <c r="G899" i="1" s="1"/>
  <c r="H900" i="1" l="1"/>
  <c r="G900" i="1" s="1" a="1"/>
  <c r="G900" i="1" s="1"/>
  <c r="H901" i="1" l="1"/>
  <c r="G901" i="1" s="1" a="1"/>
  <c r="G901" i="1" s="1"/>
  <c r="H902" i="1" l="1"/>
  <c r="G902" i="1" s="1" a="1"/>
  <c r="G902" i="1" s="1"/>
  <c r="H903" i="1" l="1"/>
  <c r="G903" i="1" s="1" a="1"/>
  <c r="G903" i="1" s="1"/>
  <c r="H904" i="1" l="1"/>
  <c r="G904" i="1" s="1" a="1"/>
  <c r="G904" i="1" s="1"/>
  <c r="H905" i="1" l="1"/>
  <c r="G905" i="1" s="1" a="1"/>
  <c r="G905" i="1" s="1"/>
  <c r="H906" i="1" l="1"/>
  <c r="G906" i="1" s="1" a="1"/>
  <c r="G906" i="1" s="1"/>
  <c r="H907" i="1" l="1"/>
  <c r="G907" i="1" s="1" a="1"/>
  <c r="G907" i="1" s="1"/>
  <c r="H908" i="1" l="1"/>
  <c r="G908" i="1" s="1" a="1"/>
  <c r="G908" i="1" s="1"/>
  <c r="H909" i="1" l="1"/>
  <c r="G909" i="1" s="1" a="1"/>
  <c r="G909" i="1" s="1"/>
  <c r="H910" i="1" l="1"/>
  <c r="G910" i="1" s="1" a="1"/>
  <c r="G910" i="1" s="1"/>
  <c r="H911" i="1" l="1"/>
  <c r="G911" i="1" s="1" a="1"/>
  <c r="G911" i="1" s="1"/>
  <c r="H912" i="1" l="1"/>
  <c r="G912" i="1" s="1" a="1"/>
  <c r="G912" i="1" s="1"/>
  <c r="H913" i="1" l="1"/>
  <c r="G913" i="1" s="1" a="1"/>
  <c r="G913" i="1" s="1"/>
  <c r="H914" i="1" l="1"/>
  <c r="G914" i="1" s="1" a="1"/>
  <c r="G914" i="1" s="1"/>
  <c r="H915" i="1" l="1"/>
  <c r="G915" i="1" s="1" a="1"/>
  <c r="G915" i="1" s="1"/>
  <c r="H916" i="1" l="1"/>
  <c r="G916" i="1" s="1" a="1"/>
  <c r="G916" i="1" s="1"/>
  <c r="H917" i="1" l="1"/>
  <c r="G917" i="1" s="1" a="1"/>
  <c r="G917" i="1" s="1"/>
  <c r="H918" i="1" l="1"/>
  <c r="G918" i="1" s="1" a="1"/>
  <c r="G918" i="1" s="1"/>
  <c r="H919" i="1" l="1"/>
  <c r="G919" i="1" s="1" a="1"/>
  <c r="G919" i="1" s="1"/>
  <c r="H920" i="1" l="1"/>
  <c r="G920" i="1" s="1" a="1"/>
  <c r="G920" i="1" s="1"/>
  <c r="H921" i="1" l="1"/>
  <c r="G921" i="1" s="1" a="1"/>
  <c r="G921" i="1" s="1"/>
  <c r="H922" i="1" l="1"/>
  <c r="G922" i="1" s="1" a="1"/>
  <c r="G922" i="1" s="1"/>
  <c r="H923" i="1" l="1"/>
  <c r="G923" i="1" s="1" a="1"/>
  <c r="G923" i="1" s="1"/>
  <c r="H924" i="1" l="1"/>
  <c r="G924" i="1" s="1" a="1"/>
  <c r="G924" i="1" s="1"/>
  <c r="H925" i="1" l="1"/>
  <c r="G925" i="1" s="1" a="1"/>
  <c r="G925" i="1" s="1"/>
  <c r="H926" i="1" l="1"/>
  <c r="G926" i="1" s="1" a="1"/>
  <c r="G926" i="1" s="1"/>
  <c r="H927" i="1" l="1"/>
  <c r="G927" i="1" s="1" a="1"/>
  <c r="G927" i="1" s="1"/>
  <c r="H928" i="1" l="1"/>
  <c r="G928" i="1" s="1" a="1"/>
  <c r="G928" i="1" s="1"/>
  <c r="H929" i="1" l="1"/>
  <c r="G929" i="1" s="1" a="1"/>
  <c r="G929" i="1" s="1"/>
  <c r="H930" i="1" l="1"/>
  <c r="G930" i="1" s="1" a="1"/>
  <c r="G930" i="1" s="1"/>
  <c r="H931" i="1" l="1"/>
  <c r="G931" i="1" s="1" a="1"/>
  <c r="G931" i="1" s="1"/>
  <c r="H932" i="1" l="1"/>
  <c r="G932" i="1" s="1" a="1"/>
  <c r="G932" i="1" s="1"/>
  <c r="H933" i="1" l="1"/>
  <c r="G933" i="1" s="1" a="1"/>
  <c r="G933" i="1" s="1"/>
  <c r="H934" i="1" l="1"/>
  <c r="G934" i="1" s="1" a="1"/>
  <c r="G934" i="1" s="1"/>
  <c r="H935" i="1" l="1"/>
  <c r="G935" i="1" s="1" a="1"/>
  <c r="G935" i="1" s="1"/>
  <c r="H936" i="1" l="1"/>
  <c r="G936" i="1" s="1" a="1"/>
  <c r="G936" i="1" s="1"/>
  <c r="H937" i="1" l="1"/>
  <c r="G937" i="1" s="1" a="1"/>
  <c r="G937" i="1" s="1"/>
  <c r="H938" i="1" l="1"/>
  <c r="G938" i="1" s="1" a="1"/>
  <c r="G938" i="1" s="1"/>
  <c r="H939" i="1" l="1"/>
  <c r="G939" i="1" s="1" a="1"/>
  <c r="G939" i="1" s="1"/>
  <c r="H940" i="1" l="1"/>
  <c r="G940" i="1" s="1" a="1"/>
  <c r="G940" i="1" s="1"/>
  <c r="H941" i="1" l="1"/>
  <c r="G941" i="1" s="1" a="1"/>
  <c r="G941" i="1" s="1"/>
  <c r="H942" i="1" l="1"/>
  <c r="G942" i="1" s="1" a="1"/>
  <c r="G942" i="1" s="1"/>
  <c r="H943" i="1" l="1"/>
  <c r="G943" i="1" s="1" a="1"/>
  <c r="G943" i="1" s="1"/>
  <c r="H944" i="1" l="1"/>
  <c r="G944" i="1" s="1" a="1"/>
  <c r="G944" i="1" s="1"/>
  <c r="H945" i="1" l="1"/>
  <c r="G945" i="1" s="1" a="1"/>
  <c r="G945" i="1" s="1"/>
  <c r="H946" i="1" l="1"/>
  <c r="G946" i="1" s="1" a="1"/>
  <c r="G946" i="1" s="1"/>
  <c r="H947" i="1" l="1"/>
  <c r="G947" i="1" s="1" a="1"/>
  <c r="G947" i="1" s="1"/>
  <c r="H948" i="1" l="1"/>
  <c r="G948" i="1" s="1" a="1"/>
  <c r="G948" i="1" s="1"/>
  <c r="H949" i="1" l="1"/>
  <c r="G949" i="1" s="1" a="1"/>
  <c r="G949" i="1" s="1"/>
  <c r="H950" i="1" l="1"/>
  <c r="G950" i="1" s="1" a="1"/>
  <c r="G950" i="1" s="1"/>
  <c r="H951" i="1" l="1"/>
  <c r="G951" i="1" s="1" a="1"/>
  <c r="G951" i="1" s="1"/>
  <c r="H952" i="1" l="1"/>
  <c r="G952" i="1" s="1" a="1"/>
  <c r="G952" i="1" s="1"/>
  <c r="H953" i="1" l="1"/>
  <c r="G953" i="1" s="1" a="1"/>
  <c r="G953" i="1" s="1"/>
  <c r="H954" i="1" l="1"/>
  <c r="G954" i="1" s="1" a="1"/>
  <c r="G954" i="1" s="1"/>
  <c r="H955" i="1" l="1"/>
  <c r="G955" i="1" s="1" a="1"/>
  <c r="G955" i="1" s="1"/>
  <c r="H956" i="1" l="1"/>
  <c r="G956" i="1" s="1" a="1"/>
  <c r="G956" i="1" s="1"/>
  <c r="H957" i="1" l="1"/>
  <c r="G957" i="1" s="1" a="1"/>
  <c r="G957" i="1" s="1"/>
  <c r="H958" i="1" l="1"/>
  <c r="G958" i="1" s="1" a="1"/>
  <c r="G958" i="1" s="1"/>
  <c r="H959" i="1" l="1"/>
  <c r="G959" i="1" s="1" a="1"/>
  <c r="G959" i="1" s="1"/>
  <c r="H960" i="1" l="1"/>
  <c r="G960" i="1" s="1" a="1"/>
  <c r="G960" i="1" s="1"/>
  <c r="H961" i="1" l="1"/>
  <c r="G961" i="1" s="1" a="1"/>
  <c r="G961" i="1" s="1"/>
  <c r="H962" i="1" l="1"/>
  <c r="G962" i="1" s="1" a="1"/>
  <c r="G962" i="1" s="1"/>
  <c r="H963" i="1" l="1"/>
  <c r="G963" i="1" s="1" a="1"/>
  <c r="G963" i="1" s="1"/>
  <c r="H964" i="1" l="1"/>
  <c r="G964" i="1" s="1" a="1"/>
  <c r="G964" i="1" s="1"/>
  <c r="H965" i="1" l="1"/>
  <c r="G965" i="1" s="1" a="1"/>
  <c r="G965" i="1" s="1"/>
  <c r="H966" i="1" l="1"/>
  <c r="G966" i="1" s="1" a="1"/>
  <c r="G966" i="1" s="1"/>
  <c r="H967" i="1" l="1"/>
  <c r="G967" i="1" s="1" a="1"/>
  <c r="G967" i="1" s="1"/>
  <c r="H968" i="1" l="1"/>
  <c r="G968" i="1" s="1" a="1"/>
  <c r="G968" i="1" s="1"/>
  <c r="H969" i="1" l="1"/>
  <c r="G969" i="1" s="1" a="1"/>
  <c r="G969" i="1" s="1"/>
  <c r="H970" i="1" l="1"/>
  <c r="G970" i="1" s="1" a="1"/>
  <c r="G970" i="1" s="1"/>
  <c r="H971" i="1" l="1"/>
  <c r="G971" i="1" s="1" a="1"/>
  <c r="G971" i="1" s="1"/>
  <c r="H972" i="1" l="1"/>
  <c r="G972" i="1" s="1" a="1"/>
  <c r="G972" i="1" s="1"/>
  <c r="H973" i="1" l="1"/>
  <c r="G973" i="1" s="1" a="1"/>
  <c r="G973" i="1" s="1"/>
  <c r="H974" i="1" l="1"/>
  <c r="G974" i="1" s="1" a="1"/>
  <c r="G974" i="1" s="1"/>
  <c r="H975" i="1" l="1"/>
  <c r="G975" i="1" s="1" a="1"/>
  <c r="G975" i="1" s="1"/>
  <c r="H976" i="1" l="1"/>
  <c r="G976" i="1" s="1" a="1"/>
  <c r="G976" i="1" s="1"/>
  <c r="H977" i="1" l="1"/>
  <c r="G977" i="1" s="1" a="1"/>
  <c r="G977" i="1" s="1"/>
  <c r="H978" i="1" l="1"/>
  <c r="G978" i="1" s="1" a="1"/>
  <c r="G978" i="1" s="1"/>
  <c r="H979" i="1" l="1"/>
  <c r="G979" i="1" s="1" a="1"/>
  <c r="G979" i="1" s="1"/>
  <c r="H980" i="1" l="1"/>
  <c r="G980" i="1" s="1" a="1"/>
  <c r="G980" i="1" s="1"/>
  <c r="H981" i="1" l="1"/>
  <c r="G981" i="1" s="1" a="1"/>
  <c r="G981" i="1" s="1"/>
  <c r="H982" i="1" l="1"/>
  <c r="G982" i="1" s="1" a="1"/>
  <c r="G982" i="1" s="1"/>
  <c r="H983" i="1" l="1"/>
  <c r="G983" i="1" s="1" a="1"/>
  <c r="G983" i="1" s="1"/>
  <c r="H984" i="1" l="1"/>
  <c r="G984" i="1" s="1" a="1"/>
  <c r="G984" i="1" s="1"/>
  <c r="H985" i="1" l="1"/>
  <c r="G985" i="1" s="1" a="1"/>
  <c r="G985" i="1" s="1"/>
  <c r="H986" i="1" l="1"/>
  <c r="G986" i="1" s="1" a="1"/>
  <c r="G986" i="1" s="1"/>
  <c r="H987" i="1" l="1"/>
  <c r="G987" i="1" s="1" a="1"/>
  <c r="G987" i="1" s="1"/>
  <c r="H988" i="1" l="1"/>
  <c r="G988" i="1" s="1" a="1"/>
  <c r="G988" i="1" s="1"/>
  <c r="H989" i="1" l="1"/>
  <c r="G989" i="1" s="1" a="1"/>
  <c r="G989" i="1" s="1"/>
  <c r="H990" i="1" l="1"/>
  <c r="G990" i="1" s="1" a="1"/>
  <c r="G990" i="1" s="1"/>
  <c r="H991" i="1" l="1"/>
  <c r="G991" i="1" s="1" a="1"/>
  <c r="G991" i="1" s="1"/>
  <c r="H992" i="1" l="1"/>
  <c r="G992" i="1" s="1" a="1"/>
  <c r="G992" i="1" s="1"/>
  <c r="H993" i="1" l="1"/>
  <c r="G993" i="1" s="1" a="1"/>
  <c r="G993" i="1" s="1"/>
  <c r="H994" i="1" l="1"/>
  <c r="G994" i="1" s="1" a="1"/>
  <c r="G994" i="1" s="1"/>
  <c r="H995" i="1" l="1"/>
  <c r="G995" i="1" s="1" a="1"/>
  <c r="G995" i="1" s="1"/>
  <c r="H996" i="1" l="1"/>
  <c r="G996" i="1" s="1" a="1"/>
  <c r="G996" i="1" s="1"/>
  <c r="H997" i="1" l="1"/>
  <c r="G997" i="1" s="1" a="1"/>
  <c r="G997" i="1" s="1"/>
  <c r="H998" i="1" l="1"/>
  <c r="G998" i="1" s="1" a="1"/>
  <c r="G998" i="1" s="1"/>
  <c r="H999" i="1" l="1"/>
  <c r="G999" i="1" s="1" a="1"/>
  <c r="G999" i="1" s="1"/>
  <c r="H1000" i="1" l="1"/>
  <c r="G1000" i="1" s="1" a="1"/>
  <c r="G1000" i="1" s="1"/>
  <c r="H1001" i="1" l="1"/>
  <c r="G1001" i="1" s="1" a="1"/>
  <c r="G1001" i="1" s="1"/>
  <c r="H1002" i="1" l="1"/>
  <c r="G1002" i="1" s="1" a="1"/>
  <c r="G1002" i="1" s="1"/>
  <c r="H1003" i="1" l="1"/>
  <c r="G1003" i="1" s="1" a="1"/>
  <c r="G1003" i="1" s="1"/>
  <c r="H1004" i="1" l="1"/>
  <c r="G1004" i="1" s="1" a="1"/>
  <c r="G1004" i="1" s="1"/>
  <c r="H1005" i="1" l="1"/>
  <c r="G1005" i="1" s="1" a="1"/>
  <c r="G1005" i="1" s="1"/>
  <c r="H1006" i="1" l="1"/>
  <c r="G1006" i="1" s="1" a="1"/>
  <c r="G1006" i="1" s="1"/>
  <c r="H1007" i="1" l="1"/>
  <c r="G1007" i="1" s="1" a="1"/>
  <c r="G1007" i="1" s="1"/>
  <c r="H1008" i="1" l="1"/>
  <c r="G1008" i="1" s="1" a="1"/>
  <c r="G1008" i="1" s="1"/>
  <c r="H1009" i="1" l="1"/>
  <c r="G1009" i="1" s="1" a="1"/>
  <c r="G1009" i="1" s="1"/>
  <c r="H1010" i="1" l="1"/>
  <c r="G1010" i="1" s="1" a="1"/>
  <c r="G1010" i="1" s="1"/>
  <c r="H1011" i="1" l="1"/>
  <c r="G1011" i="1" s="1" a="1"/>
  <c r="G1011" i="1" s="1"/>
  <c r="H1012" i="1" l="1"/>
  <c r="G1012" i="1" s="1" a="1"/>
  <c r="G1012" i="1" s="1"/>
  <c r="H1013" i="1" l="1"/>
  <c r="G1013" i="1" s="1" a="1"/>
  <c r="G1013" i="1" s="1"/>
  <c r="H1014" i="1" l="1"/>
  <c r="G1014" i="1" s="1" a="1"/>
  <c r="G1014" i="1" s="1"/>
  <c r="H1015" i="1" l="1"/>
  <c r="G1015" i="1" s="1" a="1"/>
  <c r="G1015" i="1" s="1"/>
  <c r="H1016" i="1" l="1"/>
  <c r="G1016" i="1" s="1" a="1"/>
  <c r="G1016" i="1" s="1"/>
  <c r="H1017" i="1" l="1"/>
  <c r="G1017" i="1" s="1" a="1"/>
  <c r="G1017" i="1" s="1"/>
  <c r="H1018" i="1" l="1"/>
  <c r="G1018" i="1" s="1" a="1"/>
  <c r="G1018" i="1" s="1"/>
  <c r="H1019" i="1" l="1"/>
  <c r="G1019" i="1" s="1" a="1"/>
  <c r="G1019" i="1" s="1"/>
  <c r="H1020" i="1" l="1"/>
  <c r="G1020" i="1" s="1" a="1"/>
  <c r="G1020" i="1" s="1"/>
  <c r="H1021" i="1" l="1"/>
  <c r="G1021" i="1" s="1" a="1"/>
  <c r="G1021" i="1" s="1"/>
  <c r="H1022" i="1" l="1"/>
  <c r="G1022" i="1" s="1" a="1"/>
  <c r="G1022" i="1" s="1"/>
  <c r="H1023" i="1" l="1"/>
  <c r="G1023" i="1" s="1" a="1"/>
  <c r="G1023" i="1" s="1"/>
  <c r="H1024" i="1" l="1"/>
  <c r="G1024" i="1" s="1" a="1"/>
  <c r="G1024" i="1" s="1"/>
  <c r="H1025" i="1" l="1"/>
  <c r="G1025" i="1" s="1" a="1"/>
  <c r="G1025" i="1" s="1"/>
  <c r="B7" i="1" l="1"/>
  <c r="C4" i="2" s="1"/>
  <c r="C7" i="2" s="1"/>
  <c r="C9" i="2" l="1"/>
  <c r="C10" i="2"/>
  <c r="L331" i="1"/>
  <c r="L475" i="1"/>
  <c r="L504" i="1"/>
  <c r="L101" i="1"/>
  <c r="L183" i="1"/>
  <c r="L423" i="1"/>
  <c r="L151" i="1"/>
  <c r="L892" i="1"/>
  <c r="L35" i="1"/>
  <c r="L394" i="1"/>
  <c r="L301" i="1"/>
  <c r="L708" i="1"/>
  <c r="L936" i="1"/>
  <c r="L375" i="1"/>
  <c r="L325" i="1"/>
  <c r="L236" i="1"/>
  <c r="L332" i="1"/>
  <c r="L346" i="1"/>
  <c r="L616" i="1"/>
  <c r="L662" i="1"/>
  <c r="L324" i="1"/>
  <c r="L290" i="1"/>
  <c r="L15" i="1"/>
  <c r="L450" i="1"/>
  <c r="L442" i="1"/>
  <c r="L782" i="1"/>
  <c r="L398" i="1"/>
  <c r="L560" i="1"/>
  <c r="L13" i="1"/>
  <c r="L480" i="1"/>
  <c r="L501" i="1"/>
  <c r="L659" i="1"/>
  <c r="L78" i="1"/>
  <c r="L125" i="1"/>
  <c r="L213" i="1"/>
  <c r="L57" i="1"/>
  <c r="L220" i="1"/>
  <c r="L286" i="1"/>
  <c r="L828" i="1"/>
  <c r="L589" i="1"/>
  <c r="L871" i="1"/>
  <c r="L846" i="1"/>
  <c r="L596" i="1"/>
  <c r="L789" i="1"/>
  <c r="L862" i="1"/>
  <c r="L736" i="1"/>
  <c r="L1018" i="1"/>
  <c r="L583" i="1"/>
  <c r="L202" i="1"/>
  <c r="L266" i="1"/>
  <c r="L522" i="1"/>
  <c r="L518" i="1"/>
  <c r="L770" i="1"/>
  <c r="L884" i="1"/>
  <c r="L188" i="1"/>
  <c r="L479" i="1"/>
  <c r="L879" i="1"/>
  <c r="L264" i="1"/>
  <c r="L905" i="1"/>
  <c r="L843" i="1"/>
  <c r="L249" i="1"/>
  <c r="L677" i="1"/>
  <c r="L39" i="1"/>
  <c r="L404" i="1"/>
  <c r="L555" i="1"/>
  <c r="L935" i="1"/>
  <c r="L723" i="1"/>
  <c r="L628" i="1"/>
  <c r="L984" i="1"/>
  <c r="L632" i="1"/>
  <c r="L751" i="1"/>
  <c r="L178" i="1"/>
  <c r="L839" i="1"/>
  <c r="L255" i="1"/>
  <c r="L653" i="1"/>
  <c r="L946" i="1"/>
  <c r="L735" i="1"/>
  <c r="L32" i="1"/>
  <c r="L376" i="1"/>
  <c r="L378" i="1"/>
  <c r="L306" i="1"/>
  <c r="L525" i="1"/>
  <c r="L1021" i="1"/>
  <c r="L488" i="1"/>
  <c r="L715" i="1"/>
  <c r="L150" i="1"/>
  <c r="L850" i="1"/>
  <c r="L938" i="1"/>
  <c r="L343" i="1"/>
  <c r="L665" i="1"/>
  <c r="L904" i="1"/>
  <c r="L468" i="1"/>
  <c r="L20" i="1"/>
  <c r="L643" i="1"/>
  <c r="L481" i="1"/>
  <c r="L712" i="1"/>
  <c r="L203" i="1"/>
  <c r="L549" i="1"/>
  <c r="L681" i="1"/>
  <c r="L600" i="1"/>
  <c r="L531" i="1"/>
  <c r="L55" i="1"/>
  <c r="L889" i="1"/>
  <c r="L132" i="1"/>
  <c r="L915" i="1"/>
  <c r="L688" i="1"/>
  <c r="L380" i="1"/>
  <c r="L40" i="1"/>
  <c r="L676" i="1"/>
  <c r="L506" i="1"/>
  <c r="L93" i="1"/>
  <c r="L439" i="1"/>
  <c r="L572" i="1"/>
  <c r="L348" i="1"/>
  <c r="L956" i="1"/>
  <c r="L957" i="1"/>
  <c r="L930" i="1"/>
  <c r="L802" i="1"/>
  <c r="L408" i="1"/>
  <c r="L297" i="1"/>
  <c r="L989" i="1"/>
  <c r="L1003" i="1"/>
  <c r="L141" i="1"/>
  <c r="L799" i="1"/>
  <c r="L627" i="1"/>
  <c r="L257" i="1"/>
  <c r="L981" i="1"/>
  <c r="L176" i="1"/>
  <c r="L519" i="1"/>
  <c r="L505" i="1"/>
  <c r="L75" i="1"/>
  <c r="L185" i="1"/>
  <c r="L146" i="1"/>
  <c r="L559" i="1"/>
  <c r="L744" i="1"/>
  <c r="L218" i="1"/>
  <c r="L225" i="1"/>
  <c r="L1010" i="1"/>
  <c r="L700" i="1"/>
  <c r="L637" i="1"/>
  <c r="L163" i="1"/>
  <c r="L999" i="1"/>
  <c r="L948" i="1"/>
  <c r="L385" i="1"/>
  <c r="L356" i="1"/>
  <c r="L785" i="1"/>
  <c r="L97" i="1"/>
  <c r="L867" i="1"/>
  <c r="L547" i="1"/>
  <c r="L739" i="1"/>
  <c r="L570" i="1"/>
  <c r="L732" i="1"/>
  <c r="L284" i="1"/>
  <c r="L234" i="1"/>
  <c r="L391" i="1"/>
  <c r="L169" i="1"/>
  <c r="L602" i="1"/>
  <c r="L718" i="1"/>
  <c r="L902" i="1"/>
  <c r="L478" i="1"/>
  <c r="L131" i="1"/>
  <c r="L433" i="1"/>
  <c r="L704" i="1"/>
  <c r="L164" i="1"/>
  <c r="L388" i="1"/>
  <c r="L201" i="1"/>
  <c r="L590" i="1"/>
  <c r="L427" i="1"/>
  <c r="L742" i="1"/>
  <c r="L794" i="1"/>
  <c r="L454" i="1"/>
  <c r="L361" i="1"/>
  <c r="L436" i="1"/>
  <c r="L148" i="1"/>
  <c r="L369" i="1"/>
  <c r="L813" i="1"/>
  <c r="L1019" i="1"/>
  <c r="L460" i="1"/>
  <c r="L758" i="1"/>
  <c r="L128" i="1"/>
  <c r="L205" i="1"/>
  <c r="B13" i="1"/>
  <c r="L909" i="1"/>
  <c r="L216" i="1"/>
  <c r="L95" i="1"/>
  <c r="L629" i="1"/>
  <c r="L17" i="1"/>
  <c r="L443" i="1"/>
  <c r="L327" i="1"/>
  <c r="L61" i="1"/>
  <c r="L556" i="1"/>
  <c r="L254" i="1"/>
  <c r="L512" i="1"/>
  <c r="L720" i="1"/>
  <c r="L418" i="1"/>
  <c r="L666" i="1"/>
  <c r="L191" i="1"/>
  <c r="L1011" i="1"/>
  <c r="L914" i="1"/>
  <c r="L175" i="1"/>
  <c r="L186" i="1"/>
  <c r="L173" i="1"/>
  <c r="L980" i="1"/>
  <c r="L81" i="1"/>
  <c r="L1014" i="1"/>
  <c r="L569" i="1"/>
  <c r="L928" i="1"/>
  <c r="L279" i="1"/>
  <c r="L934" i="1"/>
  <c r="L692" i="1"/>
  <c r="L674" i="1"/>
  <c r="L37" i="1"/>
  <c r="L406" i="1"/>
  <c r="L29" i="1"/>
  <c r="L50" i="1"/>
  <c r="L491" i="1"/>
  <c r="L787" i="1"/>
  <c r="L660" i="1"/>
  <c r="L778" i="1"/>
  <c r="L345" i="1"/>
  <c r="L422" i="1"/>
  <c r="L865" i="1"/>
  <c r="L157" i="1"/>
  <c r="L943" i="1"/>
  <c r="L624" i="1"/>
  <c r="L193" i="1"/>
  <c r="L944" i="1"/>
  <c r="L695" i="1"/>
  <c r="L842" i="1"/>
  <c r="L379" i="1"/>
  <c r="L426" i="1"/>
  <c r="L413" i="1"/>
  <c r="L926" i="1"/>
  <c r="L230" i="1"/>
  <c r="L526" i="1"/>
  <c r="L98" i="1"/>
  <c r="L510" i="1"/>
  <c r="L538" i="1"/>
  <c r="L913" i="1"/>
  <c r="L668" i="1"/>
  <c r="L937" i="1"/>
  <c r="L351" i="1"/>
  <c r="L523" i="1"/>
  <c r="L269" i="1"/>
  <c r="L513" i="1"/>
  <c r="L445" i="1"/>
  <c r="L373" i="1"/>
  <c r="L31" i="1"/>
  <c r="L961" i="1"/>
  <c r="L212" i="1"/>
  <c r="L411" i="1"/>
  <c r="L516" i="1"/>
  <c r="L664" i="1"/>
  <c r="L387" i="1"/>
  <c r="L102" i="1"/>
  <c r="L239" i="1"/>
  <c r="L313" i="1"/>
  <c r="L985" i="1"/>
  <c r="L1001" i="1"/>
  <c r="L819" i="1"/>
  <c r="L978" i="1"/>
  <c r="L792" i="1"/>
  <c r="L111" i="1"/>
  <c r="L585" i="1"/>
  <c r="L115" i="1"/>
  <c r="L729" i="1"/>
  <c r="L441" i="1"/>
  <c r="L511" i="1"/>
  <c r="L777" i="1"/>
  <c r="L1000" i="1"/>
  <c r="L577" i="1"/>
  <c r="L625" i="1"/>
  <c r="L316" i="1"/>
  <c r="L613" i="1"/>
  <c r="L895" i="1"/>
  <c r="L997" i="1"/>
  <c r="L995" i="1"/>
  <c r="L168" i="1"/>
  <c r="L214" i="1"/>
  <c r="L152" i="1"/>
  <c r="L635" i="1"/>
  <c r="L721" i="1"/>
  <c r="L267" i="1"/>
  <c r="L260" i="1"/>
  <c r="L77" i="1"/>
  <c r="L545" i="1"/>
  <c r="L360" i="1"/>
  <c r="L652" i="1"/>
  <c r="L59" i="1"/>
  <c r="L537" i="1"/>
  <c r="L734" i="1"/>
  <c r="L920" i="1"/>
  <c r="L223" i="1"/>
  <c r="L476" i="1"/>
  <c r="L764" i="1"/>
  <c r="L644" i="1"/>
  <c r="L33" i="1"/>
  <c r="L535" i="1"/>
  <c r="L389" i="1"/>
  <c r="L194" i="1"/>
  <c r="L568" i="1"/>
  <c r="L182" i="1"/>
  <c r="L303" i="1"/>
  <c r="L370" i="1"/>
  <c r="L874" i="1"/>
  <c r="L964" i="1"/>
  <c r="L53" i="1"/>
  <c r="L876" i="1"/>
  <c r="L901" i="1"/>
  <c r="L639" i="1"/>
  <c r="L591" i="1"/>
  <c r="L64" i="1"/>
  <c r="L119" i="1"/>
  <c r="L312" i="1"/>
  <c r="L156" i="1"/>
  <c r="L848" i="1"/>
  <c r="L605" i="1"/>
  <c r="L714" i="1"/>
  <c r="L28" i="1"/>
  <c r="L107" i="1"/>
  <c r="L322" i="1"/>
  <c r="L887" i="1"/>
  <c r="L200" i="1"/>
  <c r="L844" i="1"/>
  <c r="L22" i="1"/>
  <c r="L73" i="1"/>
  <c r="L972" i="1"/>
  <c r="L91" i="1"/>
  <c r="L685" i="1"/>
  <c r="L896" i="1"/>
  <c r="L988" i="1"/>
  <c r="L910" i="1"/>
  <c r="L672" i="1"/>
  <c r="L836" i="1"/>
  <c r="L838" i="1"/>
  <c r="L810" i="1"/>
  <c r="L701" i="1"/>
  <c r="L58" i="1"/>
  <c r="L958" i="1"/>
  <c r="L127" i="1"/>
  <c r="L878" i="1"/>
  <c r="L62" i="1"/>
  <c r="L38" i="1"/>
  <c r="L603" i="1"/>
  <c r="L65" i="1"/>
  <c r="L951" i="1"/>
  <c r="L949" i="1"/>
  <c r="L805" i="1"/>
  <c r="L857" i="1"/>
  <c r="L916" i="1"/>
  <c r="L243" i="1"/>
  <c r="L696" i="1"/>
  <c r="L965" i="1"/>
  <c r="L48" i="1"/>
  <c r="L698" i="1"/>
  <c r="L691" i="1"/>
  <c r="L319" i="1"/>
  <c r="L804" i="1"/>
  <c r="L63" i="1"/>
  <c r="L315" i="1"/>
  <c r="L683" i="1"/>
  <c r="L233" i="1"/>
  <c r="L440" i="1"/>
  <c r="L832" i="1"/>
  <c r="L353" i="1"/>
  <c r="L641" i="1"/>
  <c r="L745" i="1"/>
  <c r="L987" i="1"/>
  <c r="L67" i="1"/>
  <c r="L364" i="1"/>
  <c r="L941" i="1"/>
  <c r="L540" i="1"/>
  <c r="L484" i="1"/>
  <c r="L524" i="1"/>
  <c r="L899" i="1"/>
  <c r="L415" i="1"/>
  <c r="L973" i="1"/>
  <c r="L622" i="1"/>
  <c r="L890" i="1"/>
  <c r="L407" i="1"/>
  <c r="L465" i="1"/>
  <c r="L174" i="1"/>
  <c r="L1020" i="1"/>
  <c r="L815" i="1"/>
  <c r="L410" i="1"/>
  <c r="L120" i="1"/>
  <c r="L337" i="1"/>
  <c r="L771" i="1"/>
  <c r="L250" i="1"/>
  <c r="L209" i="1"/>
  <c r="L399" i="1"/>
  <c r="L974" i="1"/>
  <c r="L5" i="1"/>
  <c r="L621" i="1"/>
  <c r="L615" i="1"/>
  <c r="L419" i="1"/>
  <c r="L852" i="1"/>
  <c r="L294" i="1"/>
  <c r="L226" i="1"/>
  <c r="L374" i="1"/>
  <c r="L448" i="1"/>
  <c r="L232" i="1"/>
  <c r="L788" i="1"/>
  <c r="L211" i="1"/>
  <c r="L746" i="1"/>
  <c r="L221" i="1"/>
  <c r="L311" i="1"/>
  <c r="L228" i="1"/>
  <c r="L713" i="1"/>
  <c r="L970" i="1"/>
  <c r="L263" i="1"/>
  <c r="L177" i="1"/>
  <c r="L864" i="1"/>
  <c r="L181" i="1"/>
  <c r="L1004" i="1"/>
  <c r="L868" i="1"/>
  <c r="L259" i="1"/>
  <c r="L551" i="1"/>
  <c r="L416" i="1"/>
  <c r="L247" i="1"/>
  <c r="L588" i="1"/>
  <c r="L84" i="1"/>
  <c r="L900" i="1"/>
  <c r="L532" i="1"/>
  <c r="L352" i="1"/>
  <c r="L992" i="1"/>
  <c r="L959" i="1"/>
  <c r="L349" i="1"/>
  <c r="L372" i="1"/>
  <c r="L640" i="1"/>
  <c r="L509" i="1"/>
  <c r="L983" i="1"/>
  <c r="L786" i="1"/>
  <c r="L336" i="1"/>
  <c r="L362" i="1"/>
  <c r="L289" i="1"/>
  <c r="L791" i="1"/>
  <c r="L931" i="1"/>
  <c r="L823" i="1"/>
  <c r="L339" i="1"/>
  <c r="L604" i="1"/>
  <c r="L733" i="1"/>
  <c r="L7" i="1"/>
  <c r="L229" i="1"/>
  <c r="L252" i="1"/>
  <c r="L620" i="1"/>
  <c r="L395" i="1"/>
  <c r="L355" i="1"/>
  <c r="L686" i="1"/>
  <c r="L728" i="1"/>
  <c r="L861" i="1"/>
  <c r="L197" i="1"/>
  <c r="L818" i="1"/>
  <c r="L552" i="1"/>
  <c r="L86" i="1"/>
  <c r="L487" i="1"/>
  <c r="L619" i="1"/>
  <c r="L207" i="1"/>
  <c r="L592" i="1"/>
  <c r="L752" i="1"/>
  <c r="L967" i="1"/>
  <c r="L138" i="1"/>
  <c r="L299" i="1"/>
  <c r="L43" i="1"/>
  <c r="L321" i="1"/>
  <c r="L553" i="1"/>
  <c r="L307" i="1"/>
  <c r="L110" i="1"/>
  <c r="L392" i="1"/>
  <c r="L350" i="1"/>
  <c r="L273" i="1"/>
  <c r="L860" i="1"/>
  <c r="L508" i="1"/>
  <c r="L748" i="1"/>
  <c r="L47" i="1"/>
  <c r="L521" i="1"/>
  <c r="L682" i="1"/>
  <c r="L642" i="1"/>
  <c r="L180" i="1"/>
  <c r="L945" i="1"/>
  <c r="L940" i="1"/>
  <c r="L12" i="1"/>
  <c r="L847" i="1"/>
  <c r="L724" i="1"/>
  <c r="L366" i="1"/>
  <c r="L464" i="1"/>
  <c r="L1007" i="1"/>
  <c r="L94" i="1"/>
  <c r="L126" i="1"/>
  <c r="L184" i="1"/>
  <c r="L942" i="1"/>
  <c r="L975" i="1"/>
  <c r="L400" i="1"/>
  <c r="L790" i="1"/>
  <c r="L917" i="1"/>
  <c r="L80" i="1"/>
  <c r="L16" i="1"/>
  <c r="L716" i="1"/>
  <c r="L143" i="1"/>
  <c r="L542" i="1"/>
  <c r="L655" i="1"/>
  <c r="L550" i="1"/>
  <c r="L923" i="1"/>
  <c r="L648" i="1"/>
  <c r="L689" i="1"/>
  <c r="L998" i="1"/>
  <c r="L606" i="1"/>
  <c r="L986" i="1"/>
  <c r="L430" i="1"/>
  <c r="L166" i="1"/>
  <c r="L334" i="1"/>
  <c r="L277" i="1"/>
  <c r="L562" i="1"/>
  <c r="L8" i="1"/>
  <c r="L840" i="1"/>
  <c r="L515" i="1"/>
  <c r="L663" i="1"/>
  <c r="L118" i="1"/>
  <c r="L206" i="1"/>
  <c r="L291" i="1"/>
  <c r="L875" i="1"/>
  <c r="L161" i="1"/>
  <c r="L922" i="1"/>
  <c r="L429" i="1"/>
  <c r="L863" i="1"/>
  <c r="L573" i="1"/>
  <c r="L673" i="1"/>
  <c r="L295" i="1"/>
  <c r="L609" i="1"/>
  <c r="L1002" i="1"/>
  <c r="L694" i="1"/>
  <c r="L979" i="1"/>
  <c r="L335" i="1"/>
  <c r="L199" i="1"/>
  <c r="L293" i="1"/>
  <c r="L381" i="1"/>
  <c r="L27" i="1"/>
  <c r="L651" i="1"/>
  <c r="L816" i="1"/>
  <c r="L837" i="1"/>
  <c r="L534" i="1"/>
  <c r="L808" i="1"/>
  <c r="L134" i="1"/>
  <c r="L706" i="1"/>
  <c r="L489" i="1"/>
  <c r="L741" i="1"/>
  <c r="L179" i="1"/>
  <c r="L140" i="1"/>
  <c r="L421" i="1"/>
  <c r="L797" i="1"/>
  <c r="L314" i="1"/>
  <c r="L669" i="1"/>
  <c r="L135" i="1"/>
  <c r="L401" i="1"/>
  <c r="L288" i="1"/>
  <c r="L520" i="1"/>
  <c r="L317" i="1"/>
  <c r="L633" i="1"/>
  <c r="L880" i="1"/>
  <c r="L881" i="1"/>
  <c r="L457" i="1"/>
  <c r="L990" i="1"/>
  <c r="L383" i="1"/>
  <c r="L656" i="1"/>
  <c r="L466" i="1"/>
  <c r="L449" i="1"/>
  <c r="L320" i="1"/>
  <c r="L566" i="1"/>
  <c r="L536" i="1"/>
  <c r="L722" i="1"/>
  <c r="L474" i="1"/>
  <c r="L647" i="1"/>
  <c r="L811" i="1"/>
  <c r="L507" i="1"/>
  <c r="L703" i="1"/>
  <c r="L6" i="1"/>
  <c r="L581" i="1"/>
  <c r="L66" i="1"/>
  <c r="L772" i="1"/>
  <c r="L158" i="1"/>
  <c r="L541" i="1"/>
  <c r="L56" i="1"/>
  <c r="L444" i="1"/>
  <c r="L631" i="1"/>
  <c r="L438" i="1"/>
  <c r="L72" i="1"/>
  <c r="L903" i="1"/>
  <c r="L500" i="1"/>
  <c r="L601" i="1"/>
  <c r="L912" i="1"/>
  <c r="L224" i="1"/>
  <c r="L359" i="1"/>
  <c r="L153" i="1"/>
  <c r="L262" i="1"/>
  <c r="L103" i="1"/>
  <c r="L117" i="1"/>
  <c r="L253" i="1"/>
  <c r="L26" i="1"/>
  <c r="L891" i="1"/>
  <c r="L477" i="1"/>
  <c r="L768" i="1"/>
  <c r="L472" i="1"/>
  <c r="L482" i="1"/>
  <c r="L105" i="1"/>
  <c r="L486" i="1"/>
  <c r="L300" i="1"/>
  <c r="L338" i="1"/>
  <c r="L906" i="1"/>
  <c r="L237" i="1"/>
  <c r="L342" i="1"/>
  <c r="L969" i="1"/>
  <c r="L106" i="1"/>
  <c r="L776" i="1"/>
  <c r="L10" i="1"/>
  <c r="L265" i="1"/>
  <c r="L495" i="1"/>
  <c r="L877" i="1"/>
  <c r="L679" i="1"/>
  <c r="L697" i="1"/>
  <c r="L1024" i="1"/>
  <c r="L396" i="1"/>
  <c r="L425" i="1"/>
  <c r="L365" i="1"/>
  <c r="L993" i="1"/>
  <c r="L687" i="1"/>
  <c r="L272" i="1"/>
  <c r="L357" i="1"/>
  <c r="L281" i="1"/>
  <c r="L453" i="1"/>
  <c r="L217" i="1"/>
  <c r="L270" i="1"/>
  <c r="L800" i="1"/>
  <c r="L190" i="1"/>
  <c r="L894" i="1"/>
  <c r="L276" i="1"/>
  <c r="L248" i="1"/>
  <c r="L517" i="1"/>
  <c r="L907" i="1"/>
  <c r="L529" i="1"/>
  <c r="L162" i="1"/>
  <c r="L123" i="1"/>
  <c r="L1006" i="1"/>
  <c r="L287" i="1"/>
  <c r="L575" i="1"/>
  <c r="L754" i="1"/>
  <c r="L241" i="1"/>
  <c r="L1022" i="1"/>
  <c r="L1023" i="1"/>
  <c r="L795" i="1"/>
  <c r="L390" i="1"/>
  <c r="L738" i="1"/>
  <c r="L483" i="1"/>
  <c r="L283" i="1"/>
  <c r="L1025" i="1"/>
  <c r="L36" i="1"/>
  <c r="L285" i="1"/>
  <c r="L30" i="1"/>
  <c r="L414" i="1"/>
  <c r="L278" i="1"/>
  <c r="L817" i="1"/>
  <c r="L170" i="1"/>
  <c r="L502" i="1"/>
  <c r="L52" i="1"/>
  <c r="L192" i="1"/>
  <c r="L756" i="1"/>
  <c r="L725" i="1"/>
  <c r="L702" i="1"/>
  <c r="L70" i="1"/>
  <c r="L499" i="1"/>
  <c r="L684" i="1"/>
  <c r="L731" i="1"/>
  <c r="L976" i="1"/>
  <c r="L784" i="1"/>
  <c r="L79" i="1"/>
  <c r="L432" i="1"/>
  <c r="L208" i="1"/>
  <c r="L302" i="1"/>
  <c r="L675" i="1"/>
  <c r="L428" i="1"/>
  <c r="L757" i="1"/>
  <c r="L147" i="1"/>
  <c r="L434" i="1"/>
  <c r="L298" i="1"/>
  <c r="L924" i="1"/>
  <c r="L762" i="1"/>
  <c r="L412" i="1"/>
  <c r="L557" i="1"/>
  <c r="L796" i="1"/>
  <c r="L960" i="1"/>
  <c r="L617" i="1"/>
  <c r="L658" i="1"/>
  <c r="L608" i="1"/>
  <c r="L599" i="1"/>
  <c r="L149" i="1"/>
  <c r="L582" i="1"/>
  <c r="L594" i="1"/>
  <c r="L417" i="1"/>
  <c r="L955" i="1"/>
  <c r="L638" i="1"/>
  <c r="L45" i="1"/>
  <c r="L584" i="1"/>
  <c r="L727" i="1"/>
  <c r="L611" i="1"/>
  <c r="L546" i="1"/>
  <c r="L801" i="1"/>
  <c r="L459" i="1"/>
  <c r="L18" i="1"/>
  <c r="L341" i="1"/>
  <c r="L274" i="1"/>
  <c r="L344" i="1"/>
  <c r="L730" i="1"/>
  <c r="L246" i="1"/>
  <c r="L109" i="1"/>
  <c r="L470" i="1"/>
  <c r="L340" i="1"/>
  <c r="L726" i="1"/>
  <c r="L11" i="1"/>
  <c r="L597" i="1"/>
  <c r="L1012" i="1"/>
  <c r="L743" i="1"/>
  <c r="L825" i="1"/>
  <c r="L645" i="1"/>
  <c r="L533" i="1"/>
  <c r="L256" i="1"/>
  <c r="L452" i="1"/>
  <c r="L954" i="1"/>
  <c r="L275" i="1"/>
  <c r="L318" i="1"/>
  <c r="L699" i="1"/>
  <c r="L919" i="1"/>
  <c r="L83" i="1"/>
  <c r="L231" i="1"/>
  <c r="L882" i="1"/>
  <c r="L962" i="1"/>
  <c r="L927" i="1"/>
  <c r="L368" i="1"/>
  <c r="L92" i="1"/>
  <c r="L244" i="1"/>
  <c r="L154" i="1"/>
  <c r="L855" i="1"/>
  <c r="L830" i="1"/>
  <c r="L580" i="1"/>
  <c r="L41" i="1"/>
  <c r="L458" i="1"/>
  <c r="L155" i="1"/>
  <c r="L908" i="1"/>
  <c r="L548" i="1"/>
  <c r="L610" i="1"/>
  <c r="L492" i="1"/>
  <c r="L271" i="1"/>
  <c r="L822" i="1"/>
  <c r="L242" i="1"/>
  <c r="L966" i="1"/>
  <c r="L382" i="1"/>
  <c r="L841" i="1"/>
  <c r="L527" i="1"/>
  <c r="L122" i="1"/>
  <c r="L437" i="1"/>
  <c r="L160" i="1"/>
  <c r="L467" i="1"/>
  <c r="L447" i="1"/>
  <c r="L563" i="1"/>
  <c r="L333" i="1"/>
  <c r="L124" i="1"/>
  <c r="L21" i="1"/>
  <c r="L137" i="1"/>
  <c r="L866" i="1"/>
  <c r="L711" i="1"/>
  <c r="L87" i="1"/>
  <c r="L598" i="1"/>
  <c r="L595" i="1"/>
  <c r="L238" i="1"/>
  <c r="L773" i="1"/>
  <c r="L929" i="1"/>
  <c r="L783" i="1"/>
  <c r="L100" i="1"/>
  <c r="L104" i="1"/>
  <c r="L68" i="1"/>
  <c r="L473" i="1"/>
  <c r="L528" i="1"/>
  <c r="L567" i="1"/>
  <c r="L933" i="1"/>
  <c r="L503" i="1"/>
  <c r="L456" i="1"/>
  <c r="L397" i="1"/>
  <c r="L215" i="1"/>
  <c r="L403" i="1"/>
  <c r="L885" i="1"/>
  <c r="L950" i="1"/>
  <c r="L329" i="1"/>
  <c r="L133" i="1"/>
  <c r="L485" i="1"/>
  <c r="L435" i="1"/>
  <c r="L46" i="1"/>
  <c r="L888" i="1"/>
  <c r="L671" i="1"/>
  <c r="L330" i="1"/>
  <c r="L579" i="1"/>
  <c r="L630" i="1"/>
  <c r="L750" i="1"/>
  <c r="L779" i="1"/>
  <c r="L793" i="1"/>
  <c r="L996" i="1"/>
  <c r="L198" i="1"/>
  <c r="L812" i="1"/>
  <c r="L564" i="1"/>
  <c r="L893" i="1"/>
  <c r="L947" i="1"/>
  <c r="L858" i="1"/>
  <c r="L952" i="1"/>
  <c r="L593" i="1"/>
  <c r="L142" i="1"/>
  <c r="L554" i="1"/>
  <c r="L760" i="1"/>
  <c r="L851" i="1"/>
  <c r="L386" i="1"/>
  <c r="L883" i="1"/>
  <c r="L367" i="1"/>
  <c r="L657" i="1"/>
  <c r="L769" i="1"/>
  <c r="L204" i="1"/>
  <c r="L1015" i="1"/>
  <c r="L90" i="1"/>
  <c r="L831" i="1"/>
  <c r="L88" i="1"/>
  <c r="L497" i="1"/>
  <c r="L227" i="1"/>
  <c r="L834" i="1"/>
  <c r="L767" i="1"/>
  <c r="L859" i="1"/>
  <c r="L574" i="1"/>
  <c r="L763" i="1"/>
  <c r="L377" i="1"/>
  <c r="L44" i="1"/>
  <c r="L187" i="1"/>
  <c r="L963" i="1"/>
  <c r="L222" i="1"/>
  <c r="L96" i="1"/>
  <c r="L121" i="1"/>
  <c r="L798" i="1"/>
  <c r="L69" i="1"/>
  <c r="L921" i="1"/>
  <c r="L544" i="1"/>
  <c r="L1017" i="1"/>
  <c r="L654" i="1"/>
  <c r="L649" i="1"/>
  <c r="L586" i="1"/>
  <c r="L968" i="1"/>
  <c r="L775" i="1"/>
  <c r="L14" i="1"/>
  <c r="L114" i="1"/>
  <c r="L405" i="1"/>
  <c r="L196" i="1"/>
  <c r="L3" i="1"/>
  <c r="L76" i="1"/>
  <c r="L759" i="1"/>
  <c r="L280" i="1"/>
  <c r="L634" i="1"/>
  <c r="L139" i="1"/>
  <c r="L54" i="1"/>
  <c r="L994" i="1"/>
  <c r="L918" i="1"/>
  <c r="L719" i="1"/>
  <c r="L116" i="1"/>
  <c r="L690" i="1"/>
  <c r="L424" i="1"/>
  <c r="L19" i="1"/>
  <c r="L309" i="1"/>
  <c r="L565" i="1"/>
  <c r="L145" i="1"/>
  <c r="L1016" i="1"/>
  <c r="L539" i="1"/>
  <c r="L461" i="1"/>
  <c r="L530" i="1"/>
  <c r="L667" i="1"/>
  <c r="L1008" i="1"/>
  <c r="L34" i="1"/>
  <c r="L618" i="1"/>
  <c r="L854" i="1"/>
  <c r="L384" i="1"/>
  <c r="L167" i="1"/>
  <c r="L402" i="1"/>
  <c r="L409" i="1"/>
  <c r="L261" i="1"/>
  <c r="L717" i="1"/>
  <c r="L494" i="1"/>
  <c r="L326" i="1"/>
  <c r="L195" i="1"/>
  <c r="L971" i="1"/>
  <c r="L1005" i="1"/>
  <c r="L308" i="1"/>
  <c r="L172" i="1"/>
  <c r="L393" i="1"/>
  <c r="L636" i="1"/>
  <c r="L144" i="1"/>
  <c r="L210" i="1"/>
  <c r="L171" i="1"/>
  <c r="L245" i="1"/>
  <c r="L42" i="1"/>
  <c r="L310" i="1"/>
  <c r="L358" i="1"/>
  <c r="L1009" i="1"/>
  <c r="L235" i="1"/>
  <c r="L623" i="1"/>
  <c r="L982" i="1"/>
  <c r="L108" i="1"/>
  <c r="L827" i="1"/>
  <c r="L112" i="1"/>
  <c r="L561" i="1"/>
  <c r="L130" i="1"/>
  <c r="L897" i="1"/>
  <c r="L292" i="1"/>
  <c r="L129" i="1"/>
  <c r="L939" i="1"/>
  <c r="L89" i="1"/>
  <c r="L471" i="1"/>
  <c r="L761" i="1"/>
  <c r="L543" i="1"/>
  <c r="L835" i="1"/>
  <c r="L328" i="1"/>
  <c r="L614" i="1"/>
  <c r="L661" i="1"/>
  <c r="L807" i="1"/>
  <c r="L781" i="1"/>
  <c r="L872" i="1"/>
  <c r="L925" i="1"/>
  <c r="L498" i="1"/>
  <c r="L296" i="1"/>
  <c r="L780" i="1"/>
  <c r="L856" i="1"/>
  <c r="L824" i="1"/>
  <c r="L765" i="1"/>
  <c r="L51" i="1"/>
  <c r="L755" i="1"/>
  <c r="L670" i="1"/>
  <c r="L451" i="1"/>
  <c r="L71" i="1"/>
  <c r="L60" i="1"/>
  <c r="L136" i="1"/>
  <c r="L705" i="1"/>
  <c r="L571" i="1"/>
  <c r="L626" i="1"/>
  <c r="L587" i="1"/>
  <c r="L650" i="1"/>
  <c r="L853" i="1"/>
  <c r="L607" i="1"/>
  <c r="L737" i="1"/>
  <c r="L873" i="1"/>
  <c r="L23" i="1"/>
  <c r="L455" i="1"/>
  <c r="L420" i="1"/>
  <c r="L82" i="1"/>
  <c r="L85" i="1"/>
  <c r="L99" i="1"/>
  <c r="L932" i="1"/>
  <c r="L845" i="1"/>
  <c r="L268" i="1"/>
  <c r="L113" i="1"/>
  <c r="L558" i="1"/>
  <c r="L323" i="1"/>
  <c r="L898" i="1"/>
  <c r="L1013" i="1"/>
  <c r="L49" i="1"/>
  <c r="L814" i="1"/>
  <c r="L462" i="1"/>
  <c r="L826" i="1"/>
  <c r="L833" i="1"/>
  <c r="L977" i="1"/>
  <c r="L709" i="1"/>
  <c r="L371" i="1"/>
  <c r="L820" i="1"/>
  <c r="L347" i="1"/>
  <c r="L159" i="1"/>
  <c r="L693" i="1"/>
  <c r="L646" i="1"/>
  <c r="L829" i="1"/>
  <c r="L490" i="1"/>
  <c r="L576" i="1"/>
  <c r="L612" i="1"/>
  <c r="L9" i="1"/>
  <c r="L710" i="1"/>
  <c r="L678" i="1"/>
  <c r="L354" i="1"/>
  <c r="L991" i="1"/>
  <c r="L251" i="1"/>
  <c r="L680" i="1"/>
  <c r="L240" i="1"/>
  <c r="L849" i="1"/>
  <c r="L821" i="1"/>
  <c r="L24" i="1"/>
  <c r="L753" i="1"/>
  <c r="L766" i="1"/>
  <c r="L886" i="1"/>
  <c r="L493" i="1"/>
  <c r="L870" i="1"/>
  <c r="L740" i="1"/>
  <c r="L74" i="1"/>
  <c r="L806" i="1"/>
  <c r="L514" i="1"/>
  <c r="L707" i="1"/>
  <c r="L189" i="1"/>
  <c r="L953" i="1"/>
  <c r="L496" i="1"/>
  <c r="L469" i="1"/>
  <c r="L463" i="1"/>
  <c r="L431" i="1"/>
  <c r="L305" i="1"/>
  <c r="L4" i="1"/>
  <c r="L304" i="1"/>
  <c r="L578" i="1"/>
  <c r="L446" i="1"/>
  <c r="L258" i="1"/>
  <c r="L363" i="1"/>
  <c r="L869" i="1"/>
  <c r="L911" i="1"/>
  <c r="L25" i="1"/>
  <c r="L809" i="1"/>
  <c r="L282" i="1"/>
  <c r="L219" i="1"/>
  <c r="L749" i="1"/>
  <c r="L774" i="1"/>
  <c r="L803" i="1"/>
  <c r="L165" i="1"/>
  <c r="L74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<sst xmlns="http://schemas.openxmlformats.org/spreadsheetml/2006/main" count="17" uniqueCount="14">
  <si>
    <t>DATE</t>
  </si>
  <si>
    <t>PRIX</t>
  </si>
  <si>
    <t>LNR1J</t>
  </si>
  <si>
    <t>ALPHA</t>
  </si>
  <si>
    <t>BANDWIDTH</t>
  </si>
  <si>
    <t>Q ALPHA</t>
  </si>
  <si>
    <t>VaR</t>
  </si>
  <si>
    <t>x</t>
  </si>
  <si>
    <t>CDF KDE</t>
  </si>
  <si>
    <t>Alpha</t>
  </si>
  <si>
    <t>N2017-2018</t>
  </si>
  <si>
    <t>Nb Violations</t>
  </si>
  <si>
    <t>Prop. violations</t>
  </si>
  <si>
    <t>% 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</si>
</sst>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 Unicode MS"/>
    </font>
    <font>
      <b/>
      <sz val="11"/>
      <color theme="0"/>
      <name val="Aptos Narrow"/>
      <family val="2"/>
      <scheme val="minor"/>
    </font>
    <font>
      <b/>
      <i/>
      <sz val="36"/>
      <color rgb="FFFF000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i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0" xfId="0" applyFont="1" applyFill="1"/>
    <xf numFmtId="14" fontId="2" fillId="2" borderId="2" xfId="0" applyNumberFormat="1" applyFont="1" applyFill="1" applyBorder="1" applyAlignment="1">
      <alignment vertical="center"/>
    </xf>
    <xf numFmtId="0" fontId="1" fillId="2" borderId="4" xfId="0" applyFont="1" applyFill="1" applyBorder="1"/>
    <xf numFmtId="0" fontId="1" fillId="4" borderId="0" xfId="0" applyFont="1" applyFill="1"/>
    <xf numFmtId="0" fontId="0" fillId="4" borderId="0" xfId="0" applyFill="1"/>
    <xf numFmtId="14" fontId="1" fillId="4" borderId="0" xfId="0" applyNumberFormat="1" applyFont="1" applyFill="1"/>
    <xf numFmtId="0" fontId="0" fillId="5" borderId="6" xfId="0" applyFill="1" applyBorder="1"/>
    <xf numFmtId="0" fontId="0" fillId="5" borderId="7" xfId="0" applyFill="1" applyBorder="1"/>
    <xf numFmtId="0" fontId="0" fillId="6" borderId="6" xfId="0" applyFill="1" applyBorder="1"/>
    <xf numFmtId="0" fontId="0" fillId="6" borderId="7" xfId="0" applyFill="1" applyBorder="1"/>
    <xf numFmtId="0" fontId="0" fillId="3" borderId="7" xfId="0" applyFill="1" applyBorder="1"/>
    <xf numFmtId="14" fontId="2" fillId="7" borderId="2" xfId="0" applyNumberFormat="1" applyFont="1" applyFill="1" applyBorder="1" applyAlignment="1">
      <alignment vertical="center"/>
    </xf>
    <xf numFmtId="0" fontId="1" fillId="7" borderId="4" xfId="0" applyFont="1" applyFill="1" applyBorder="1"/>
    <xf numFmtId="0" fontId="1" fillId="7" borderId="0" xfId="0" applyFont="1" applyFill="1"/>
    <xf numFmtId="14" fontId="5" fillId="8" borderId="3" xfId="0" applyNumberFormat="1" applyFont="1" applyFill="1" applyBorder="1"/>
    <xf numFmtId="0" fontId="5" fillId="8" borderId="1" xfId="0" applyFont="1" applyFill="1" applyBorder="1"/>
    <xf numFmtId="0" fontId="3" fillId="8" borderId="1" xfId="0" applyFont="1" applyFill="1" applyBorder="1"/>
    <xf numFmtId="0" fontId="4" fillId="4" borderId="0" xfId="0" applyFont="1" applyFill="1" applyAlignment="1">
      <alignment vertical="center"/>
    </xf>
    <xf numFmtId="14" fontId="5" fillId="8" borderId="1" xfId="0" applyNumberFormat="1" applyFont="1" applyFill="1" applyBorder="1"/>
    <xf numFmtId="0" fontId="6" fillId="5" borderId="5" xfId="0" applyFont="1" applyFill="1" applyBorder="1"/>
    <xf numFmtId="0" fontId="6" fillId="5" borderId="3" xfId="0" applyFont="1" applyFill="1" applyBorder="1"/>
    <xf numFmtId="0" fontId="6" fillId="6" borderId="5" xfId="0" applyFont="1" applyFill="1" applyBorder="1"/>
    <xf numFmtId="0" fontId="6" fillId="6" borderId="3" xfId="0" applyFont="1" applyFill="1" applyBorder="1"/>
    <xf numFmtId="0" fontId="6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série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Estimation_1516!$G$3:$G$1048576</c:f>
              <c:numCache>
                <c:formatCode>General</c:formatCode>
                <c:ptCount val="10485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8.6500983695228344E-9</c:v>
                </c:pt>
                <c:pt idx="129">
                  <c:v>2.3961457933765258E-7</c:v>
                </c:pt>
                <c:pt idx="130">
                  <c:v>1.0936130010679135E-6</c:v>
                </c:pt>
                <c:pt idx="131">
                  <c:v>2.9410431118128913E-6</c:v>
                </c:pt>
                <c:pt idx="132">
                  <c:v>6.1130691618407516E-6</c:v>
                </c:pt>
                <c:pt idx="133">
                  <c:v>1.0902956821588227E-5</c:v>
                </c:pt>
                <c:pt idx="134">
                  <c:v>1.756740809981218E-5</c:v>
                </c:pt>
                <c:pt idx="135">
                  <c:v>2.6327896261744014E-5</c:v>
                </c:pt>
                <c:pt idx="136">
                  <c:v>3.7372000747240425E-5</c:v>
                </c:pt>
                <c:pt idx="137">
                  <c:v>5.0854742088936997E-5</c:v>
                </c:pt>
                <c:pt idx="138">
                  <c:v>6.6899916830400984E-5</c:v>
                </c:pt>
                <c:pt idx="139">
                  <c:v>8.5601432444282473E-5</c:v>
                </c:pt>
                <c:pt idx="140">
                  <c:v>1.0702464225046879E-4</c:v>
                </c:pt>
                <c:pt idx="141">
                  <c:v>1.3120768033423604E-4</c:v>
                </c:pt>
                <c:pt idx="142">
                  <c:v>1.5816279646440137E-4</c:v>
                </c:pt>
                <c:pt idx="143">
                  <c:v>1.8787769101147686E-4</c:v>
                </c:pt>
                <c:pt idx="144">
                  <c:v>2.203168498658207E-4</c:v>
                </c:pt>
                <c:pt idx="145">
                  <c:v>2.5542287935579065E-4</c:v>
                </c:pt>
                <c:pt idx="146">
                  <c:v>2.9311784116589645E-4</c:v>
                </c:pt>
                <c:pt idx="147">
                  <c:v>3.3330458725495189E-4</c:v>
                </c:pt>
                <c:pt idx="148">
                  <c:v>3.7586809477422841E-4</c:v>
                </c:pt>
                <c:pt idx="149">
                  <c:v>4.2067680098560638E-4</c:v>
                </c:pt>
                <c:pt idx="150">
                  <c:v>4.6758393817972898E-4</c:v>
                </c:pt>
                <c:pt idx="151">
                  <c:v>5.1642886859415383E-4</c:v>
                </c:pt>
                <c:pt idx="152">
                  <c:v>5.6703841933150622E-4</c:v>
                </c:pt>
                <c:pt idx="153">
                  <c:v>6.1922821727763099E-4</c:v>
                </c:pt>
                <c:pt idx="154">
                  <c:v>6.7280402401974587E-4</c:v>
                </c:pt>
                <c:pt idx="155">
                  <c:v>7.2756307076459348E-4</c:v>
                </c:pt>
                <c:pt idx="156">
                  <c:v>7.8329539325659443E-4</c:v>
                </c:pt>
                <c:pt idx="157">
                  <c:v>8.3978516669599935E-4</c:v>
                </c:pt>
                <c:pt idx="158">
                  <c:v>8.9681204065704184E-4</c:v>
                </c:pt>
                <c:pt idx="159">
                  <c:v>9.5415247400609088E-4</c:v>
                </c:pt>
                <c:pt idx="160">
                  <c:v>1.0115810698198035E-3</c:v>
                </c:pt>
                <c:pt idx="161">
                  <c:v>1.0688719103032775E-3</c:v>
                </c:pt>
                <c:pt idx="162">
                  <c:v>1.1257998917082034E-3</c:v>
                </c:pt>
                <c:pt idx="163">
                  <c:v>1.1821420592510185E-3</c:v>
                </c:pt>
                <c:pt idx="164">
                  <c:v>1.2376789420310572E-3</c:v>
                </c:pt>
                <c:pt idx="165">
                  <c:v>1.292195887948706E-3</c:v>
                </c:pt>
                <c:pt idx="166">
                  <c:v>1.3454843986235537E-3</c:v>
                </c:pt>
                <c:pt idx="167">
                  <c:v>1.3973434643125466E-3</c:v>
                </c:pt>
                <c:pt idx="168">
                  <c:v>1.4475808988281384E-3</c:v>
                </c:pt>
                <c:pt idx="169">
                  <c:v>1.4960146744564448E-3</c:v>
                </c:pt>
                <c:pt idx="170">
                  <c:v>1.5424742568753954E-3</c:v>
                </c:pt>
                <c:pt idx="171">
                  <c:v>1.5868019400728855E-3</c:v>
                </c:pt>
                <c:pt idx="172">
                  <c:v>1.6288541812649305E-3</c:v>
                </c:pt>
                <c:pt idx="173">
                  <c:v>1.6685029358138167E-3</c:v>
                </c:pt>
                <c:pt idx="174">
                  <c:v>1.7056369921462544E-3</c:v>
                </c:pt>
                <c:pt idx="175">
                  <c:v>1.7401633066715311E-3</c:v>
                </c:pt>
                <c:pt idx="176">
                  <c:v>1.7720083386996638E-3</c:v>
                </c:pt>
                <c:pt idx="177">
                  <c:v>1.801119385359551E-3</c:v>
                </c:pt>
                <c:pt idx="178">
                  <c:v>1.827465916517126E-3</c:v>
                </c:pt>
                <c:pt idx="179">
                  <c:v>1.8510409096935082E-3</c:v>
                </c:pt>
                <c:pt idx="180">
                  <c:v>1.8718621849831587E-3</c:v>
                </c:pt>
                <c:pt idx="181">
                  <c:v>1.8899737399720291E-3</c:v>
                </c:pt>
                <c:pt idx="182">
                  <c:v>1.9054470846557162E-3</c:v>
                </c:pt>
                <c:pt idx="183">
                  <c:v>1.9183825763576144E-3</c:v>
                </c:pt>
                <c:pt idx="184">
                  <c:v>1.9289107546470691E-3</c:v>
                </c:pt>
                <c:pt idx="185">
                  <c:v>1.9371936762575257E-3</c:v>
                </c:pt>
                <c:pt idx="186">
                  <c:v>1.9434262500046874E-3</c:v>
                </c:pt>
                <c:pt idx="187">
                  <c:v>1.9478375717046645E-3</c:v>
                </c:pt>
                <c:pt idx="188">
                  <c:v>1.9506922590921262E-3</c:v>
                </c:pt>
                <c:pt idx="189">
                  <c:v>1.9522917867384562E-3</c:v>
                </c:pt>
                <c:pt idx="190">
                  <c:v>1.952975820969903E-3</c:v>
                </c:pt>
                <c:pt idx="191">
                  <c:v>1.9531235547857336E-3</c:v>
                </c:pt>
                <c:pt idx="192">
                  <c:v>1.953125E-3</c:v>
                </c:pt>
                <c:pt idx="193">
                  <c:v>1.953125E-3</c:v>
                </c:pt>
                <c:pt idx="194">
                  <c:v>1.953125E-3</c:v>
                </c:pt>
                <c:pt idx="195">
                  <c:v>1.953125E-3</c:v>
                </c:pt>
                <c:pt idx="196">
                  <c:v>1.953125E-3</c:v>
                </c:pt>
                <c:pt idx="197">
                  <c:v>1.953125E-3</c:v>
                </c:pt>
                <c:pt idx="198">
                  <c:v>1.953125E-3</c:v>
                </c:pt>
                <c:pt idx="199">
                  <c:v>1.953125E-3</c:v>
                </c:pt>
                <c:pt idx="200">
                  <c:v>1.953125E-3</c:v>
                </c:pt>
                <c:pt idx="201">
                  <c:v>1.953125E-3</c:v>
                </c:pt>
                <c:pt idx="202">
                  <c:v>1.953125E-3</c:v>
                </c:pt>
                <c:pt idx="203">
                  <c:v>1.953125E-3</c:v>
                </c:pt>
                <c:pt idx="204">
                  <c:v>1.953125E-3</c:v>
                </c:pt>
                <c:pt idx="205">
                  <c:v>1.953125E-3</c:v>
                </c:pt>
                <c:pt idx="206">
                  <c:v>1.953125E-3</c:v>
                </c:pt>
                <c:pt idx="207">
                  <c:v>1.953125E-3</c:v>
                </c:pt>
                <c:pt idx="208">
                  <c:v>1.953125E-3</c:v>
                </c:pt>
                <c:pt idx="209">
                  <c:v>1.953125E-3</c:v>
                </c:pt>
                <c:pt idx="210">
                  <c:v>1.953125E-3</c:v>
                </c:pt>
                <c:pt idx="211">
                  <c:v>1.953125E-3</c:v>
                </c:pt>
                <c:pt idx="212">
                  <c:v>1.953125E-3</c:v>
                </c:pt>
                <c:pt idx="213">
                  <c:v>1.953125E-3</c:v>
                </c:pt>
                <c:pt idx="214">
                  <c:v>1.953125E-3</c:v>
                </c:pt>
                <c:pt idx="215">
                  <c:v>1.953125E-3</c:v>
                </c:pt>
                <c:pt idx="216">
                  <c:v>1.953125E-3</c:v>
                </c:pt>
                <c:pt idx="217">
                  <c:v>1.953125E-3</c:v>
                </c:pt>
                <c:pt idx="218">
                  <c:v>1.953125E-3</c:v>
                </c:pt>
                <c:pt idx="219">
                  <c:v>1.953125E-3</c:v>
                </c:pt>
                <c:pt idx="220">
                  <c:v>1.953125E-3</c:v>
                </c:pt>
                <c:pt idx="221">
                  <c:v>1.953125E-3</c:v>
                </c:pt>
                <c:pt idx="222">
                  <c:v>1.953125E-3</c:v>
                </c:pt>
                <c:pt idx="223">
                  <c:v>1.953125E-3</c:v>
                </c:pt>
                <c:pt idx="224">
                  <c:v>1.953125E-3</c:v>
                </c:pt>
                <c:pt idx="225">
                  <c:v>1.953125E-3</c:v>
                </c:pt>
                <c:pt idx="226">
                  <c:v>1.953125E-3</c:v>
                </c:pt>
                <c:pt idx="227">
                  <c:v>1.953125E-3</c:v>
                </c:pt>
                <c:pt idx="228">
                  <c:v>1.953125E-3</c:v>
                </c:pt>
                <c:pt idx="229">
                  <c:v>1.953125E-3</c:v>
                </c:pt>
                <c:pt idx="230">
                  <c:v>1.953125E-3</c:v>
                </c:pt>
                <c:pt idx="231">
                  <c:v>1.953125E-3</c:v>
                </c:pt>
                <c:pt idx="232">
                  <c:v>1.953125E-3</c:v>
                </c:pt>
                <c:pt idx="233">
                  <c:v>1.953125E-3</c:v>
                </c:pt>
                <c:pt idx="234">
                  <c:v>1.953125E-3</c:v>
                </c:pt>
                <c:pt idx="235">
                  <c:v>1.953125E-3</c:v>
                </c:pt>
                <c:pt idx="236">
                  <c:v>1.953125E-3</c:v>
                </c:pt>
                <c:pt idx="237">
                  <c:v>1.953125E-3</c:v>
                </c:pt>
                <c:pt idx="238">
                  <c:v>1.953125E-3</c:v>
                </c:pt>
                <c:pt idx="239">
                  <c:v>1.953125E-3</c:v>
                </c:pt>
                <c:pt idx="240">
                  <c:v>1.953125E-3</c:v>
                </c:pt>
                <c:pt idx="241">
                  <c:v>1.953125E-3</c:v>
                </c:pt>
                <c:pt idx="242">
                  <c:v>1.953125E-3</c:v>
                </c:pt>
                <c:pt idx="243">
                  <c:v>1.953125E-3</c:v>
                </c:pt>
                <c:pt idx="244">
                  <c:v>1.953125E-3</c:v>
                </c:pt>
                <c:pt idx="245">
                  <c:v>1.953125E-3</c:v>
                </c:pt>
                <c:pt idx="246">
                  <c:v>1.953125E-3</c:v>
                </c:pt>
                <c:pt idx="247">
                  <c:v>1.953125E-3</c:v>
                </c:pt>
                <c:pt idx="248">
                  <c:v>1.953125E-3</c:v>
                </c:pt>
                <c:pt idx="249">
                  <c:v>1.953125E-3</c:v>
                </c:pt>
                <c:pt idx="250">
                  <c:v>1.953125E-3</c:v>
                </c:pt>
                <c:pt idx="251">
                  <c:v>1.953125E-3</c:v>
                </c:pt>
                <c:pt idx="252">
                  <c:v>1.953125E-3</c:v>
                </c:pt>
                <c:pt idx="253">
                  <c:v>1.953125E-3</c:v>
                </c:pt>
                <c:pt idx="254">
                  <c:v>1.953125E-3</c:v>
                </c:pt>
                <c:pt idx="255">
                  <c:v>1.953125E-3</c:v>
                </c:pt>
                <c:pt idx="256">
                  <c:v>1.953125E-3</c:v>
                </c:pt>
                <c:pt idx="257">
                  <c:v>1.953125E-3</c:v>
                </c:pt>
                <c:pt idx="258">
                  <c:v>1.953125E-3</c:v>
                </c:pt>
                <c:pt idx="259">
                  <c:v>1.953125E-3</c:v>
                </c:pt>
                <c:pt idx="260">
                  <c:v>1.953125E-3</c:v>
                </c:pt>
                <c:pt idx="261">
                  <c:v>1.953125E-3</c:v>
                </c:pt>
                <c:pt idx="262">
                  <c:v>1.953125E-3</c:v>
                </c:pt>
                <c:pt idx="263">
                  <c:v>1.953125E-3</c:v>
                </c:pt>
                <c:pt idx="264">
                  <c:v>1.953125E-3</c:v>
                </c:pt>
                <c:pt idx="265">
                  <c:v>1.953125E-3</c:v>
                </c:pt>
                <c:pt idx="266">
                  <c:v>1.953125E-3</c:v>
                </c:pt>
                <c:pt idx="267">
                  <c:v>1.953125E-3</c:v>
                </c:pt>
                <c:pt idx="268">
                  <c:v>1.953125E-3</c:v>
                </c:pt>
                <c:pt idx="269">
                  <c:v>1.953125E-3</c:v>
                </c:pt>
                <c:pt idx="270">
                  <c:v>1.953125E-3</c:v>
                </c:pt>
                <c:pt idx="271">
                  <c:v>1.953125E-3</c:v>
                </c:pt>
                <c:pt idx="272">
                  <c:v>1.953125E-3</c:v>
                </c:pt>
                <c:pt idx="273">
                  <c:v>1.953125E-3</c:v>
                </c:pt>
                <c:pt idx="274">
                  <c:v>1.953125E-3</c:v>
                </c:pt>
                <c:pt idx="275">
                  <c:v>1.953125E-3</c:v>
                </c:pt>
                <c:pt idx="276">
                  <c:v>1.953125E-3</c:v>
                </c:pt>
                <c:pt idx="277">
                  <c:v>1.953125E-3</c:v>
                </c:pt>
                <c:pt idx="278">
                  <c:v>1.953125E-3</c:v>
                </c:pt>
                <c:pt idx="279">
                  <c:v>1.953125E-3</c:v>
                </c:pt>
                <c:pt idx="280">
                  <c:v>1.953125E-3</c:v>
                </c:pt>
                <c:pt idx="281">
                  <c:v>1.953125E-3</c:v>
                </c:pt>
                <c:pt idx="282">
                  <c:v>1.953125E-3</c:v>
                </c:pt>
                <c:pt idx="283">
                  <c:v>1.953125E-3</c:v>
                </c:pt>
                <c:pt idx="284">
                  <c:v>1.953125E-3</c:v>
                </c:pt>
                <c:pt idx="285">
                  <c:v>1.953125E-3</c:v>
                </c:pt>
                <c:pt idx="286">
                  <c:v>1.953125E-3</c:v>
                </c:pt>
                <c:pt idx="287">
                  <c:v>1.953125E-3</c:v>
                </c:pt>
                <c:pt idx="288">
                  <c:v>1.953125E-3</c:v>
                </c:pt>
                <c:pt idx="289">
                  <c:v>1.953125E-3</c:v>
                </c:pt>
                <c:pt idx="290">
                  <c:v>1.953125E-3</c:v>
                </c:pt>
                <c:pt idx="291">
                  <c:v>1.953125E-3</c:v>
                </c:pt>
                <c:pt idx="292">
                  <c:v>1.953125E-3</c:v>
                </c:pt>
                <c:pt idx="293">
                  <c:v>1.953125E-3</c:v>
                </c:pt>
                <c:pt idx="294">
                  <c:v>1.953125E-3</c:v>
                </c:pt>
                <c:pt idx="295">
                  <c:v>1.953125E-3</c:v>
                </c:pt>
                <c:pt idx="296">
                  <c:v>1.953125E-3</c:v>
                </c:pt>
                <c:pt idx="297">
                  <c:v>1.953125E-3</c:v>
                </c:pt>
                <c:pt idx="298">
                  <c:v>1.953125E-3</c:v>
                </c:pt>
                <c:pt idx="299">
                  <c:v>1.953125E-3</c:v>
                </c:pt>
                <c:pt idx="300">
                  <c:v>1.953125E-3</c:v>
                </c:pt>
                <c:pt idx="301">
                  <c:v>1.953125E-3</c:v>
                </c:pt>
                <c:pt idx="302">
                  <c:v>1.953125E-3</c:v>
                </c:pt>
                <c:pt idx="303">
                  <c:v>1.953125E-3</c:v>
                </c:pt>
                <c:pt idx="304">
                  <c:v>1.953125E-3</c:v>
                </c:pt>
                <c:pt idx="305">
                  <c:v>1.953125E-3</c:v>
                </c:pt>
                <c:pt idx="306">
                  <c:v>1.953125E-3</c:v>
                </c:pt>
                <c:pt idx="307">
                  <c:v>1.953125E-3</c:v>
                </c:pt>
                <c:pt idx="308">
                  <c:v>1.953125E-3</c:v>
                </c:pt>
                <c:pt idx="309">
                  <c:v>1.953125E-3</c:v>
                </c:pt>
                <c:pt idx="310">
                  <c:v>1.953125E-3</c:v>
                </c:pt>
                <c:pt idx="311">
                  <c:v>1.953125E-3</c:v>
                </c:pt>
                <c:pt idx="312">
                  <c:v>1.953125E-3</c:v>
                </c:pt>
                <c:pt idx="313">
                  <c:v>1.953125E-3</c:v>
                </c:pt>
                <c:pt idx="314">
                  <c:v>1.953125E-3</c:v>
                </c:pt>
                <c:pt idx="315">
                  <c:v>1.953125E-3</c:v>
                </c:pt>
                <c:pt idx="316">
                  <c:v>1.953125E-3</c:v>
                </c:pt>
                <c:pt idx="317">
                  <c:v>1.953125E-3</c:v>
                </c:pt>
                <c:pt idx="318">
                  <c:v>1.953125E-3</c:v>
                </c:pt>
                <c:pt idx="319">
                  <c:v>1.953125E-3</c:v>
                </c:pt>
                <c:pt idx="320">
                  <c:v>1.953125E-3</c:v>
                </c:pt>
                <c:pt idx="321">
                  <c:v>1.953125E-3</c:v>
                </c:pt>
                <c:pt idx="322">
                  <c:v>1.953125E-3</c:v>
                </c:pt>
                <c:pt idx="323">
                  <c:v>1.953125E-3</c:v>
                </c:pt>
                <c:pt idx="324">
                  <c:v>1.953125E-3</c:v>
                </c:pt>
                <c:pt idx="325">
                  <c:v>1.953125E-3</c:v>
                </c:pt>
                <c:pt idx="326">
                  <c:v>1.953125E-3</c:v>
                </c:pt>
                <c:pt idx="327">
                  <c:v>1.953125E-3</c:v>
                </c:pt>
                <c:pt idx="328">
                  <c:v>1.953125E-3</c:v>
                </c:pt>
                <c:pt idx="329">
                  <c:v>1.953125E-3</c:v>
                </c:pt>
                <c:pt idx="330">
                  <c:v>1.953125E-3</c:v>
                </c:pt>
                <c:pt idx="331">
                  <c:v>1.953125E-3</c:v>
                </c:pt>
                <c:pt idx="332">
                  <c:v>1.953125E-3</c:v>
                </c:pt>
                <c:pt idx="333">
                  <c:v>1.953125E-3</c:v>
                </c:pt>
                <c:pt idx="334">
                  <c:v>1.953125E-3</c:v>
                </c:pt>
                <c:pt idx="335">
                  <c:v>1.953125E-3</c:v>
                </c:pt>
                <c:pt idx="336">
                  <c:v>1.953125E-3</c:v>
                </c:pt>
                <c:pt idx="337">
                  <c:v>1.953125E-3</c:v>
                </c:pt>
                <c:pt idx="338">
                  <c:v>1.953125E-3</c:v>
                </c:pt>
                <c:pt idx="339">
                  <c:v>1.953125E-3</c:v>
                </c:pt>
                <c:pt idx="340">
                  <c:v>1.953125E-3</c:v>
                </c:pt>
                <c:pt idx="341">
                  <c:v>1.953125E-3</c:v>
                </c:pt>
                <c:pt idx="342">
                  <c:v>1.953125E-3</c:v>
                </c:pt>
                <c:pt idx="343">
                  <c:v>1.953125E-3</c:v>
                </c:pt>
                <c:pt idx="344">
                  <c:v>1.953125E-3</c:v>
                </c:pt>
                <c:pt idx="345">
                  <c:v>1.953125E-3</c:v>
                </c:pt>
                <c:pt idx="346">
                  <c:v>1.953125E-3</c:v>
                </c:pt>
                <c:pt idx="347">
                  <c:v>1.953125E-3</c:v>
                </c:pt>
                <c:pt idx="348">
                  <c:v>1.953125E-3</c:v>
                </c:pt>
                <c:pt idx="349">
                  <c:v>1.953125E-3</c:v>
                </c:pt>
                <c:pt idx="350">
                  <c:v>1.953125E-3</c:v>
                </c:pt>
                <c:pt idx="351">
                  <c:v>1.953125E-3</c:v>
                </c:pt>
                <c:pt idx="352">
                  <c:v>1.953125E-3</c:v>
                </c:pt>
                <c:pt idx="353">
                  <c:v>1.953125E-3</c:v>
                </c:pt>
                <c:pt idx="354">
                  <c:v>1.953125E-3</c:v>
                </c:pt>
                <c:pt idx="355">
                  <c:v>1.953125E-3</c:v>
                </c:pt>
                <c:pt idx="356">
                  <c:v>1.953125E-3</c:v>
                </c:pt>
                <c:pt idx="357">
                  <c:v>1.953125E-3</c:v>
                </c:pt>
                <c:pt idx="358">
                  <c:v>1.953125E-3</c:v>
                </c:pt>
                <c:pt idx="359">
                  <c:v>1.953125E-3</c:v>
                </c:pt>
                <c:pt idx="360">
                  <c:v>1.953125E-3</c:v>
                </c:pt>
                <c:pt idx="361">
                  <c:v>1.953125E-3</c:v>
                </c:pt>
                <c:pt idx="362">
                  <c:v>1.953125E-3</c:v>
                </c:pt>
                <c:pt idx="363">
                  <c:v>1.953125E-3</c:v>
                </c:pt>
                <c:pt idx="364">
                  <c:v>1.953125E-3</c:v>
                </c:pt>
                <c:pt idx="365">
                  <c:v>1.953125E-3</c:v>
                </c:pt>
                <c:pt idx="366">
                  <c:v>1.953125E-3</c:v>
                </c:pt>
                <c:pt idx="367">
                  <c:v>1.953125E-3</c:v>
                </c:pt>
                <c:pt idx="368">
                  <c:v>1.953125E-3</c:v>
                </c:pt>
                <c:pt idx="369">
                  <c:v>1.953125E-3</c:v>
                </c:pt>
                <c:pt idx="370">
                  <c:v>1.953125E-3</c:v>
                </c:pt>
                <c:pt idx="371">
                  <c:v>1.953125E-3</c:v>
                </c:pt>
                <c:pt idx="372">
                  <c:v>1.953125E-3</c:v>
                </c:pt>
                <c:pt idx="373">
                  <c:v>1.953125E-3</c:v>
                </c:pt>
                <c:pt idx="374">
                  <c:v>1.953125E-3</c:v>
                </c:pt>
                <c:pt idx="375">
                  <c:v>1.953125E-3</c:v>
                </c:pt>
                <c:pt idx="376">
                  <c:v>1.953125E-3</c:v>
                </c:pt>
                <c:pt idx="377">
                  <c:v>1.953125E-3</c:v>
                </c:pt>
                <c:pt idx="378">
                  <c:v>1.953125E-3</c:v>
                </c:pt>
                <c:pt idx="379">
                  <c:v>1.953125E-3</c:v>
                </c:pt>
                <c:pt idx="380">
                  <c:v>1.953125E-3</c:v>
                </c:pt>
                <c:pt idx="381">
                  <c:v>1.953125E-3</c:v>
                </c:pt>
                <c:pt idx="382">
                  <c:v>1.953125E-3</c:v>
                </c:pt>
                <c:pt idx="383">
                  <c:v>1.953125E-3</c:v>
                </c:pt>
                <c:pt idx="384">
                  <c:v>1.953125E-3</c:v>
                </c:pt>
                <c:pt idx="385">
                  <c:v>1.953125E-3</c:v>
                </c:pt>
                <c:pt idx="386">
                  <c:v>1.953125E-3</c:v>
                </c:pt>
                <c:pt idx="387">
                  <c:v>1.953125E-3</c:v>
                </c:pt>
                <c:pt idx="388">
                  <c:v>1.953125E-3</c:v>
                </c:pt>
                <c:pt idx="389">
                  <c:v>1.953125E-3</c:v>
                </c:pt>
                <c:pt idx="390">
                  <c:v>1.953125E-3</c:v>
                </c:pt>
                <c:pt idx="391">
                  <c:v>1.953125E-3</c:v>
                </c:pt>
                <c:pt idx="392">
                  <c:v>1.953125E-3</c:v>
                </c:pt>
                <c:pt idx="393">
                  <c:v>1.953125E-3</c:v>
                </c:pt>
                <c:pt idx="394">
                  <c:v>1.953125E-3</c:v>
                </c:pt>
                <c:pt idx="395">
                  <c:v>1.953125E-3</c:v>
                </c:pt>
                <c:pt idx="396">
                  <c:v>1.953125E-3</c:v>
                </c:pt>
                <c:pt idx="397">
                  <c:v>1.953125E-3</c:v>
                </c:pt>
                <c:pt idx="398">
                  <c:v>1.953125E-3</c:v>
                </c:pt>
                <c:pt idx="399">
                  <c:v>1.953125E-3</c:v>
                </c:pt>
                <c:pt idx="400">
                  <c:v>1.953125E-3</c:v>
                </c:pt>
                <c:pt idx="401">
                  <c:v>1.953125E-3</c:v>
                </c:pt>
                <c:pt idx="402">
                  <c:v>1.953125E-3</c:v>
                </c:pt>
                <c:pt idx="403">
                  <c:v>1.953125E-3</c:v>
                </c:pt>
                <c:pt idx="404">
                  <c:v>1.953125E-3</c:v>
                </c:pt>
                <c:pt idx="405">
                  <c:v>1.953125E-3</c:v>
                </c:pt>
                <c:pt idx="406">
                  <c:v>1.953125E-3</c:v>
                </c:pt>
                <c:pt idx="407">
                  <c:v>1.953125E-3</c:v>
                </c:pt>
                <c:pt idx="408">
                  <c:v>1.953125E-3</c:v>
                </c:pt>
                <c:pt idx="409">
                  <c:v>1.953125E-3</c:v>
                </c:pt>
                <c:pt idx="410">
                  <c:v>1.953125E-3</c:v>
                </c:pt>
                <c:pt idx="411">
                  <c:v>1.953125E-3</c:v>
                </c:pt>
                <c:pt idx="412">
                  <c:v>1.953125E-3</c:v>
                </c:pt>
                <c:pt idx="413">
                  <c:v>1.953125E-3</c:v>
                </c:pt>
                <c:pt idx="414">
                  <c:v>1.953125E-3</c:v>
                </c:pt>
                <c:pt idx="415">
                  <c:v>1.953125E-3</c:v>
                </c:pt>
                <c:pt idx="416">
                  <c:v>1.953125E-3</c:v>
                </c:pt>
                <c:pt idx="417">
                  <c:v>1.953125E-3</c:v>
                </c:pt>
                <c:pt idx="418">
                  <c:v>1.953125E-3</c:v>
                </c:pt>
                <c:pt idx="419">
                  <c:v>1.953125E-3</c:v>
                </c:pt>
                <c:pt idx="420">
                  <c:v>1.953125E-3</c:v>
                </c:pt>
                <c:pt idx="421">
                  <c:v>1.953125E-3</c:v>
                </c:pt>
                <c:pt idx="422">
                  <c:v>1.953125E-3</c:v>
                </c:pt>
                <c:pt idx="423">
                  <c:v>1.953125E-3</c:v>
                </c:pt>
                <c:pt idx="424">
                  <c:v>1.953125E-3</c:v>
                </c:pt>
                <c:pt idx="425">
                  <c:v>1.953125E-3</c:v>
                </c:pt>
                <c:pt idx="426">
                  <c:v>1.953125E-3</c:v>
                </c:pt>
                <c:pt idx="427">
                  <c:v>1.953125E-3</c:v>
                </c:pt>
                <c:pt idx="428">
                  <c:v>1.953125E-3</c:v>
                </c:pt>
                <c:pt idx="429">
                  <c:v>1.953125E-3</c:v>
                </c:pt>
                <c:pt idx="430">
                  <c:v>1.953125E-3</c:v>
                </c:pt>
                <c:pt idx="431">
                  <c:v>1.953125E-3</c:v>
                </c:pt>
                <c:pt idx="432">
                  <c:v>1.953125E-3</c:v>
                </c:pt>
                <c:pt idx="433">
                  <c:v>1.953125E-3</c:v>
                </c:pt>
                <c:pt idx="434">
                  <c:v>1.953125E-3</c:v>
                </c:pt>
                <c:pt idx="435">
                  <c:v>1.953125E-3</c:v>
                </c:pt>
                <c:pt idx="436">
                  <c:v>1.953125E-3</c:v>
                </c:pt>
                <c:pt idx="437">
                  <c:v>1.953125E-3</c:v>
                </c:pt>
                <c:pt idx="438">
                  <c:v>1.953125E-3</c:v>
                </c:pt>
                <c:pt idx="439">
                  <c:v>1.953125E-3</c:v>
                </c:pt>
                <c:pt idx="440">
                  <c:v>1.953125E-3</c:v>
                </c:pt>
                <c:pt idx="441">
                  <c:v>1.953125E-3</c:v>
                </c:pt>
                <c:pt idx="442">
                  <c:v>1.953125E-3</c:v>
                </c:pt>
                <c:pt idx="443">
                  <c:v>1.953125E-3</c:v>
                </c:pt>
                <c:pt idx="444">
                  <c:v>1.953125E-3</c:v>
                </c:pt>
                <c:pt idx="445">
                  <c:v>1.953125E-3</c:v>
                </c:pt>
                <c:pt idx="446">
                  <c:v>1.953125E-3</c:v>
                </c:pt>
                <c:pt idx="447">
                  <c:v>1.953125E-3</c:v>
                </c:pt>
                <c:pt idx="448">
                  <c:v>1.953125E-3</c:v>
                </c:pt>
                <c:pt idx="449">
                  <c:v>1.953125E-3</c:v>
                </c:pt>
                <c:pt idx="450">
                  <c:v>1.953125E-3</c:v>
                </c:pt>
                <c:pt idx="451">
                  <c:v>1.953125E-3</c:v>
                </c:pt>
                <c:pt idx="452">
                  <c:v>1.953125E-3</c:v>
                </c:pt>
                <c:pt idx="453">
                  <c:v>1.953125E-3</c:v>
                </c:pt>
                <c:pt idx="454">
                  <c:v>1.953125E-3</c:v>
                </c:pt>
                <c:pt idx="455">
                  <c:v>1.953125E-3</c:v>
                </c:pt>
                <c:pt idx="456">
                  <c:v>1.953125E-3</c:v>
                </c:pt>
                <c:pt idx="457">
                  <c:v>1.953125E-3</c:v>
                </c:pt>
                <c:pt idx="458">
                  <c:v>1.953125E-3</c:v>
                </c:pt>
                <c:pt idx="459">
                  <c:v>1.953125E-3</c:v>
                </c:pt>
                <c:pt idx="460">
                  <c:v>1.953125E-3</c:v>
                </c:pt>
                <c:pt idx="461">
                  <c:v>1.953125E-3</c:v>
                </c:pt>
                <c:pt idx="462">
                  <c:v>1.953125E-3</c:v>
                </c:pt>
                <c:pt idx="463">
                  <c:v>1.953125E-3</c:v>
                </c:pt>
                <c:pt idx="464">
                  <c:v>1.953125E-3</c:v>
                </c:pt>
                <c:pt idx="465">
                  <c:v>1.953125E-3</c:v>
                </c:pt>
                <c:pt idx="466">
                  <c:v>1.953125E-3</c:v>
                </c:pt>
                <c:pt idx="467">
                  <c:v>1.953125E-3</c:v>
                </c:pt>
                <c:pt idx="468">
                  <c:v>1.953125E-3</c:v>
                </c:pt>
                <c:pt idx="469">
                  <c:v>1.953125E-3</c:v>
                </c:pt>
                <c:pt idx="470">
                  <c:v>1.953125E-3</c:v>
                </c:pt>
                <c:pt idx="471">
                  <c:v>1.953125E-3</c:v>
                </c:pt>
                <c:pt idx="472">
                  <c:v>1.953125E-3</c:v>
                </c:pt>
                <c:pt idx="473">
                  <c:v>1.953125E-3</c:v>
                </c:pt>
                <c:pt idx="474">
                  <c:v>1.953125E-3</c:v>
                </c:pt>
                <c:pt idx="475">
                  <c:v>1.953125E-3</c:v>
                </c:pt>
                <c:pt idx="476">
                  <c:v>1.953125E-3</c:v>
                </c:pt>
                <c:pt idx="477">
                  <c:v>1.953125E-3</c:v>
                </c:pt>
                <c:pt idx="478">
                  <c:v>1.953125E-3</c:v>
                </c:pt>
                <c:pt idx="479">
                  <c:v>1.953125E-3</c:v>
                </c:pt>
                <c:pt idx="480">
                  <c:v>1.953125E-3</c:v>
                </c:pt>
                <c:pt idx="481">
                  <c:v>1.953125E-3</c:v>
                </c:pt>
                <c:pt idx="482">
                  <c:v>1.953125E-3</c:v>
                </c:pt>
                <c:pt idx="483">
                  <c:v>1.953125E-3</c:v>
                </c:pt>
                <c:pt idx="484">
                  <c:v>1.953125E-3</c:v>
                </c:pt>
                <c:pt idx="485">
                  <c:v>1.953125E-3</c:v>
                </c:pt>
                <c:pt idx="486">
                  <c:v>1.953125E-3</c:v>
                </c:pt>
                <c:pt idx="487">
                  <c:v>1.953125E-3</c:v>
                </c:pt>
                <c:pt idx="488">
                  <c:v>1.953125E-3</c:v>
                </c:pt>
                <c:pt idx="489">
                  <c:v>1.953125E-3</c:v>
                </c:pt>
                <c:pt idx="490">
                  <c:v>1.953125E-3</c:v>
                </c:pt>
                <c:pt idx="491">
                  <c:v>1.953125E-3</c:v>
                </c:pt>
                <c:pt idx="492">
                  <c:v>1.953125E-3</c:v>
                </c:pt>
                <c:pt idx="493">
                  <c:v>1.953125E-3</c:v>
                </c:pt>
                <c:pt idx="494">
                  <c:v>1.953125E-3</c:v>
                </c:pt>
                <c:pt idx="495">
                  <c:v>1.953125E-3</c:v>
                </c:pt>
                <c:pt idx="496">
                  <c:v>1.953125E-3</c:v>
                </c:pt>
                <c:pt idx="497">
                  <c:v>1.953125E-3</c:v>
                </c:pt>
                <c:pt idx="498">
                  <c:v>1.953125E-3</c:v>
                </c:pt>
                <c:pt idx="499">
                  <c:v>1.953125E-3</c:v>
                </c:pt>
                <c:pt idx="500">
                  <c:v>1.953125E-3</c:v>
                </c:pt>
                <c:pt idx="501">
                  <c:v>1.953125E-3</c:v>
                </c:pt>
                <c:pt idx="502">
                  <c:v>1.953125E-3</c:v>
                </c:pt>
                <c:pt idx="503">
                  <c:v>1.953125E-3</c:v>
                </c:pt>
                <c:pt idx="504">
                  <c:v>1.953125E-3</c:v>
                </c:pt>
                <c:pt idx="505">
                  <c:v>1.953125E-3</c:v>
                </c:pt>
                <c:pt idx="506">
                  <c:v>1.953125E-3</c:v>
                </c:pt>
                <c:pt idx="507">
                  <c:v>1.953125E-3</c:v>
                </c:pt>
                <c:pt idx="508">
                  <c:v>1.953125E-3</c:v>
                </c:pt>
                <c:pt idx="509">
                  <c:v>1.953125E-3</c:v>
                </c:pt>
                <c:pt idx="510">
                  <c:v>1.953125E-3</c:v>
                </c:pt>
                <c:pt idx="511">
                  <c:v>1.953125E-3</c:v>
                </c:pt>
                <c:pt idx="512">
                  <c:v>1.953125E-3</c:v>
                </c:pt>
                <c:pt idx="513">
                  <c:v>1.953125E-3</c:v>
                </c:pt>
                <c:pt idx="514">
                  <c:v>1.953125E-3</c:v>
                </c:pt>
                <c:pt idx="515">
                  <c:v>1.953125E-3</c:v>
                </c:pt>
                <c:pt idx="516">
                  <c:v>1.953125E-3</c:v>
                </c:pt>
                <c:pt idx="517">
                  <c:v>1.953125E-3</c:v>
                </c:pt>
                <c:pt idx="518">
                  <c:v>1.953125E-3</c:v>
                </c:pt>
                <c:pt idx="519">
                  <c:v>1.953125E-3</c:v>
                </c:pt>
                <c:pt idx="520">
                  <c:v>1.953125E-3</c:v>
                </c:pt>
                <c:pt idx="521">
                  <c:v>1.953125E-3</c:v>
                </c:pt>
                <c:pt idx="522">
                  <c:v>1.953125E-3</c:v>
                </c:pt>
                <c:pt idx="523">
                  <c:v>1.953125E-3</c:v>
                </c:pt>
                <c:pt idx="524">
                  <c:v>1.953125E-3</c:v>
                </c:pt>
                <c:pt idx="525">
                  <c:v>1.953125E-3</c:v>
                </c:pt>
                <c:pt idx="526">
                  <c:v>1.953125E-3</c:v>
                </c:pt>
                <c:pt idx="527">
                  <c:v>1.953125E-3</c:v>
                </c:pt>
                <c:pt idx="528">
                  <c:v>1.953125E-3</c:v>
                </c:pt>
                <c:pt idx="529">
                  <c:v>1.953125E-3</c:v>
                </c:pt>
                <c:pt idx="530">
                  <c:v>1.953125E-3</c:v>
                </c:pt>
                <c:pt idx="531">
                  <c:v>1.953125E-3</c:v>
                </c:pt>
                <c:pt idx="532">
                  <c:v>1.953125E-3</c:v>
                </c:pt>
                <c:pt idx="533">
                  <c:v>1.953125E-3</c:v>
                </c:pt>
                <c:pt idx="534">
                  <c:v>1.953125E-3</c:v>
                </c:pt>
                <c:pt idx="535">
                  <c:v>1.953125E-3</c:v>
                </c:pt>
                <c:pt idx="536">
                  <c:v>1.953125E-3</c:v>
                </c:pt>
                <c:pt idx="537">
                  <c:v>1.953125E-3</c:v>
                </c:pt>
                <c:pt idx="538">
                  <c:v>1.953125E-3</c:v>
                </c:pt>
                <c:pt idx="539">
                  <c:v>1.953125E-3</c:v>
                </c:pt>
                <c:pt idx="540">
                  <c:v>1.953125E-3</c:v>
                </c:pt>
                <c:pt idx="541">
                  <c:v>1.953125E-3</c:v>
                </c:pt>
                <c:pt idx="542">
                  <c:v>1.953125E-3</c:v>
                </c:pt>
                <c:pt idx="543">
                  <c:v>1.953125E-3</c:v>
                </c:pt>
                <c:pt idx="544">
                  <c:v>1.953125E-3</c:v>
                </c:pt>
                <c:pt idx="545">
                  <c:v>1.953125E-3</c:v>
                </c:pt>
                <c:pt idx="546">
                  <c:v>1.953125E-3</c:v>
                </c:pt>
                <c:pt idx="547">
                  <c:v>1.953125E-3</c:v>
                </c:pt>
                <c:pt idx="548">
                  <c:v>1.953125E-3</c:v>
                </c:pt>
                <c:pt idx="549">
                  <c:v>1.953125E-3</c:v>
                </c:pt>
                <c:pt idx="550">
                  <c:v>1.953125E-3</c:v>
                </c:pt>
                <c:pt idx="551">
                  <c:v>1.953125E-3</c:v>
                </c:pt>
                <c:pt idx="552">
                  <c:v>1.953125E-3</c:v>
                </c:pt>
                <c:pt idx="553">
                  <c:v>1.953125E-3</c:v>
                </c:pt>
                <c:pt idx="554">
                  <c:v>1.953125E-3</c:v>
                </c:pt>
                <c:pt idx="555">
                  <c:v>1.953125E-3</c:v>
                </c:pt>
                <c:pt idx="556">
                  <c:v>1.953125E-3</c:v>
                </c:pt>
                <c:pt idx="557">
                  <c:v>1.953125E-3</c:v>
                </c:pt>
                <c:pt idx="558">
                  <c:v>1.953125E-3</c:v>
                </c:pt>
                <c:pt idx="559">
                  <c:v>1.953125E-3</c:v>
                </c:pt>
                <c:pt idx="560">
                  <c:v>1.953125E-3</c:v>
                </c:pt>
                <c:pt idx="561">
                  <c:v>1.953125E-3</c:v>
                </c:pt>
                <c:pt idx="562">
                  <c:v>1.953125E-3</c:v>
                </c:pt>
                <c:pt idx="563">
                  <c:v>1.953125E-3</c:v>
                </c:pt>
                <c:pt idx="564">
                  <c:v>1.953125E-3</c:v>
                </c:pt>
                <c:pt idx="565">
                  <c:v>1.953125E-3</c:v>
                </c:pt>
                <c:pt idx="566">
                  <c:v>1.953125E-3</c:v>
                </c:pt>
                <c:pt idx="567">
                  <c:v>1.953125E-3</c:v>
                </c:pt>
                <c:pt idx="568">
                  <c:v>1.953125E-3</c:v>
                </c:pt>
                <c:pt idx="569">
                  <c:v>1.953125E-3</c:v>
                </c:pt>
                <c:pt idx="570">
                  <c:v>1.953125E-3</c:v>
                </c:pt>
                <c:pt idx="571">
                  <c:v>1.953125E-3</c:v>
                </c:pt>
                <c:pt idx="572">
                  <c:v>1.953125E-3</c:v>
                </c:pt>
                <c:pt idx="573">
                  <c:v>1.953125E-3</c:v>
                </c:pt>
                <c:pt idx="574">
                  <c:v>1.953125E-3</c:v>
                </c:pt>
                <c:pt idx="575">
                  <c:v>1.953125E-3</c:v>
                </c:pt>
                <c:pt idx="576">
                  <c:v>1.953125E-3</c:v>
                </c:pt>
                <c:pt idx="577">
                  <c:v>1.953125E-3</c:v>
                </c:pt>
                <c:pt idx="578">
                  <c:v>1.953125E-3</c:v>
                </c:pt>
                <c:pt idx="579">
                  <c:v>1.953125E-3</c:v>
                </c:pt>
                <c:pt idx="580">
                  <c:v>1.953125E-3</c:v>
                </c:pt>
                <c:pt idx="581">
                  <c:v>1.953125E-3</c:v>
                </c:pt>
                <c:pt idx="582">
                  <c:v>1.953125E-3</c:v>
                </c:pt>
                <c:pt idx="583">
                  <c:v>1.953125E-3</c:v>
                </c:pt>
                <c:pt idx="584">
                  <c:v>1.953125E-3</c:v>
                </c:pt>
                <c:pt idx="585">
                  <c:v>1.953125E-3</c:v>
                </c:pt>
                <c:pt idx="586">
                  <c:v>1.953125E-3</c:v>
                </c:pt>
                <c:pt idx="587">
                  <c:v>1.953125E-3</c:v>
                </c:pt>
                <c:pt idx="588">
                  <c:v>1.953125E-3</c:v>
                </c:pt>
                <c:pt idx="589">
                  <c:v>1.953125E-3</c:v>
                </c:pt>
                <c:pt idx="590">
                  <c:v>1.953125E-3</c:v>
                </c:pt>
                <c:pt idx="591">
                  <c:v>1.953125E-3</c:v>
                </c:pt>
                <c:pt idx="592">
                  <c:v>1.953125E-3</c:v>
                </c:pt>
                <c:pt idx="593">
                  <c:v>1.953125E-3</c:v>
                </c:pt>
                <c:pt idx="594">
                  <c:v>1.953125E-3</c:v>
                </c:pt>
                <c:pt idx="595">
                  <c:v>1.953125E-3</c:v>
                </c:pt>
                <c:pt idx="596">
                  <c:v>1.953125E-3</c:v>
                </c:pt>
                <c:pt idx="597">
                  <c:v>1.953125E-3</c:v>
                </c:pt>
                <c:pt idx="598">
                  <c:v>1.953125E-3</c:v>
                </c:pt>
                <c:pt idx="599">
                  <c:v>1.953125E-3</c:v>
                </c:pt>
                <c:pt idx="600">
                  <c:v>1.953125E-3</c:v>
                </c:pt>
                <c:pt idx="601">
                  <c:v>1.953125E-3</c:v>
                </c:pt>
                <c:pt idx="602">
                  <c:v>1.953125E-3</c:v>
                </c:pt>
                <c:pt idx="603">
                  <c:v>1.953125E-3</c:v>
                </c:pt>
                <c:pt idx="604">
                  <c:v>1.953125E-3</c:v>
                </c:pt>
                <c:pt idx="605">
                  <c:v>1.953125E-3</c:v>
                </c:pt>
                <c:pt idx="606">
                  <c:v>1.953125E-3</c:v>
                </c:pt>
                <c:pt idx="607">
                  <c:v>1.953125E-3</c:v>
                </c:pt>
                <c:pt idx="608">
                  <c:v>1.953125E-3</c:v>
                </c:pt>
                <c:pt idx="609">
                  <c:v>1.953125E-3</c:v>
                </c:pt>
                <c:pt idx="610">
                  <c:v>1.953125E-3</c:v>
                </c:pt>
                <c:pt idx="611">
                  <c:v>1.953125E-3</c:v>
                </c:pt>
                <c:pt idx="612">
                  <c:v>1.953125E-3</c:v>
                </c:pt>
                <c:pt idx="613">
                  <c:v>1.953125E-3</c:v>
                </c:pt>
                <c:pt idx="614">
                  <c:v>1.953125E-3</c:v>
                </c:pt>
                <c:pt idx="615">
                  <c:v>1.953125E-3</c:v>
                </c:pt>
                <c:pt idx="616">
                  <c:v>1.953125E-3</c:v>
                </c:pt>
                <c:pt idx="617">
                  <c:v>1.953125E-3</c:v>
                </c:pt>
                <c:pt idx="618">
                  <c:v>1.953125E-3</c:v>
                </c:pt>
                <c:pt idx="619">
                  <c:v>1.953125E-3</c:v>
                </c:pt>
                <c:pt idx="620">
                  <c:v>1.953125E-3</c:v>
                </c:pt>
                <c:pt idx="621">
                  <c:v>1.953125E-3</c:v>
                </c:pt>
                <c:pt idx="622">
                  <c:v>1.953125E-3</c:v>
                </c:pt>
                <c:pt idx="623">
                  <c:v>1.953125E-3</c:v>
                </c:pt>
                <c:pt idx="624">
                  <c:v>1.953125E-3</c:v>
                </c:pt>
                <c:pt idx="625">
                  <c:v>1.953125E-3</c:v>
                </c:pt>
                <c:pt idx="626">
                  <c:v>1.953125E-3</c:v>
                </c:pt>
                <c:pt idx="627">
                  <c:v>1.953125E-3</c:v>
                </c:pt>
                <c:pt idx="628">
                  <c:v>1.953125E-3</c:v>
                </c:pt>
                <c:pt idx="629">
                  <c:v>1.953125E-3</c:v>
                </c:pt>
                <c:pt idx="630">
                  <c:v>1.953125E-3</c:v>
                </c:pt>
                <c:pt idx="631">
                  <c:v>1.953125E-3</c:v>
                </c:pt>
                <c:pt idx="632">
                  <c:v>1.953125E-3</c:v>
                </c:pt>
                <c:pt idx="633">
                  <c:v>1.9531258104912527E-3</c:v>
                </c:pt>
                <c:pt idx="634">
                  <c:v>1.9532583128279743E-3</c:v>
                </c:pt>
                <c:pt idx="635">
                  <c:v>1.9539082526186715E-3</c:v>
                </c:pt>
                <c:pt idx="636">
                  <c:v>1.9554567180700192E-3</c:v>
                </c:pt>
                <c:pt idx="637">
                  <c:v>1.958245207821693E-3</c:v>
                </c:pt>
                <c:pt idx="638">
                  <c:v>1.9625769658645231E-3</c:v>
                </c:pt>
                <c:pt idx="639">
                  <c:v>1.9687183164586466E-3</c:v>
                </c:pt>
                <c:pt idx="640">
                  <c:v>1.9768999990516607E-3</c:v>
                </c:pt>
                <c:pt idx="641">
                  <c:v>1.9873185031967742E-3</c:v>
                </c:pt>
                <c:pt idx="642">
                  <c:v>2.000137403470961E-3</c:v>
                </c:pt>
                <c:pt idx="643">
                  <c:v>2.0154886943931118E-3</c:v>
                </c:pt>
                <c:pt idx="644">
                  <c:v>2.033474125342188E-3</c:v>
                </c:pt>
                <c:pt idx="645">
                  <c:v>2.0541665354753729E-3</c:v>
                </c:pt>
                <c:pt idx="646">
                  <c:v>2.0776111886462241E-3</c:v>
                </c:pt>
                <c:pt idx="647">
                  <c:v>2.103827108322829E-3</c:v>
                </c:pt>
                <c:pt idx="648">
                  <c:v>2.1328084125059525E-3</c:v>
                </c:pt>
                <c:pt idx="649">
                  <c:v>2.164525648647195E-3</c:v>
                </c:pt>
                <c:pt idx="650">
                  <c:v>2.1989271285671398E-3</c:v>
                </c:pt>
                <c:pt idx="651">
                  <c:v>2.2359402633735101E-3</c:v>
                </c:pt>
                <c:pt idx="652">
                  <c:v>2.2754728983793182E-3</c:v>
                </c:pt>
                <c:pt idx="653">
                  <c:v>2.3174146480210204E-3</c:v>
                </c:pt>
                <c:pt idx="654">
                  <c:v>2.3616382307766687E-3</c:v>
                </c:pt>
                <c:pt idx="655">
                  <c:v>2.4080008040840628E-3</c:v>
                </c:pt>
                <c:pt idx="656">
                  <c:v>2.4563452992589041E-3</c:v>
                </c:pt>
                <c:pt idx="657">
                  <c:v>2.5065017564129466E-3</c:v>
                </c:pt>
                <c:pt idx="658">
                  <c:v>2.5582886593721508E-3</c:v>
                </c:pt>
                <c:pt idx="659">
                  <c:v>2.6115142705948353E-3</c:v>
                </c:pt>
                <c:pt idx="660">
                  <c:v>2.6659779660898313E-3</c:v>
                </c:pt>
                <c:pt idx="661">
                  <c:v>2.721471570334632E-3</c:v>
                </c:pt>
                <c:pt idx="662">
                  <c:v>2.7777806911935478E-3</c:v>
                </c:pt>
                <c:pt idx="663">
                  <c:v>2.8346860548358584E-3</c:v>
                </c:pt>
                <c:pt idx="664">
                  <c:v>2.8919648406539626E-3</c:v>
                </c:pt>
                <c:pt idx="665">
                  <c:v>2.9493920161815373E-3</c:v>
                </c:pt>
                <c:pt idx="666">
                  <c:v>3.0067416720116836E-3</c:v>
                </c:pt>
                <c:pt idx="667">
                  <c:v>3.0637883567150828E-3</c:v>
                </c:pt>
                <c:pt idx="668">
                  <c:v>3.120308411758148E-3</c:v>
                </c:pt>
                <c:pt idx="669">
                  <c:v>3.1761118484597188E-3</c:v>
                </c:pt>
                <c:pt idx="670">
                  <c:v>3.231274756189062E-3</c:v>
                </c:pt>
                <c:pt idx="671">
                  <c:v>3.2859860302307505E-3</c:v>
                </c:pt>
                <c:pt idx="672">
                  <c:v>3.3404028697801985E-3</c:v>
                </c:pt>
                <c:pt idx="673">
                  <c:v>3.3947547200484157E-3</c:v>
                </c:pt>
                <c:pt idx="674">
                  <c:v>3.4495143106792166E-3</c:v>
                </c:pt>
                <c:pt idx="675">
                  <c:v>3.5051406022756763E-3</c:v>
                </c:pt>
                <c:pt idx="676">
                  <c:v>3.562030417231259E-3</c:v>
                </c:pt>
                <c:pt idx="677">
                  <c:v>3.6205224444842768E-3</c:v>
                </c:pt>
                <c:pt idx="678">
                  <c:v>3.6809012442723479E-3</c:v>
                </c:pt>
                <c:pt idx="679">
                  <c:v>3.7434012528868512E-3</c:v>
                </c:pt>
                <c:pt idx="680">
                  <c:v>3.8082107874273896E-3</c:v>
                </c:pt>
                <c:pt idx="681">
                  <c:v>3.8754760505562411E-3</c:v>
                </c:pt>
                <c:pt idx="682">
                  <c:v>3.9453251965949543E-3</c:v>
                </c:pt>
                <c:pt idx="683">
                  <c:v>4.0180955631607734E-3</c:v>
                </c:pt>
                <c:pt idx="684">
                  <c:v>4.0942321213082635E-3</c:v>
                </c:pt>
                <c:pt idx="685">
                  <c:v>4.1741167453367197E-3</c:v>
                </c:pt>
                <c:pt idx="686">
                  <c:v>4.2580701972485596E-3</c:v>
                </c:pt>
                <c:pt idx="687">
                  <c:v>4.3463574664219431E-3</c:v>
                </c:pt>
                <c:pt idx="688">
                  <c:v>4.4391931092833707E-3</c:v>
                </c:pt>
                <c:pt idx="689">
                  <c:v>4.5367515960802983E-3</c:v>
                </c:pt>
                <c:pt idx="690">
                  <c:v>4.6393503505904208E-3</c:v>
                </c:pt>
                <c:pt idx="691">
                  <c:v>4.7474830098681109E-3</c:v>
                </c:pt>
                <c:pt idx="692">
                  <c:v>4.8615894507770029E-3</c:v>
                </c:pt>
                <c:pt idx="693">
                  <c:v>4.9820464732513456E-3</c:v>
                </c:pt>
                <c:pt idx="694">
                  <c:v>5.109174474886756E-3</c:v>
                </c:pt>
                <c:pt idx="695">
                  <c:v>5.2432441255309886E-3</c:v>
                </c:pt>
                <c:pt idx="696">
                  <c:v>5.3844830418746919E-3</c:v>
                </c:pt>
                <c:pt idx="697">
                  <c:v>5.5330747995765229E-3</c:v>
                </c:pt>
                <c:pt idx="698">
                  <c:v>5.6889586969679148E-3</c:v>
                </c:pt>
                <c:pt idx="699">
                  <c:v>5.8517905915738038E-3</c:v>
                </c:pt>
                <c:pt idx="700">
                  <c:v>6.0211552445927456E-3</c:v>
                </c:pt>
                <c:pt idx="701">
                  <c:v>6.1967199376499514E-3</c:v>
                </c:pt>
                <c:pt idx="702">
                  <c:v>6.3783509585461327E-3</c:v>
                </c:pt>
                <c:pt idx="703">
                  <c:v>6.5658612994994921E-3</c:v>
                </c:pt>
                <c:pt idx="704">
                  <c:v>6.758984894530258E-3</c:v>
                </c:pt>
                <c:pt idx="705">
                  <c:v>6.9573832940514561E-3</c:v>
                </c:pt>
                <c:pt idx="706">
                  <c:v>7.1606523394596678E-3</c:v>
                </c:pt>
                <c:pt idx="707">
                  <c:v>7.368328837725791E-3</c:v>
                </c:pt>
                <c:pt idx="708">
                  <c:v>7.5798975722958283E-3</c:v>
                </c:pt>
                <c:pt idx="709">
                  <c:v>7.7949689411740183E-3</c:v>
                </c:pt>
                <c:pt idx="710">
                  <c:v>8.0136588293074525E-3</c:v>
                </c:pt>
                <c:pt idx="711">
                  <c:v>8.2361113774306622E-3</c:v>
                </c:pt>
                <c:pt idx="712">
                  <c:v>8.4623654478998885E-3</c:v>
                </c:pt>
                <c:pt idx="713">
                  <c:v>8.6923639251094437E-3</c:v>
                </c:pt>
                <c:pt idx="714">
                  <c:v>8.925963059918789E-3</c:v>
                </c:pt>
                <c:pt idx="715">
                  <c:v>9.1629418140795945E-3</c:v>
                </c:pt>
                <c:pt idx="716">
                  <c:v>9.4030568723484122E-3</c:v>
                </c:pt>
                <c:pt idx="717">
                  <c:v>9.6462816970454661E-3</c:v>
                </c:pt>
                <c:pt idx="718">
                  <c:v>9.8926152455753747E-3</c:v>
                </c:pt>
                <c:pt idx="719">
                  <c:v>1.0141976727115301E-2</c:v>
                </c:pt>
                <c:pt idx="720">
                  <c:v>1.0394216036371915E-2</c:v>
                </c:pt>
                <c:pt idx="721">
                  <c:v>1.0649142964426064E-2</c:v>
                </c:pt>
                <c:pt idx="722">
                  <c:v>1.0906758989151472E-2</c:v>
                </c:pt>
                <c:pt idx="723">
                  <c:v>1.1167171408924955E-2</c:v>
                </c:pt>
                <c:pt idx="724">
                  <c:v>1.1430424409021081E-2</c:v>
                </c:pt>
                <c:pt idx="725">
                  <c:v>1.1696507600462806E-2</c:v>
                </c:pt>
                <c:pt idx="726">
                  <c:v>1.1965484359877447E-2</c:v>
                </c:pt>
                <c:pt idx="727">
                  <c:v>1.2237650569141022E-2</c:v>
                </c:pt>
                <c:pt idx="728">
                  <c:v>1.2513285682926912E-2</c:v>
                </c:pt>
                <c:pt idx="729">
                  <c:v>1.2792622761395936E-2</c:v>
                </c:pt>
                <c:pt idx="730">
                  <c:v>1.307596682146034E-2</c:v>
                </c:pt>
                <c:pt idx="731">
                  <c:v>1.3363872824244139E-2</c:v>
                </c:pt>
                <c:pt idx="732">
                  <c:v>1.3656898852498911E-2</c:v>
                </c:pt>
                <c:pt idx="733">
                  <c:v>1.3955495664456889E-2</c:v>
                </c:pt>
                <c:pt idx="734">
                  <c:v>1.4259773184467152E-2</c:v>
                </c:pt>
                <c:pt idx="735">
                  <c:v>1.4569717762314603E-2</c:v>
                </c:pt>
                <c:pt idx="736">
                  <c:v>1.4885278044868517E-2</c:v>
                </c:pt>
                <c:pt idx="737">
                  <c:v>1.520619914756245E-2</c:v>
                </c:pt>
                <c:pt idx="738">
                  <c:v>1.5531934828988741E-2</c:v>
                </c:pt>
                <c:pt idx="739">
                  <c:v>1.5861881410303307E-2</c:v>
                </c:pt>
                <c:pt idx="740">
                  <c:v>1.6195408868661769E-2</c:v>
                </c:pt>
                <c:pt idx="741">
                  <c:v>1.6531872851482846E-2</c:v>
                </c:pt>
                <c:pt idx="742">
                  <c:v>1.6870636085405934E-2</c:v>
                </c:pt>
                <c:pt idx="743">
                  <c:v>1.7211338413764345E-2</c:v>
                </c:pt>
                <c:pt idx="744">
                  <c:v>1.7554105470588784E-2</c:v>
                </c:pt>
                <c:pt idx="745">
                  <c:v>1.7899252541954121E-2</c:v>
                </c:pt>
                <c:pt idx="746">
                  <c:v>1.824729414048902E-2</c:v>
                </c:pt>
                <c:pt idx="747">
                  <c:v>1.8598822968262374E-2</c:v>
                </c:pt>
                <c:pt idx="748">
                  <c:v>1.8954584119834757E-2</c:v>
                </c:pt>
                <c:pt idx="749">
                  <c:v>1.9315195502601693E-2</c:v>
                </c:pt>
                <c:pt idx="750">
                  <c:v>1.9681138636032741E-2</c:v>
                </c:pt>
                <c:pt idx="751">
                  <c:v>2.0052781818479162E-2</c:v>
                </c:pt>
                <c:pt idx="752">
                  <c:v>2.0430580172264068E-2</c:v>
                </c:pt>
                <c:pt idx="753">
                  <c:v>2.0815088249899891E-2</c:v>
                </c:pt>
                <c:pt idx="754">
                  <c:v>2.1206499617170409E-2</c:v>
                </c:pt>
                <c:pt idx="755">
                  <c:v>2.1604808651946233E-2</c:v>
                </c:pt>
                <c:pt idx="756">
                  <c:v>2.2010163889452757E-2</c:v>
                </c:pt>
                <c:pt idx="757">
                  <c:v>2.242262948584775E-2</c:v>
                </c:pt>
                <c:pt idx="758">
                  <c:v>2.2842165963773454E-2</c:v>
                </c:pt>
                <c:pt idx="759">
                  <c:v>2.3268866488650713E-2</c:v>
                </c:pt>
                <c:pt idx="760">
                  <c:v>2.3702892646666494E-2</c:v>
                </c:pt>
                <c:pt idx="761">
                  <c:v>2.4144306357131828E-2</c:v>
                </c:pt>
                <c:pt idx="762">
                  <c:v>2.4593085184596457E-2</c:v>
                </c:pt>
                <c:pt idx="763">
                  <c:v>2.5049142371004005E-2</c:v>
                </c:pt>
                <c:pt idx="764">
                  <c:v>2.5512422312168614E-2</c:v>
                </c:pt>
                <c:pt idx="765">
                  <c:v>2.5982900003143988E-2</c:v>
                </c:pt>
                <c:pt idx="766">
                  <c:v>2.646031830587425E-2</c:v>
                </c:pt>
                <c:pt idx="767">
                  <c:v>2.6944341790941809E-2</c:v>
                </c:pt>
                <c:pt idx="768">
                  <c:v>2.7434586448263992E-2</c:v>
                </c:pt>
                <c:pt idx="769">
                  <c:v>2.7930639710865266E-2</c:v>
                </c:pt>
                <c:pt idx="770">
                  <c:v>2.8432080478649598E-2</c:v>
                </c:pt>
                <c:pt idx="771">
                  <c:v>2.8938527235378153E-2</c:v>
                </c:pt>
                <c:pt idx="772">
                  <c:v>2.9450196666168226E-2</c:v>
                </c:pt>
                <c:pt idx="773">
                  <c:v>2.9967923380028162E-2</c:v>
                </c:pt>
                <c:pt idx="774">
                  <c:v>3.049205811575853E-2</c:v>
                </c:pt>
                <c:pt idx="775">
                  <c:v>3.1022738035373858E-2</c:v>
                </c:pt>
                <c:pt idx="776">
                  <c:v>3.1559967849270391E-2</c:v>
                </c:pt>
                <c:pt idx="777">
                  <c:v>3.2103642509834752E-2</c:v>
                </c:pt>
                <c:pt idx="778">
                  <c:v>3.2653569905052485E-2</c:v>
                </c:pt>
                <c:pt idx="779">
                  <c:v>3.3209493485623687E-2</c:v>
                </c:pt>
                <c:pt idx="780">
                  <c:v>3.3771013540641985E-2</c:v>
                </c:pt>
                <c:pt idx="781">
                  <c:v>3.4337391958338952E-2</c:v>
                </c:pt>
                <c:pt idx="782">
                  <c:v>3.4908026816948615E-2</c:v>
                </c:pt>
                <c:pt idx="783">
                  <c:v>3.548281103236757E-2</c:v>
                </c:pt>
                <c:pt idx="784">
                  <c:v>3.6061659947948022E-2</c:v>
                </c:pt>
                <c:pt idx="785">
                  <c:v>3.6644382057077318E-2</c:v>
                </c:pt>
                <c:pt idx="786">
                  <c:v>3.723044979953323E-2</c:v>
                </c:pt>
                <c:pt idx="787">
                  <c:v>3.7819382423143304E-2</c:v>
                </c:pt>
                <c:pt idx="788">
                  <c:v>3.8410860528696571E-2</c:v>
                </c:pt>
                <c:pt idx="789">
                  <c:v>3.9004525070813145E-2</c:v>
                </c:pt>
                <c:pt idx="790">
                  <c:v>3.9599939115784431E-2</c:v>
                </c:pt>
                <c:pt idx="791">
                  <c:v>4.0196863601630085E-2</c:v>
                </c:pt>
                <c:pt idx="792">
                  <c:v>4.0795545983483783E-2</c:v>
                </c:pt>
                <c:pt idx="793">
                  <c:v>4.1396207110631598E-2</c:v>
                </c:pt>
                <c:pt idx="794">
                  <c:v>4.1998822387571584E-2</c:v>
                </c:pt>
                <c:pt idx="795">
                  <c:v>4.2603333649703687E-2</c:v>
                </c:pt>
                <c:pt idx="796">
                  <c:v>4.3209964932174112E-2</c:v>
                </c:pt>
                <c:pt idx="797">
                  <c:v>4.3818912245040094E-2</c:v>
                </c:pt>
                <c:pt idx="798">
                  <c:v>4.4430421819530677E-2</c:v>
                </c:pt>
                <c:pt idx="799">
                  <c:v>4.5045203103026302E-2</c:v>
                </c:pt>
                <c:pt idx="800">
                  <c:v>4.5663997890025364E-2</c:v>
                </c:pt>
                <c:pt idx="801">
                  <c:v>4.6287667623795582E-2</c:v>
                </c:pt>
                <c:pt idx="802">
                  <c:v>4.6917279410621723E-2</c:v>
                </c:pt>
                <c:pt idx="803">
                  <c:v>4.7554085568427724E-2</c:v>
                </c:pt>
                <c:pt idx="804">
                  <c:v>4.8199426701826663E-2</c:v>
                </c:pt>
                <c:pt idx="805">
                  <c:v>4.8855055260778602E-2</c:v>
                </c:pt>
                <c:pt idx="806">
                  <c:v>4.9523119529112376E-2</c:v>
                </c:pt>
                <c:pt idx="807">
                  <c:v>5.0205406680963363E-2</c:v>
                </c:pt>
                <c:pt idx="808">
                  <c:v>5.0903126612512957E-2</c:v>
                </c:pt>
                <c:pt idx="809">
                  <c:v>5.1617428563362211E-2</c:v>
                </c:pt>
                <c:pt idx="810">
                  <c:v>5.2349583191562438E-2</c:v>
                </c:pt>
                <c:pt idx="811">
                  <c:v>5.3100486441697931E-2</c:v>
                </c:pt>
                <c:pt idx="812">
                  <c:v>5.3870956928595705E-2</c:v>
                </c:pt>
                <c:pt idx="813">
                  <c:v>5.4661856131467096E-2</c:v>
                </c:pt>
                <c:pt idx="814">
                  <c:v>5.5474052235363946E-2</c:v>
                </c:pt>
                <c:pt idx="815">
                  <c:v>5.6308590504756451E-2</c:v>
                </c:pt>
                <c:pt idx="816">
                  <c:v>5.7166062225112654E-2</c:v>
                </c:pt>
                <c:pt idx="817">
                  <c:v>5.804659766365592E-2</c:v>
                </c:pt>
                <c:pt idx="818">
                  <c:v>5.8950059395159425E-2</c:v>
                </c:pt>
                <c:pt idx="819">
                  <c:v>5.9875931813936731E-2</c:v>
                </c:pt>
                <c:pt idx="820">
                  <c:v>6.0823582093468609E-2</c:v>
                </c:pt>
                <c:pt idx="821">
                  <c:v>6.1792772537150507E-2</c:v>
                </c:pt>
                <c:pt idx="822">
                  <c:v>6.278326979787556E-2</c:v>
                </c:pt>
                <c:pt idx="823">
                  <c:v>6.3794575672888473E-2</c:v>
                </c:pt>
                <c:pt idx="824">
                  <c:v>6.4825936998422359E-2</c:v>
                </c:pt>
                <c:pt idx="825">
                  <c:v>6.587636416881347E-2</c:v>
                </c:pt>
                <c:pt idx="826">
                  <c:v>6.6944673268399216E-2</c:v>
                </c:pt>
                <c:pt idx="827">
                  <c:v>6.8029663499454107E-2</c:v>
                </c:pt>
                <c:pt idx="828">
                  <c:v>6.9130238977803252E-2</c:v>
                </c:pt>
                <c:pt idx="829">
                  <c:v>7.0245470157138779E-2</c:v>
                </c:pt>
                <c:pt idx="830">
                  <c:v>7.1375089883769477E-2</c:v>
                </c:pt>
                <c:pt idx="831">
                  <c:v>7.2518783827330541E-2</c:v>
                </c:pt>
                <c:pt idx="832">
                  <c:v>7.3676049050870135E-2</c:v>
                </c:pt>
                <c:pt idx="833">
                  <c:v>7.4846291052301867E-2</c:v>
                </c:pt>
                <c:pt idx="834">
                  <c:v>7.6029097851312788E-2</c:v>
                </c:pt>
                <c:pt idx="835">
                  <c:v>7.7224160157643482E-2</c:v>
                </c:pt>
                <c:pt idx="836">
                  <c:v>7.8431233703452119E-2</c:v>
                </c:pt>
                <c:pt idx="837">
                  <c:v>7.9649648504176954E-2</c:v>
                </c:pt>
                <c:pt idx="838">
                  <c:v>8.0878907608583309E-2</c:v>
                </c:pt>
                <c:pt idx="839">
                  <c:v>8.2118599400285319E-2</c:v>
                </c:pt>
                <c:pt idx="840">
                  <c:v>8.3368307112596102E-2</c:v>
                </c:pt>
                <c:pt idx="841">
                  <c:v>8.4627394141776599E-2</c:v>
                </c:pt>
                <c:pt idx="842">
                  <c:v>8.5895150640170587E-2</c:v>
                </c:pt>
                <c:pt idx="843">
                  <c:v>8.7170963811367214E-2</c:v>
                </c:pt>
                <c:pt idx="844">
                  <c:v>8.845413054564509E-2</c:v>
                </c:pt>
                <c:pt idx="845">
                  <c:v>8.974423773472931E-2</c:v>
                </c:pt>
                <c:pt idx="846">
                  <c:v>9.1040901116962766E-2</c:v>
                </c:pt>
                <c:pt idx="847">
                  <c:v>9.234368125828317E-2</c:v>
                </c:pt>
                <c:pt idx="848">
                  <c:v>9.3652361993624658E-2</c:v>
                </c:pt>
                <c:pt idx="849">
                  <c:v>9.4966839421308735E-2</c:v>
                </c:pt>
                <c:pt idx="850">
                  <c:v>9.6287000533453307E-2</c:v>
                </c:pt>
                <c:pt idx="851">
                  <c:v>9.7612960901506729E-2</c:v>
                </c:pt>
                <c:pt idx="852">
                  <c:v>9.8945216129945696E-2</c:v>
                </c:pt>
                <c:pt idx="853">
                  <c:v>0.10028517853158664</c:v>
                </c:pt>
                <c:pt idx="854">
                  <c:v>0.10163434799033461</c:v>
                </c:pt>
                <c:pt idx="855">
                  <c:v>0.10299424164210386</c:v>
                </c:pt>
                <c:pt idx="856">
                  <c:v>0.10436662204936456</c:v>
                </c:pt>
                <c:pt idx="857">
                  <c:v>0.10575348744686969</c:v>
                </c:pt>
                <c:pt idx="858">
                  <c:v>0.10715685090722006</c:v>
                </c:pt>
                <c:pt idx="859">
                  <c:v>0.10857884483263312</c:v>
                </c:pt>
                <c:pt idx="860">
                  <c:v>0.11002147549417139</c:v>
                </c:pt>
                <c:pt idx="861">
                  <c:v>0.11148710473527552</c:v>
                </c:pt>
                <c:pt idx="862">
                  <c:v>0.11297810967279455</c:v>
                </c:pt>
                <c:pt idx="863">
                  <c:v>0.11449670604176176</c:v>
                </c:pt>
                <c:pt idx="864">
                  <c:v>0.11604529473325587</c:v>
                </c:pt>
                <c:pt idx="865">
                  <c:v>0.11762612907559788</c:v>
                </c:pt>
                <c:pt idx="866">
                  <c:v>0.11924111478766342</c:v>
                </c:pt>
                <c:pt idx="867">
                  <c:v>0.12089158525677737</c:v>
                </c:pt>
                <c:pt idx="868">
                  <c:v>0.12257835255526256</c:v>
                </c:pt>
                <c:pt idx="869">
                  <c:v>0.12430162499286887</c:v>
                </c:pt>
                <c:pt idx="870">
                  <c:v>0.12606107429191651</c:v>
                </c:pt>
                <c:pt idx="871">
                  <c:v>0.12785692536629475</c:v>
                </c:pt>
                <c:pt idx="872">
                  <c:v>0.12968986586506989</c:v>
                </c:pt>
                <c:pt idx="873">
                  <c:v>0.13156090726929626</c:v>
                </c:pt>
                <c:pt idx="874">
                  <c:v>0.13347081279277631</c:v>
                </c:pt>
                <c:pt idx="875">
                  <c:v>0.13542000352273564</c:v>
                </c:pt>
                <c:pt idx="876">
                  <c:v>0.13740892249707251</c:v>
                </c:pt>
                <c:pt idx="877">
                  <c:v>0.13943778974488943</c:v>
                </c:pt>
                <c:pt idx="878">
                  <c:v>0.14150668915389289</c:v>
                </c:pt>
                <c:pt idx="879">
                  <c:v>0.14361538105079813</c:v>
                </c:pt>
                <c:pt idx="880">
                  <c:v>0.14576377158890205</c:v>
                </c:pt>
                <c:pt idx="881">
                  <c:v>0.14795251534266463</c:v>
                </c:pt>
                <c:pt idx="882">
                  <c:v>0.15018189639801857</c:v>
                </c:pt>
                <c:pt idx="883">
                  <c:v>0.15245203006809671</c:v>
                </c:pt>
                <c:pt idx="884">
                  <c:v>0.15476343055126437</c:v>
                </c:pt>
                <c:pt idx="885">
                  <c:v>0.15711661239229524</c:v>
                </c:pt>
                <c:pt idx="886">
                  <c:v>0.15951224973109501</c:v>
                </c:pt>
                <c:pt idx="887">
                  <c:v>0.16195093482099385</c:v>
                </c:pt>
                <c:pt idx="888">
                  <c:v>0.164432847485322</c:v>
                </c:pt>
                <c:pt idx="889">
                  <c:v>0.16695778995146446</c:v>
                </c:pt>
                <c:pt idx="890">
                  <c:v>0.16952532006473434</c:v>
                </c:pt>
                <c:pt idx="891">
                  <c:v>0.17213488019464709</c:v>
                </c:pt>
                <c:pt idx="892">
                  <c:v>0.17478549170215832</c:v>
                </c:pt>
                <c:pt idx="893">
                  <c:v>0.17747551580838117</c:v>
                </c:pt>
                <c:pt idx="894">
                  <c:v>0.18020256913246169</c:v>
                </c:pt>
                <c:pt idx="895">
                  <c:v>0.18296448838726739</c:v>
                </c:pt>
                <c:pt idx="896">
                  <c:v>0.18575942929087272</c:v>
                </c:pt>
                <c:pt idx="897">
                  <c:v>0.18858583028174228</c:v>
                </c:pt>
                <c:pt idx="898">
                  <c:v>0.19144227669411765</c:v>
                </c:pt>
                <c:pt idx="899">
                  <c:v>0.19432739039867578</c:v>
                </c:pt>
                <c:pt idx="900">
                  <c:v>0.19723931826184793</c:v>
                </c:pt>
                <c:pt idx="901">
                  <c:v>0.20017639557495329</c:v>
                </c:pt>
                <c:pt idx="902">
                  <c:v>0.20313690603258072</c:v>
                </c:pt>
                <c:pt idx="903">
                  <c:v>0.20611928227389345</c:v>
                </c:pt>
                <c:pt idx="904">
                  <c:v>0.20912222982231451</c:v>
                </c:pt>
                <c:pt idx="905">
                  <c:v>0.21214504415721144</c:v>
                </c:pt>
                <c:pt idx="906">
                  <c:v>0.2151875532370934</c:v>
                </c:pt>
                <c:pt idx="907">
                  <c:v>0.21824971211481639</c:v>
                </c:pt>
                <c:pt idx="908">
                  <c:v>0.22133222307699246</c:v>
                </c:pt>
                <c:pt idx="909">
                  <c:v>0.22443674895613108</c:v>
                </c:pt>
                <c:pt idx="910">
                  <c:v>0.22756608877304346</c:v>
                </c:pt>
                <c:pt idx="911">
                  <c:v>0.23072279770100895</c:v>
                </c:pt>
                <c:pt idx="912">
                  <c:v>0.23390927765261812</c:v>
                </c:pt>
                <c:pt idx="913">
                  <c:v>0.23712766358815471</c:v>
                </c:pt>
                <c:pt idx="914">
                  <c:v>0.24038018957288998</c:v>
                </c:pt>
                <c:pt idx="915">
                  <c:v>0.24366979041529405</c:v>
                </c:pt>
                <c:pt idx="916">
                  <c:v>0.24699917825074752</c:v>
                </c:pt>
                <c:pt idx="917">
                  <c:v>0.2503698652803637</c:v>
                </c:pt>
                <c:pt idx="918">
                  <c:v>0.25378285779689874</c:v>
                </c:pt>
                <c:pt idx="919">
                  <c:v>0.25723899766506142</c:v>
                </c:pt>
                <c:pt idx="920">
                  <c:v>0.2607387949639054</c:v>
                </c:pt>
                <c:pt idx="921">
                  <c:v>0.26428296574822746</c:v>
                </c:pt>
                <c:pt idx="922">
                  <c:v>0.26787206018877502</c:v>
                </c:pt>
                <c:pt idx="923">
                  <c:v>0.27150631865491026</c:v>
                </c:pt>
                <c:pt idx="924">
                  <c:v>0.27518587646648907</c:v>
                </c:pt>
                <c:pt idx="925">
                  <c:v>0.27891010504856761</c:v>
                </c:pt>
                <c:pt idx="926">
                  <c:v>0.28267790029682965</c:v>
                </c:pt>
                <c:pt idx="927">
                  <c:v>0.28648753462190862</c:v>
                </c:pt>
                <c:pt idx="928">
                  <c:v>0.29033728005313053</c:v>
                </c:pt>
                <c:pt idx="929">
                  <c:v>0.29422556343271367</c:v>
                </c:pt>
                <c:pt idx="930">
                  <c:v>0.29815071100575485</c:v>
                </c:pt>
                <c:pt idx="931">
                  <c:v>0.30211147912687381</c:v>
                </c:pt>
                <c:pt idx="932">
                  <c:v>0.30610723595637318</c:v>
                </c:pt>
                <c:pt idx="933">
                  <c:v>0.31013768513127976</c:v>
                </c:pt>
                <c:pt idx="934">
                  <c:v>0.31420275479901738</c:v>
                </c:pt>
                <c:pt idx="935">
                  <c:v>0.31830240146980365</c:v>
                </c:pt>
                <c:pt idx="936">
                  <c:v>0.32243718359661316</c:v>
                </c:pt>
                <c:pt idx="937">
                  <c:v>0.32660769797992711</c:v>
                </c:pt>
                <c:pt idx="938">
                  <c:v>0.33081494986924459</c:v>
                </c:pt>
                <c:pt idx="939">
                  <c:v>0.33505956023816574</c:v>
                </c:pt>
                <c:pt idx="940">
                  <c:v>0.33934067394215783</c:v>
                </c:pt>
                <c:pt idx="941">
                  <c:v>0.3436566814324496</c:v>
                </c:pt>
                <c:pt idx="942">
                  <c:v>0.34800542623416453</c:v>
                </c:pt>
                <c:pt idx="943">
                  <c:v>0.35238440368625612</c:v>
                </c:pt>
                <c:pt idx="944">
                  <c:v>0.35679045951401689</c:v>
                </c:pt>
                <c:pt idx="945">
                  <c:v>0.36122041202867439</c:v>
                </c:pt>
                <c:pt idx="946">
                  <c:v>0.36567186125344214</c:v>
                </c:pt>
                <c:pt idx="947">
                  <c:v>0.37014217039337571</c:v>
                </c:pt>
                <c:pt idx="948">
                  <c:v>0.37462780039746585</c:v>
                </c:pt>
                <c:pt idx="949">
                  <c:v>0.37912480296566065</c:v>
                </c:pt>
                <c:pt idx="950">
                  <c:v>0.38362911669324123</c:v>
                </c:pt>
                <c:pt idx="951">
                  <c:v>0.38813798712480851</c:v>
                </c:pt>
                <c:pt idx="952">
                  <c:v>0.39264928183105635</c:v>
                </c:pt>
                <c:pt idx="953">
                  <c:v>0.39716125164477434</c:v>
                </c:pt>
                <c:pt idx="954">
                  <c:v>0.40167224270271978</c:v>
                </c:pt>
                <c:pt idx="955">
                  <c:v>0.40618058841284083</c:v>
                </c:pt>
                <c:pt idx="956">
                  <c:v>0.41068493215522789</c:v>
                </c:pt>
                <c:pt idx="957">
                  <c:v>0.41518436779057671</c:v>
                </c:pt>
                <c:pt idx="958">
                  <c:v>0.41967892738795659</c:v>
                </c:pt>
                <c:pt idx="959">
                  <c:v>0.42416900149156667</c:v>
                </c:pt>
                <c:pt idx="960">
                  <c:v>0.42865597357070417</c:v>
                </c:pt>
                <c:pt idx="961">
                  <c:v>0.43314170493497695</c:v>
                </c:pt>
                <c:pt idx="962">
                  <c:v>0.43762789664725649</c:v>
                </c:pt>
                <c:pt idx="963">
                  <c:v>0.4421167077772955</c:v>
                </c:pt>
                <c:pt idx="964">
                  <c:v>0.44661004838595841</c:v>
                </c:pt>
                <c:pt idx="965">
                  <c:v>0.45110927221246766</c:v>
                </c:pt>
                <c:pt idx="966">
                  <c:v>0.45561572564196634</c:v>
                </c:pt>
                <c:pt idx="967">
                  <c:v>0.46013126367652618</c:v>
                </c:pt>
                <c:pt idx="968">
                  <c:v>0.46465750620104657</c:v>
                </c:pt>
                <c:pt idx="969">
                  <c:v>0.46919536160963776</c:v>
                </c:pt>
                <c:pt idx="970">
                  <c:v>0.47374632432256547</c:v>
                </c:pt>
                <c:pt idx="971">
                  <c:v>0.47831245502714681</c:v>
                </c:pt>
                <c:pt idx="972">
                  <c:v>0.48289603976086493</c:v>
                </c:pt>
                <c:pt idx="973">
                  <c:v>0.4874988566620419</c:v>
                </c:pt>
                <c:pt idx="974">
                  <c:v>0.49212155655704587</c:v>
                </c:pt>
                <c:pt idx="975">
                  <c:v>0.49676407383399102</c:v>
                </c:pt>
                <c:pt idx="976">
                  <c:v>0.50142597932790256</c:v>
                </c:pt>
                <c:pt idx="977">
                  <c:v>0.50610680449061252</c:v>
                </c:pt>
                <c:pt idx="978">
                  <c:v>0.51080505765932738</c:v>
                </c:pt>
                <c:pt idx="979">
                  <c:v>0.51551785486385526</c:v>
                </c:pt>
                <c:pt idx="980">
                  <c:v>0.52024215236339499</c:v>
                </c:pt>
                <c:pt idx="981">
                  <c:v>0.52497508526601677</c:v>
                </c:pt>
                <c:pt idx="982">
                  <c:v>0.5297136415336603</c:v>
                </c:pt>
                <c:pt idx="983">
                  <c:v>0.53445488936758567</c:v>
                </c:pt>
                <c:pt idx="984">
                  <c:v>0.53919592531364491</c:v>
                </c:pt>
                <c:pt idx="985">
                  <c:v>0.54393332403962125</c:v>
                </c:pt>
                <c:pt idx="986">
                  <c:v>0.54866332902899806</c:v>
                </c:pt>
                <c:pt idx="987">
                  <c:v>0.55338208996134519</c:v>
                </c:pt>
                <c:pt idx="988">
                  <c:v>0.55808547703602962</c:v>
                </c:pt>
                <c:pt idx="989">
                  <c:v>0.5627698107632858</c:v>
                </c:pt>
                <c:pt idx="990">
                  <c:v>0.5674317394641416</c:v>
                </c:pt>
                <c:pt idx="991">
                  <c:v>0.57206805447086373</c:v>
                </c:pt>
                <c:pt idx="992">
                  <c:v>0.57667518645912852</c:v>
                </c:pt>
                <c:pt idx="993">
                  <c:v>0.58124935024009061</c:v>
                </c:pt>
                <c:pt idx="994">
                  <c:v>0.58578760937802288</c:v>
                </c:pt>
                <c:pt idx="995">
                  <c:v>0.59028773067946128</c:v>
                </c:pt>
                <c:pt idx="996">
                  <c:v>0.59474792854262748</c:v>
                </c:pt>
                <c:pt idx="997">
                  <c:v>0.59916688250089123</c:v>
                </c:pt>
                <c:pt idx="998">
                  <c:v>0.60354370170077121</c:v>
                </c:pt>
                <c:pt idx="999">
                  <c:v>0.6078771057654756</c:v>
                </c:pt>
                <c:pt idx="1000">
                  <c:v>0.61216500945484809</c:v>
                </c:pt>
                <c:pt idx="1001">
                  <c:v>0.6164045780109374</c:v>
                </c:pt>
                <c:pt idx="1002">
                  <c:v>0.62059248989231908</c:v>
                </c:pt>
                <c:pt idx="1003">
                  <c:v>0.62472610255276018</c:v>
                </c:pt>
                <c:pt idx="1004">
                  <c:v>0.62880387535743032</c:v>
                </c:pt>
                <c:pt idx="1005">
                  <c:v>0.63282561478801325</c:v>
                </c:pt>
                <c:pt idx="1006">
                  <c:v>0.63679161245710159</c:v>
                </c:pt>
                <c:pt idx="1007">
                  <c:v>0.64070256423229799</c:v>
                </c:pt>
                <c:pt idx="1008">
                  <c:v>0.64455995697167934</c:v>
                </c:pt>
                <c:pt idx="1009">
                  <c:v>0.64836554984726591</c:v>
                </c:pt>
                <c:pt idx="1010">
                  <c:v>0.65212150953098313</c:v>
                </c:pt>
                <c:pt idx="1011">
                  <c:v>0.65583043230082805</c:v>
                </c:pt>
                <c:pt idx="1012">
                  <c:v>0.65949530995634631</c:v>
                </c:pt>
                <c:pt idx="1013">
                  <c:v>0.66311966035687442</c:v>
                </c:pt>
                <c:pt idx="1014">
                  <c:v>0.66670695555751947</c:v>
                </c:pt>
                <c:pt idx="1015">
                  <c:v>0.67025940859036026</c:v>
                </c:pt>
                <c:pt idx="1016">
                  <c:v>0.67377887377019086</c:v>
                </c:pt>
                <c:pt idx="1017">
                  <c:v>0.67726765887670715</c:v>
                </c:pt>
                <c:pt idx="1018">
                  <c:v>0.68072897296600521</c:v>
                </c:pt>
                <c:pt idx="1019">
                  <c:v>0.6841658763262447</c:v>
                </c:pt>
                <c:pt idx="1020">
                  <c:v>0.68758100959749924</c:v>
                </c:pt>
                <c:pt idx="1021">
                  <c:v>0.69097698903352334</c:v>
                </c:pt>
                <c:pt idx="1022">
                  <c:v>0.69435641486013022</c:v>
                </c:pt>
              </c:numCache>
            </c:numRef>
          </c:xVal>
          <c:yVal>
            <c:numRef>
              <c:f>Estimation_1516!$H$3:$H$1048576</c:f>
              <c:numCache>
                <c:formatCode>General</c:formatCode>
                <c:ptCount val="1048574"/>
                <c:pt idx="0">
                  <c:v>-9.7554939878500821E-2</c:v>
                </c:pt>
                <c:pt idx="1">
                  <c:v>-9.7454939878500818E-2</c:v>
                </c:pt>
                <c:pt idx="2">
                  <c:v>-9.7354939878500815E-2</c:v>
                </c:pt>
                <c:pt idx="3">
                  <c:v>-9.7254939878500812E-2</c:v>
                </c:pt>
                <c:pt idx="4">
                  <c:v>-9.7154939878500809E-2</c:v>
                </c:pt>
                <c:pt idx="5">
                  <c:v>-9.7054939878500807E-2</c:v>
                </c:pt>
                <c:pt idx="6">
                  <c:v>-9.6954939878500804E-2</c:v>
                </c:pt>
                <c:pt idx="7">
                  <c:v>-9.6854939878500801E-2</c:v>
                </c:pt>
                <c:pt idx="8">
                  <c:v>-9.6754939878500798E-2</c:v>
                </c:pt>
                <c:pt idx="9">
                  <c:v>-9.6654939878500795E-2</c:v>
                </c:pt>
                <c:pt idx="10">
                  <c:v>-9.6554939878500792E-2</c:v>
                </c:pt>
                <c:pt idx="11">
                  <c:v>-9.6454939878500789E-2</c:v>
                </c:pt>
                <c:pt idx="12">
                  <c:v>-9.6354939878500787E-2</c:v>
                </c:pt>
                <c:pt idx="13">
                  <c:v>-9.6254939878500784E-2</c:v>
                </c:pt>
                <c:pt idx="14">
                  <c:v>-9.6154939878500781E-2</c:v>
                </c:pt>
                <c:pt idx="15">
                  <c:v>-9.6054939878500778E-2</c:v>
                </c:pt>
                <c:pt idx="16">
                  <c:v>-9.5954939878500775E-2</c:v>
                </c:pt>
                <c:pt idx="17">
                  <c:v>-9.5854939878500772E-2</c:v>
                </c:pt>
                <c:pt idx="18">
                  <c:v>-9.5754939878500769E-2</c:v>
                </c:pt>
                <c:pt idx="19">
                  <c:v>-9.5654939878500767E-2</c:v>
                </c:pt>
                <c:pt idx="20">
                  <c:v>-9.5554939878500764E-2</c:v>
                </c:pt>
                <c:pt idx="21">
                  <c:v>-9.5454939878500761E-2</c:v>
                </c:pt>
                <c:pt idx="22">
                  <c:v>-9.5354939878500758E-2</c:v>
                </c:pt>
                <c:pt idx="23">
                  <c:v>-9.5254939878500755E-2</c:v>
                </c:pt>
                <c:pt idx="24">
                  <c:v>-9.5154939878500752E-2</c:v>
                </c:pt>
                <c:pt idx="25">
                  <c:v>-9.5054939878500749E-2</c:v>
                </c:pt>
                <c:pt idx="26">
                  <c:v>-9.4954939878500746E-2</c:v>
                </c:pt>
                <c:pt idx="27">
                  <c:v>-9.4854939878500744E-2</c:v>
                </c:pt>
                <c:pt idx="28">
                  <c:v>-9.4754939878500741E-2</c:v>
                </c:pt>
                <c:pt idx="29">
                  <c:v>-9.4654939878500738E-2</c:v>
                </c:pt>
                <c:pt idx="30">
                  <c:v>-9.4554939878500735E-2</c:v>
                </c:pt>
                <c:pt idx="31">
                  <c:v>-9.4454939878500732E-2</c:v>
                </c:pt>
                <c:pt idx="32">
                  <c:v>-9.4354939878500729E-2</c:v>
                </c:pt>
                <c:pt idx="33">
                  <c:v>-9.4254939878500726E-2</c:v>
                </c:pt>
                <c:pt idx="34">
                  <c:v>-9.4154939878500724E-2</c:v>
                </c:pt>
                <c:pt idx="35">
                  <c:v>-9.4054939878500721E-2</c:v>
                </c:pt>
                <c:pt idx="36">
                  <c:v>-9.3954939878500718E-2</c:v>
                </c:pt>
                <c:pt idx="37">
                  <c:v>-9.3854939878500715E-2</c:v>
                </c:pt>
                <c:pt idx="38">
                  <c:v>-9.3754939878500712E-2</c:v>
                </c:pt>
                <c:pt idx="39">
                  <c:v>-9.3654939878500709E-2</c:v>
                </c:pt>
                <c:pt idx="40">
                  <c:v>-9.3554939878500706E-2</c:v>
                </c:pt>
                <c:pt idx="41">
                  <c:v>-9.3454939878500703E-2</c:v>
                </c:pt>
                <c:pt idx="42">
                  <c:v>-9.3354939878500701E-2</c:v>
                </c:pt>
                <c:pt idx="43">
                  <c:v>-9.3254939878500698E-2</c:v>
                </c:pt>
                <c:pt idx="44">
                  <c:v>-9.3154939878500695E-2</c:v>
                </c:pt>
                <c:pt idx="45">
                  <c:v>-9.3054939878500692E-2</c:v>
                </c:pt>
                <c:pt idx="46">
                  <c:v>-9.2954939878500689E-2</c:v>
                </c:pt>
                <c:pt idx="47">
                  <c:v>-9.2854939878500686E-2</c:v>
                </c:pt>
                <c:pt idx="48">
                  <c:v>-9.2754939878500683E-2</c:v>
                </c:pt>
                <c:pt idx="49">
                  <c:v>-9.2654939878500681E-2</c:v>
                </c:pt>
                <c:pt idx="50">
                  <c:v>-9.2554939878500678E-2</c:v>
                </c:pt>
                <c:pt idx="51">
                  <c:v>-9.2454939878500675E-2</c:v>
                </c:pt>
                <c:pt idx="52">
                  <c:v>-9.2354939878500672E-2</c:v>
                </c:pt>
                <c:pt idx="53">
                  <c:v>-9.2254939878500669E-2</c:v>
                </c:pt>
                <c:pt idx="54">
                  <c:v>-9.2154939878500666E-2</c:v>
                </c:pt>
                <c:pt idx="55">
                  <c:v>-9.2054939878500663E-2</c:v>
                </c:pt>
                <c:pt idx="56">
                  <c:v>-9.1954939878500661E-2</c:v>
                </c:pt>
                <c:pt idx="57">
                  <c:v>-9.1854939878500658E-2</c:v>
                </c:pt>
                <c:pt idx="58">
                  <c:v>-9.1754939878500655E-2</c:v>
                </c:pt>
                <c:pt idx="59">
                  <c:v>-9.1654939878500652E-2</c:v>
                </c:pt>
                <c:pt idx="60">
                  <c:v>-9.1554939878500649E-2</c:v>
                </c:pt>
                <c:pt idx="61">
                  <c:v>-9.1454939878500646E-2</c:v>
                </c:pt>
                <c:pt idx="62">
                  <c:v>-9.1354939878500643E-2</c:v>
                </c:pt>
                <c:pt idx="63">
                  <c:v>-9.125493987850064E-2</c:v>
                </c:pt>
                <c:pt idx="64">
                  <c:v>-9.1154939878500638E-2</c:v>
                </c:pt>
                <c:pt idx="65">
                  <c:v>-9.1054939878500635E-2</c:v>
                </c:pt>
                <c:pt idx="66">
                  <c:v>-9.0954939878500632E-2</c:v>
                </c:pt>
                <c:pt idx="67">
                  <c:v>-9.0854939878500629E-2</c:v>
                </c:pt>
                <c:pt idx="68">
                  <c:v>-9.0754939878500626E-2</c:v>
                </c:pt>
                <c:pt idx="69">
                  <c:v>-9.0654939878500623E-2</c:v>
                </c:pt>
                <c:pt idx="70">
                  <c:v>-9.055493987850062E-2</c:v>
                </c:pt>
                <c:pt idx="71">
                  <c:v>-9.0454939878500618E-2</c:v>
                </c:pt>
                <c:pt idx="72">
                  <c:v>-9.0354939878500615E-2</c:v>
                </c:pt>
                <c:pt idx="73">
                  <c:v>-9.0254939878500612E-2</c:v>
                </c:pt>
                <c:pt idx="74">
                  <c:v>-9.0154939878500609E-2</c:v>
                </c:pt>
                <c:pt idx="75">
                  <c:v>-9.0054939878500606E-2</c:v>
                </c:pt>
                <c:pt idx="76">
                  <c:v>-8.9954939878500603E-2</c:v>
                </c:pt>
                <c:pt idx="77">
                  <c:v>-8.98549398785006E-2</c:v>
                </c:pt>
                <c:pt idx="78">
                  <c:v>-8.9754939878500598E-2</c:v>
                </c:pt>
                <c:pt idx="79">
                  <c:v>-8.9654939878500595E-2</c:v>
                </c:pt>
                <c:pt idx="80">
                  <c:v>-8.9554939878500592E-2</c:v>
                </c:pt>
                <c:pt idx="81">
                  <c:v>-8.9454939878500589E-2</c:v>
                </c:pt>
                <c:pt idx="82">
                  <c:v>-8.9354939878500586E-2</c:v>
                </c:pt>
                <c:pt idx="83">
                  <c:v>-8.9254939878500583E-2</c:v>
                </c:pt>
                <c:pt idx="84">
                  <c:v>-8.915493987850058E-2</c:v>
                </c:pt>
                <c:pt idx="85">
                  <c:v>-8.9054939878500577E-2</c:v>
                </c:pt>
                <c:pt idx="86">
                  <c:v>-8.8954939878500575E-2</c:v>
                </c:pt>
                <c:pt idx="87">
                  <c:v>-8.8854939878500572E-2</c:v>
                </c:pt>
                <c:pt idx="88">
                  <c:v>-8.8754939878500569E-2</c:v>
                </c:pt>
                <c:pt idx="89">
                  <c:v>-8.8654939878500566E-2</c:v>
                </c:pt>
                <c:pt idx="90">
                  <c:v>-8.8554939878500563E-2</c:v>
                </c:pt>
                <c:pt idx="91">
                  <c:v>-8.845493987850056E-2</c:v>
                </c:pt>
                <c:pt idx="92">
                  <c:v>-8.8354939878500557E-2</c:v>
                </c:pt>
                <c:pt idx="93">
                  <c:v>-8.8254939878500555E-2</c:v>
                </c:pt>
                <c:pt idx="94">
                  <c:v>-8.8154939878500552E-2</c:v>
                </c:pt>
                <c:pt idx="95">
                  <c:v>-8.8054939878500549E-2</c:v>
                </c:pt>
                <c:pt idx="96">
                  <c:v>-8.7954939878500546E-2</c:v>
                </c:pt>
                <c:pt idx="97">
                  <c:v>-8.7854939878500543E-2</c:v>
                </c:pt>
                <c:pt idx="98">
                  <c:v>-8.775493987850054E-2</c:v>
                </c:pt>
                <c:pt idx="99">
                  <c:v>-8.7654939878500537E-2</c:v>
                </c:pt>
                <c:pt idx="100">
                  <c:v>-8.7554939878500535E-2</c:v>
                </c:pt>
                <c:pt idx="101">
                  <c:v>-8.7454939878500532E-2</c:v>
                </c:pt>
                <c:pt idx="102">
                  <c:v>-8.7354939878500529E-2</c:v>
                </c:pt>
                <c:pt idx="103">
                  <c:v>-8.7254939878500526E-2</c:v>
                </c:pt>
                <c:pt idx="104">
                  <c:v>-8.7154939878500523E-2</c:v>
                </c:pt>
                <c:pt idx="105">
                  <c:v>-8.705493987850052E-2</c:v>
                </c:pt>
                <c:pt idx="106">
                  <c:v>-8.6954939878500517E-2</c:v>
                </c:pt>
                <c:pt idx="107">
                  <c:v>-8.6854939878500514E-2</c:v>
                </c:pt>
                <c:pt idx="108">
                  <c:v>-8.6754939878500512E-2</c:v>
                </c:pt>
                <c:pt idx="109">
                  <c:v>-8.6654939878500509E-2</c:v>
                </c:pt>
                <c:pt idx="110">
                  <c:v>-8.6554939878500506E-2</c:v>
                </c:pt>
                <c:pt idx="111">
                  <c:v>-8.6454939878500503E-2</c:v>
                </c:pt>
                <c:pt idx="112">
                  <c:v>-8.63549398785005E-2</c:v>
                </c:pt>
                <c:pt idx="113">
                  <c:v>-8.6254939878500497E-2</c:v>
                </c:pt>
                <c:pt idx="114">
                  <c:v>-8.6154939878500494E-2</c:v>
                </c:pt>
                <c:pt idx="115">
                  <c:v>-8.6054939878500492E-2</c:v>
                </c:pt>
                <c:pt idx="116">
                  <c:v>-8.5954939878500489E-2</c:v>
                </c:pt>
                <c:pt idx="117">
                  <c:v>-8.5854939878500486E-2</c:v>
                </c:pt>
                <c:pt idx="118">
                  <c:v>-8.5754939878500483E-2</c:v>
                </c:pt>
                <c:pt idx="119">
                  <c:v>-8.565493987850048E-2</c:v>
                </c:pt>
                <c:pt idx="120">
                  <c:v>-8.5554939878500477E-2</c:v>
                </c:pt>
                <c:pt idx="121">
                  <c:v>-8.5454939878500474E-2</c:v>
                </c:pt>
                <c:pt idx="122">
                  <c:v>-8.5354939878500471E-2</c:v>
                </c:pt>
                <c:pt idx="123">
                  <c:v>-8.5254939878500469E-2</c:v>
                </c:pt>
                <c:pt idx="124">
                  <c:v>-8.5154939878500466E-2</c:v>
                </c:pt>
                <c:pt idx="125">
                  <c:v>-8.5054939878500463E-2</c:v>
                </c:pt>
                <c:pt idx="126">
                  <c:v>-8.495493987850046E-2</c:v>
                </c:pt>
                <c:pt idx="127">
                  <c:v>-8.4854939878500457E-2</c:v>
                </c:pt>
                <c:pt idx="128">
                  <c:v>-8.4754939878500454E-2</c:v>
                </c:pt>
                <c:pt idx="129">
                  <c:v>-8.4654939878500451E-2</c:v>
                </c:pt>
                <c:pt idx="130">
                  <c:v>-8.4554939878500449E-2</c:v>
                </c:pt>
                <c:pt idx="131">
                  <c:v>-8.4454939878500446E-2</c:v>
                </c:pt>
                <c:pt idx="132">
                  <c:v>-8.4354939878500443E-2</c:v>
                </c:pt>
                <c:pt idx="133">
                  <c:v>-8.425493987850044E-2</c:v>
                </c:pt>
                <c:pt idx="134">
                  <c:v>-8.4154939878500437E-2</c:v>
                </c:pt>
                <c:pt idx="135">
                  <c:v>-8.4054939878500434E-2</c:v>
                </c:pt>
                <c:pt idx="136">
                  <c:v>-8.3954939878500431E-2</c:v>
                </c:pt>
                <c:pt idx="137">
                  <c:v>-8.3854939878500429E-2</c:v>
                </c:pt>
                <c:pt idx="138">
                  <c:v>-8.3754939878500426E-2</c:v>
                </c:pt>
                <c:pt idx="139">
                  <c:v>-8.3654939878500423E-2</c:v>
                </c:pt>
                <c:pt idx="140">
                  <c:v>-8.355493987850042E-2</c:v>
                </c:pt>
                <c:pt idx="141">
                  <c:v>-8.3454939878500417E-2</c:v>
                </c:pt>
                <c:pt idx="142">
                  <c:v>-8.3354939878500414E-2</c:v>
                </c:pt>
                <c:pt idx="143">
                  <c:v>-8.3254939878500411E-2</c:v>
                </c:pt>
                <c:pt idx="144">
                  <c:v>-8.3154939878500408E-2</c:v>
                </c:pt>
                <c:pt idx="145">
                  <c:v>-8.3054939878500406E-2</c:v>
                </c:pt>
                <c:pt idx="146">
                  <c:v>-8.2954939878500403E-2</c:v>
                </c:pt>
                <c:pt idx="147">
                  <c:v>-8.28549398785004E-2</c:v>
                </c:pt>
                <c:pt idx="148">
                  <c:v>-8.2754939878500397E-2</c:v>
                </c:pt>
                <c:pt idx="149">
                  <c:v>-8.2654939878500394E-2</c:v>
                </c:pt>
                <c:pt idx="150">
                  <c:v>-8.2554939878500391E-2</c:v>
                </c:pt>
                <c:pt idx="151">
                  <c:v>-8.2454939878500388E-2</c:v>
                </c:pt>
                <c:pt idx="152">
                  <c:v>-8.2354939878500386E-2</c:v>
                </c:pt>
                <c:pt idx="153">
                  <c:v>-8.2254939878500383E-2</c:v>
                </c:pt>
                <c:pt idx="154">
                  <c:v>-8.215493987850038E-2</c:v>
                </c:pt>
                <c:pt idx="155">
                  <c:v>-8.2054939878500377E-2</c:v>
                </c:pt>
                <c:pt idx="156">
                  <c:v>-8.1954939878500374E-2</c:v>
                </c:pt>
                <c:pt idx="157">
                  <c:v>-8.1854939878500371E-2</c:v>
                </c:pt>
                <c:pt idx="158">
                  <c:v>-8.1754939878500368E-2</c:v>
                </c:pt>
                <c:pt idx="159">
                  <c:v>-8.1654939878500366E-2</c:v>
                </c:pt>
                <c:pt idx="160">
                  <c:v>-8.1554939878500363E-2</c:v>
                </c:pt>
                <c:pt idx="161">
                  <c:v>-8.145493987850036E-2</c:v>
                </c:pt>
                <c:pt idx="162">
                  <c:v>-8.1354939878500357E-2</c:v>
                </c:pt>
                <c:pt idx="163">
                  <c:v>-8.1254939878500354E-2</c:v>
                </c:pt>
                <c:pt idx="164">
                  <c:v>-8.1154939878500351E-2</c:v>
                </c:pt>
                <c:pt idx="165">
                  <c:v>-8.1054939878500348E-2</c:v>
                </c:pt>
                <c:pt idx="166">
                  <c:v>-8.0954939878500345E-2</c:v>
                </c:pt>
                <c:pt idx="167">
                  <c:v>-8.0854939878500343E-2</c:v>
                </c:pt>
                <c:pt idx="168">
                  <c:v>-8.075493987850034E-2</c:v>
                </c:pt>
                <c:pt idx="169">
                  <c:v>-8.0654939878500337E-2</c:v>
                </c:pt>
                <c:pt idx="170">
                  <c:v>-8.0554939878500334E-2</c:v>
                </c:pt>
                <c:pt idx="171">
                  <c:v>-8.0454939878500331E-2</c:v>
                </c:pt>
                <c:pt idx="172">
                  <c:v>-8.0354939878500328E-2</c:v>
                </c:pt>
                <c:pt idx="173">
                  <c:v>-8.0254939878500325E-2</c:v>
                </c:pt>
                <c:pt idx="174">
                  <c:v>-8.0154939878500323E-2</c:v>
                </c:pt>
                <c:pt idx="175">
                  <c:v>-8.005493987850032E-2</c:v>
                </c:pt>
                <c:pt idx="176">
                  <c:v>-7.9954939878500317E-2</c:v>
                </c:pt>
                <c:pt idx="177">
                  <c:v>-7.9854939878500314E-2</c:v>
                </c:pt>
                <c:pt idx="178">
                  <c:v>-7.9754939878500311E-2</c:v>
                </c:pt>
                <c:pt idx="179">
                  <c:v>-7.9654939878500308E-2</c:v>
                </c:pt>
                <c:pt idx="180">
                  <c:v>-7.9554939878500305E-2</c:v>
                </c:pt>
                <c:pt idx="181">
                  <c:v>-7.9454939878500302E-2</c:v>
                </c:pt>
                <c:pt idx="182">
                  <c:v>-7.93549398785003E-2</c:v>
                </c:pt>
                <c:pt idx="183">
                  <c:v>-7.9254939878500297E-2</c:v>
                </c:pt>
                <c:pt idx="184">
                  <c:v>-7.9154939878500294E-2</c:v>
                </c:pt>
                <c:pt idx="185">
                  <c:v>-7.9054939878500291E-2</c:v>
                </c:pt>
                <c:pt idx="186">
                  <c:v>-7.8954939878500288E-2</c:v>
                </c:pt>
                <c:pt idx="187">
                  <c:v>-7.8854939878500285E-2</c:v>
                </c:pt>
                <c:pt idx="188">
                  <c:v>-7.8754939878500282E-2</c:v>
                </c:pt>
                <c:pt idx="189">
                  <c:v>-7.865493987850028E-2</c:v>
                </c:pt>
                <c:pt idx="190">
                  <c:v>-7.8554939878500277E-2</c:v>
                </c:pt>
                <c:pt idx="191">
                  <c:v>-7.8454939878500274E-2</c:v>
                </c:pt>
                <c:pt idx="192">
                  <c:v>-7.8354939878500271E-2</c:v>
                </c:pt>
                <c:pt idx="193">
                  <c:v>-7.8254939878500268E-2</c:v>
                </c:pt>
                <c:pt idx="194">
                  <c:v>-7.8154939878500265E-2</c:v>
                </c:pt>
                <c:pt idx="195">
                  <c:v>-7.8054939878500262E-2</c:v>
                </c:pt>
                <c:pt idx="196">
                  <c:v>-7.795493987850026E-2</c:v>
                </c:pt>
                <c:pt idx="197">
                  <c:v>-7.7854939878500257E-2</c:v>
                </c:pt>
                <c:pt idx="198">
                  <c:v>-7.7754939878500254E-2</c:v>
                </c:pt>
                <c:pt idx="199">
                  <c:v>-7.7654939878500251E-2</c:v>
                </c:pt>
                <c:pt idx="200">
                  <c:v>-7.7554939878500248E-2</c:v>
                </c:pt>
                <c:pt idx="201">
                  <c:v>-7.7454939878500245E-2</c:v>
                </c:pt>
                <c:pt idx="202">
                  <c:v>-7.7354939878500242E-2</c:v>
                </c:pt>
                <c:pt idx="203">
                  <c:v>-7.7254939878500239E-2</c:v>
                </c:pt>
                <c:pt idx="204">
                  <c:v>-7.7154939878500237E-2</c:v>
                </c:pt>
                <c:pt idx="205">
                  <c:v>-7.7054939878500234E-2</c:v>
                </c:pt>
                <c:pt idx="206">
                  <c:v>-7.6954939878500231E-2</c:v>
                </c:pt>
                <c:pt idx="207">
                  <c:v>-7.6854939878500228E-2</c:v>
                </c:pt>
                <c:pt idx="208">
                  <c:v>-7.6754939878500225E-2</c:v>
                </c:pt>
                <c:pt idx="209">
                  <c:v>-7.6654939878500222E-2</c:v>
                </c:pt>
                <c:pt idx="210">
                  <c:v>-7.6554939878500219E-2</c:v>
                </c:pt>
                <c:pt idx="211">
                  <c:v>-7.6454939878500217E-2</c:v>
                </c:pt>
                <c:pt idx="212">
                  <c:v>-7.6354939878500214E-2</c:v>
                </c:pt>
                <c:pt idx="213">
                  <c:v>-7.6254939878500211E-2</c:v>
                </c:pt>
                <c:pt idx="214">
                  <c:v>-7.6154939878500208E-2</c:v>
                </c:pt>
                <c:pt idx="215">
                  <c:v>-7.6054939878500205E-2</c:v>
                </c:pt>
                <c:pt idx="216">
                  <c:v>-7.5954939878500202E-2</c:v>
                </c:pt>
                <c:pt idx="217">
                  <c:v>-7.5854939878500199E-2</c:v>
                </c:pt>
                <c:pt idx="218">
                  <c:v>-7.5754939878500197E-2</c:v>
                </c:pt>
                <c:pt idx="219">
                  <c:v>-7.5654939878500194E-2</c:v>
                </c:pt>
                <c:pt idx="220">
                  <c:v>-7.5554939878500191E-2</c:v>
                </c:pt>
                <c:pt idx="221">
                  <c:v>-7.5454939878500188E-2</c:v>
                </c:pt>
                <c:pt idx="222">
                  <c:v>-7.5354939878500185E-2</c:v>
                </c:pt>
                <c:pt idx="223">
                  <c:v>-7.5254939878500182E-2</c:v>
                </c:pt>
                <c:pt idx="224">
                  <c:v>-7.5154939878500179E-2</c:v>
                </c:pt>
                <c:pt idx="225">
                  <c:v>-7.5054939878500176E-2</c:v>
                </c:pt>
                <c:pt idx="226">
                  <c:v>-7.4954939878500174E-2</c:v>
                </c:pt>
                <c:pt idx="227">
                  <c:v>-7.4854939878500171E-2</c:v>
                </c:pt>
                <c:pt idx="228">
                  <c:v>-7.4754939878500168E-2</c:v>
                </c:pt>
                <c:pt idx="229">
                  <c:v>-7.4654939878500165E-2</c:v>
                </c:pt>
                <c:pt idx="230">
                  <c:v>-7.4554939878500162E-2</c:v>
                </c:pt>
                <c:pt idx="231">
                  <c:v>-7.4454939878500159E-2</c:v>
                </c:pt>
                <c:pt idx="232">
                  <c:v>-7.4354939878500156E-2</c:v>
                </c:pt>
                <c:pt idx="233">
                  <c:v>-7.4254939878500154E-2</c:v>
                </c:pt>
                <c:pt idx="234">
                  <c:v>-7.4154939878500151E-2</c:v>
                </c:pt>
                <c:pt idx="235">
                  <c:v>-7.4054939878500148E-2</c:v>
                </c:pt>
                <c:pt idx="236">
                  <c:v>-7.3954939878500145E-2</c:v>
                </c:pt>
                <c:pt idx="237">
                  <c:v>-7.3854939878500142E-2</c:v>
                </c:pt>
                <c:pt idx="238">
                  <c:v>-7.3754939878500139E-2</c:v>
                </c:pt>
                <c:pt idx="239">
                  <c:v>-7.3654939878500136E-2</c:v>
                </c:pt>
                <c:pt idx="240">
                  <c:v>-7.3554939878500133E-2</c:v>
                </c:pt>
                <c:pt idx="241">
                  <c:v>-7.3454939878500131E-2</c:v>
                </c:pt>
                <c:pt idx="242">
                  <c:v>-7.3354939878500128E-2</c:v>
                </c:pt>
                <c:pt idx="243">
                  <c:v>-7.3254939878500125E-2</c:v>
                </c:pt>
                <c:pt idx="244">
                  <c:v>-7.3154939878500122E-2</c:v>
                </c:pt>
                <c:pt idx="245">
                  <c:v>-7.3054939878500119E-2</c:v>
                </c:pt>
                <c:pt idx="246">
                  <c:v>-7.2954939878500116E-2</c:v>
                </c:pt>
                <c:pt idx="247">
                  <c:v>-7.2854939878500113E-2</c:v>
                </c:pt>
                <c:pt idx="248">
                  <c:v>-7.2754939878500111E-2</c:v>
                </c:pt>
                <c:pt idx="249">
                  <c:v>-7.2654939878500108E-2</c:v>
                </c:pt>
                <c:pt idx="250">
                  <c:v>-7.2554939878500105E-2</c:v>
                </c:pt>
                <c:pt idx="251">
                  <c:v>-7.2454939878500102E-2</c:v>
                </c:pt>
                <c:pt idx="252">
                  <c:v>-7.2354939878500099E-2</c:v>
                </c:pt>
                <c:pt idx="253">
                  <c:v>-7.2254939878500096E-2</c:v>
                </c:pt>
                <c:pt idx="254">
                  <c:v>-7.2154939878500093E-2</c:v>
                </c:pt>
                <c:pt idx="255">
                  <c:v>-7.2054939878500091E-2</c:v>
                </c:pt>
                <c:pt idx="256">
                  <c:v>-7.1954939878500088E-2</c:v>
                </c:pt>
                <c:pt idx="257">
                  <c:v>-7.1854939878500085E-2</c:v>
                </c:pt>
                <c:pt idx="258">
                  <c:v>-7.1754939878500082E-2</c:v>
                </c:pt>
                <c:pt idx="259">
                  <c:v>-7.1654939878500079E-2</c:v>
                </c:pt>
                <c:pt idx="260">
                  <c:v>-7.1554939878500076E-2</c:v>
                </c:pt>
                <c:pt idx="261">
                  <c:v>-7.1454939878500073E-2</c:v>
                </c:pt>
                <c:pt idx="262">
                  <c:v>-7.135493987850007E-2</c:v>
                </c:pt>
                <c:pt idx="263">
                  <c:v>-7.1254939878500068E-2</c:v>
                </c:pt>
                <c:pt idx="264">
                  <c:v>-7.1154939878500065E-2</c:v>
                </c:pt>
                <c:pt idx="265">
                  <c:v>-7.1054939878500062E-2</c:v>
                </c:pt>
                <c:pt idx="266">
                  <c:v>-7.0954939878500059E-2</c:v>
                </c:pt>
                <c:pt idx="267">
                  <c:v>-7.0854939878500056E-2</c:v>
                </c:pt>
                <c:pt idx="268">
                  <c:v>-7.0754939878500053E-2</c:v>
                </c:pt>
                <c:pt idx="269">
                  <c:v>-7.065493987850005E-2</c:v>
                </c:pt>
                <c:pt idx="270">
                  <c:v>-7.0554939878500048E-2</c:v>
                </c:pt>
                <c:pt idx="271">
                  <c:v>-7.0454939878500045E-2</c:v>
                </c:pt>
                <c:pt idx="272">
                  <c:v>-7.0354939878500042E-2</c:v>
                </c:pt>
                <c:pt idx="273">
                  <c:v>-7.0254939878500039E-2</c:v>
                </c:pt>
                <c:pt idx="274">
                  <c:v>-7.0154939878500036E-2</c:v>
                </c:pt>
                <c:pt idx="275">
                  <c:v>-7.0054939878500033E-2</c:v>
                </c:pt>
                <c:pt idx="276">
                  <c:v>-6.995493987850003E-2</c:v>
                </c:pt>
                <c:pt idx="277">
                  <c:v>-6.9854939878500028E-2</c:v>
                </c:pt>
                <c:pt idx="278">
                  <c:v>-6.9754939878500025E-2</c:v>
                </c:pt>
                <c:pt idx="279">
                  <c:v>-6.9654939878500022E-2</c:v>
                </c:pt>
                <c:pt idx="280">
                  <c:v>-6.9554939878500019E-2</c:v>
                </c:pt>
                <c:pt idx="281">
                  <c:v>-6.9454939878500016E-2</c:v>
                </c:pt>
                <c:pt idx="282">
                  <c:v>-6.9354939878500013E-2</c:v>
                </c:pt>
                <c:pt idx="283">
                  <c:v>-6.925493987850001E-2</c:v>
                </c:pt>
                <c:pt idx="284">
                  <c:v>-6.9154939878500007E-2</c:v>
                </c:pt>
                <c:pt idx="285">
                  <c:v>-6.9054939878500005E-2</c:v>
                </c:pt>
                <c:pt idx="286">
                  <c:v>-6.8954939878500002E-2</c:v>
                </c:pt>
                <c:pt idx="287">
                  <c:v>-6.8854939878499999E-2</c:v>
                </c:pt>
                <c:pt idx="288">
                  <c:v>-6.8754939878499996E-2</c:v>
                </c:pt>
                <c:pt idx="289">
                  <c:v>-6.8654939878499993E-2</c:v>
                </c:pt>
                <c:pt idx="290">
                  <c:v>-6.855493987849999E-2</c:v>
                </c:pt>
                <c:pt idx="291">
                  <c:v>-6.8454939878499987E-2</c:v>
                </c:pt>
                <c:pt idx="292">
                  <c:v>-6.8354939878499985E-2</c:v>
                </c:pt>
                <c:pt idx="293">
                  <c:v>-6.8254939878499982E-2</c:v>
                </c:pt>
                <c:pt idx="294">
                  <c:v>-6.8154939878499979E-2</c:v>
                </c:pt>
                <c:pt idx="295">
                  <c:v>-6.8054939878499976E-2</c:v>
                </c:pt>
                <c:pt idx="296">
                  <c:v>-6.7954939878499973E-2</c:v>
                </c:pt>
                <c:pt idx="297">
                  <c:v>-6.785493987849997E-2</c:v>
                </c:pt>
                <c:pt idx="298">
                  <c:v>-6.7754939878499967E-2</c:v>
                </c:pt>
                <c:pt idx="299">
                  <c:v>-6.7654939878499964E-2</c:v>
                </c:pt>
                <c:pt idx="300">
                  <c:v>-6.7554939878499962E-2</c:v>
                </c:pt>
                <c:pt idx="301">
                  <c:v>-6.7454939878499959E-2</c:v>
                </c:pt>
                <c:pt idx="302">
                  <c:v>-6.7354939878499956E-2</c:v>
                </c:pt>
                <c:pt idx="303">
                  <c:v>-6.7254939878499953E-2</c:v>
                </c:pt>
                <c:pt idx="304">
                  <c:v>-6.715493987849995E-2</c:v>
                </c:pt>
                <c:pt idx="305">
                  <c:v>-6.7054939878499947E-2</c:v>
                </c:pt>
                <c:pt idx="306">
                  <c:v>-6.6954939878499944E-2</c:v>
                </c:pt>
                <c:pt idx="307">
                  <c:v>-6.6854939878499942E-2</c:v>
                </c:pt>
                <c:pt idx="308">
                  <c:v>-6.6754939878499939E-2</c:v>
                </c:pt>
                <c:pt idx="309">
                  <c:v>-6.6654939878499936E-2</c:v>
                </c:pt>
                <c:pt idx="310">
                  <c:v>-6.6554939878499933E-2</c:v>
                </c:pt>
                <c:pt idx="311">
                  <c:v>-6.645493987849993E-2</c:v>
                </c:pt>
                <c:pt idx="312">
                  <c:v>-6.6354939878499927E-2</c:v>
                </c:pt>
                <c:pt idx="313">
                  <c:v>-6.6254939878499924E-2</c:v>
                </c:pt>
                <c:pt idx="314">
                  <c:v>-6.6154939878499922E-2</c:v>
                </c:pt>
                <c:pt idx="315">
                  <c:v>-6.6054939878499919E-2</c:v>
                </c:pt>
                <c:pt idx="316">
                  <c:v>-6.5954939878499916E-2</c:v>
                </c:pt>
                <c:pt idx="317">
                  <c:v>-6.5854939878499913E-2</c:v>
                </c:pt>
                <c:pt idx="318">
                  <c:v>-6.575493987849991E-2</c:v>
                </c:pt>
                <c:pt idx="319">
                  <c:v>-6.5654939878499907E-2</c:v>
                </c:pt>
                <c:pt idx="320">
                  <c:v>-6.5554939878499904E-2</c:v>
                </c:pt>
                <c:pt idx="321">
                  <c:v>-6.5454939878499901E-2</c:v>
                </c:pt>
                <c:pt idx="322">
                  <c:v>-6.5354939878499899E-2</c:v>
                </c:pt>
                <c:pt idx="323">
                  <c:v>-6.5254939878499896E-2</c:v>
                </c:pt>
                <c:pt idx="324">
                  <c:v>-6.5154939878499893E-2</c:v>
                </c:pt>
                <c:pt idx="325">
                  <c:v>-6.505493987849989E-2</c:v>
                </c:pt>
                <c:pt idx="326">
                  <c:v>-6.4954939878499887E-2</c:v>
                </c:pt>
                <c:pt idx="327">
                  <c:v>-6.4854939878499884E-2</c:v>
                </c:pt>
                <c:pt idx="328">
                  <c:v>-6.4754939878499881E-2</c:v>
                </c:pt>
                <c:pt idx="329">
                  <c:v>-6.4654939878499879E-2</c:v>
                </c:pt>
                <c:pt idx="330">
                  <c:v>-6.4554939878499876E-2</c:v>
                </c:pt>
                <c:pt idx="331">
                  <c:v>-6.4454939878499873E-2</c:v>
                </c:pt>
                <c:pt idx="332">
                  <c:v>-6.435493987849987E-2</c:v>
                </c:pt>
                <c:pt idx="333">
                  <c:v>-6.4254939878499867E-2</c:v>
                </c:pt>
                <c:pt idx="334">
                  <c:v>-6.4154939878499864E-2</c:v>
                </c:pt>
                <c:pt idx="335">
                  <c:v>-6.4054939878499861E-2</c:v>
                </c:pt>
                <c:pt idx="336">
                  <c:v>-6.3954939878499859E-2</c:v>
                </c:pt>
                <c:pt idx="337">
                  <c:v>-6.3854939878499856E-2</c:v>
                </c:pt>
                <c:pt idx="338">
                  <c:v>-6.3754939878499853E-2</c:v>
                </c:pt>
                <c:pt idx="339">
                  <c:v>-6.365493987849985E-2</c:v>
                </c:pt>
                <c:pt idx="340">
                  <c:v>-6.3554939878499847E-2</c:v>
                </c:pt>
                <c:pt idx="341">
                  <c:v>-6.3454939878499844E-2</c:v>
                </c:pt>
                <c:pt idx="342">
                  <c:v>-6.3354939878499841E-2</c:v>
                </c:pt>
                <c:pt idx="343">
                  <c:v>-6.3254939878499838E-2</c:v>
                </c:pt>
                <c:pt idx="344">
                  <c:v>-6.3154939878499836E-2</c:v>
                </c:pt>
                <c:pt idx="345">
                  <c:v>-6.3054939878499833E-2</c:v>
                </c:pt>
                <c:pt idx="346">
                  <c:v>-6.295493987849983E-2</c:v>
                </c:pt>
                <c:pt idx="347">
                  <c:v>-6.2854939878499827E-2</c:v>
                </c:pt>
                <c:pt idx="348">
                  <c:v>-6.2754939878499824E-2</c:v>
                </c:pt>
                <c:pt idx="349">
                  <c:v>-6.2654939878499821E-2</c:v>
                </c:pt>
                <c:pt idx="350">
                  <c:v>-6.2554939878499818E-2</c:v>
                </c:pt>
                <c:pt idx="351">
                  <c:v>-6.2454939878499816E-2</c:v>
                </c:pt>
                <c:pt idx="352">
                  <c:v>-6.2354939878499813E-2</c:v>
                </c:pt>
                <c:pt idx="353">
                  <c:v>-6.225493987849981E-2</c:v>
                </c:pt>
                <c:pt idx="354">
                  <c:v>-6.2154939878499807E-2</c:v>
                </c:pt>
                <c:pt idx="355">
                  <c:v>-6.2054939878499804E-2</c:v>
                </c:pt>
                <c:pt idx="356">
                  <c:v>-6.1954939878499801E-2</c:v>
                </c:pt>
                <c:pt idx="357">
                  <c:v>-6.1854939878499798E-2</c:v>
                </c:pt>
                <c:pt idx="358">
                  <c:v>-6.1754939878499795E-2</c:v>
                </c:pt>
                <c:pt idx="359">
                  <c:v>-6.1654939878499793E-2</c:v>
                </c:pt>
                <c:pt idx="360">
                  <c:v>-6.155493987849979E-2</c:v>
                </c:pt>
                <c:pt idx="361">
                  <c:v>-6.1454939878499787E-2</c:v>
                </c:pt>
                <c:pt idx="362">
                  <c:v>-6.1354939878499784E-2</c:v>
                </c:pt>
                <c:pt idx="363">
                  <c:v>-6.1254939878499781E-2</c:v>
                </c:pt>
                <c:pt idx="364">
                  <c:v>-6.1154939878499778E-2</c:v>
                </c:pt>
                <c:pt idx="365">
                  <c:v>-6.1054939878499775E-2</c:v>
                </c:pt>
                <c:pt idx="366">
                  <c:v>-6.0954939878499773E-2</c:v>
                </c:pt>
                <c:pt idx="367">
                  <c:v>-6.085493987849977E-2</c:v>
                </c:pt>
                <c:pt idx="368">
                  <c:v>-6.0754939878499767E-2</c:v>
                </c:pt>
                <c:pt idx="369">
                  <c:v>-6.0654939878499764E-2</c:v>
                </c:pt>
                <c:pt idx="370">
                  <c:v>-6.0554939878499761E-2</c:v>
                </c:pt>
                <c:pt idx="371">
                  <c:v>-6.0454939878499758E-2</c:v>
                </c:pt>
                <c:pt idx="372">
                  <c:v>-6.0354939878499755E-2</c:v>
                </c:pt>
                <c:pt idx="373">
                  <c:v>-6.0254939878499753E-2</c:v>
                </c:pt>
                <c:pt idx="374">
                  <c:v>-6.015493987849975E-2</c:v>
                </c:pt>
                <c:pt idx="375">
                  <c:v>-6.0054939878499747E-2</c:v>
                </c:pt>
                <c:pt idx="376">
                  <c:v>-5.9954939878499744E-2</c:v>
                </c:pt>
                <c:pt idx="377">
                  <c:v>-5.9854939878499741E-2</c:v>
                </c:pt>
                <c:pt idx="378">
                  <c:v>-5.9754939878499738E-2</c:v>
                </c:pt>
                <c:pt idx="379">
                  <c:v>-5.9654939878499735E-2</c:v>
                </c:pt>
                <c:pt idx="380">
                  <c:v>-5.9554939878499732E-2</c:v>
                </c:pt>
                <c:pt idx="381">
                  <c:v>-5.945493987849973E-2</c:v>
                </c:pt>
                <c:pt idx="382">
                  <c:v>-5.9354939878499727E-2</c:v>
                </c:pt>
                <c:pt idx="383">
                  <c:v>-5.9254939878499724E-2</c:v>
                </c:pt>
                <c:pt idx="384">
                  <c:v>-5.9154939878499721E-2</c:v>
                </c:pt>
                <c:pt idx="385">
                  <c:v>-5.9054939878499718E-2</c:v>
                </c:pt>
                <c:pt idx="386">
                  <c:v>-5.8954939878499715E-2</c:v>
                </c:pt>
                <c:pt idx="387">
                  <c:v>-5.8854939878499712E-2</c:v>
                </c:pt>
                <c:pt idx="388">
                  <c:v>-5.875493987849971E-2</c:v>
                </c:pt>
                <c:pt idx="389">
                  <c:v>-5.8654939878499707E-2</c:v>
                </c:pt>
                <c:pt idx="390">
                  <c:v>-5.8554939878499704E-2</c:v>
                </c:pt>
                <c:pt idx="391">
                  <c:v>-5.8454939878499701E-2</c:v>
                </c:pt>
                <c:pt idx="392">
                  <c:v>-5.8354939878499698E-2</c:v>
                </c:pt>
                <c:pt idx="393">
                  <c:v>-5.8254939878499695E-2</c:v>
                </c:pt>
                <c:pt idx="394">
                  <c:v>-5.8154939878499692E-2</c:v>
                </c:pt>
                <c:pt idx="395">
                  <c:v>-5.805493987849969E-2</c:v>
                </c:pt>
                <c:pt idx="396">
                  <c:v>-5.7954939878499687E-2</c:v>
                </c:pt>
                <c:pt idx="397">
                  <c:v>-5.7854939878499684E-2</c:v>
                </c:pt>
                <c:pt idx="398">
                  <c:v>-5.7754939878499681E-2</c:v>
                </c:pt>
                <c:pt idx="399">
                  <c:v>-5.7654939878499678E-2</c:v>
                </c:pt>
                <c:pt idx="400">
                  <c:v>-5.7554939878499675E-2</c:v>
                </c:pt>
                <c:pt idx="401">
                  <c:v>-5.7454939878499672E-2</c:v>
                </c:pt>
                <c:pt idx="402">
                  <c:v>-5.7354939878499669E-2</c:v>
                </c:pt>
                <c:pt idx="403">
                  <c:v>-5.7254939878499667E-2</c:v>
                </c:pt>
                <c:pt idx="404">
                  <c:v>-5.7154939878499664E-2</c:v>
                </c:pt>
                <c:pt idx="405">
                  <c:v>-5.7054939878499661E-2</c:v>
                </c:pt>
                <c:pt idx="406">
                  <c:v>-5.6954939878499658E-2</c:v>
                </c:pt>
                <c:pt idx="407">
                  <c:v>-5.6854939878499655E-2</c:v>
                </c:pt>
                <c:pt idx="408">
                  <c:v>-5.6754939878499652E-2</c:v>
                </c:pt>
                <c:pt idx="409">
                  <c:v>-5.6654939878499649E-2</c:v>
                </c:pt>
                <c:pt idx="410">
                  <c:v>-5.6554939878499647E-2</c:v>
                </c:pt>
                <c:pt idx="411">
                  <c:v>-5.6454939878499644E-2</c:v>
                </c:pt>
                <c:pt idx="412">
                  <c:v>-5.6354939878499641E-2</c:v>
                </c:pt>
                <c:pt idx="413">
                  <c:v>-5.6254939878499638E-2</c:v>
                </c:pt>
                <c:pt idx="414">
                  <c:v>-5.6154939878499635E-2</c:v>
                </c:pt>
                <c:pt idx="415">
                  <c:v>-5.6054939878499632E-2</c:v>
                </c:pt>
                <c:pt idx="416">
                  <c:v>-5.5954939878499629E-2</c:v>
                </c:pt>
                <c:pt idx="417">
                  <c:v>-5.5854939878499626E-2</c:v>
                </c:pt>
                <c:pt idx="418">
                  <c:v>-5.5754939878499624E-2</c:v>
                </c:pt>
                <c:pt idx="419">
                  <c:v>-5.5654939878499621E-2</c:v>
                </c:pt>
                <c:pt idx="420">
                  <c:v>-5.5554939878499618E-2</c:v>
                </c:pt>
                <c:pt idx="421">
                  <c:v>-5.5454939878499615E-2</c:v>
                </c:pt>
                <c:pt idx="422">
                  <c:v>-5.5354939878499612E-2</c:v>
                </c:pt>
                <c:pt idx="423">
                  <c:v>-5.5254939878499609E-2</c:v>
                </c:pt>
                <c:pt idx="424">
                  <c:v>-5.5154939878499606E-2</c:v>
                </c:pt>
                <c:pt idx="425">
                  <c:v>-5.5054939878499604E-2</c:v>
                </c:pt>
                <c:pt idx="426">
                  <c:v>-5.4954939878499601E-2</c:v>
                </c:pt>
                <c:pt idx="427">
                  <c:v>-5.4854939878499598E-2</c:v>
                </c:pt>
                <c:pt idx="428">
                  <c:v>-5.4754939878499595E-2</c:v>
                </c:pt>
                <c:pt idx="429">
                  <c:v>-5.4654939878499592E-2</c:v>
                </c:pt>
                <c:pt idx="430">
                  <c:v>-5.4554939878499589E-2</c:v>
                </c:pt>
                <c:pt idx="431">
                  <c:v>-5.4454939878499586E-2</c:v>
                </c:pt>
                <c:pt idx="432">
                  <c:v>-5.4354939878499584E-2</c:v>
                </c:pt>
                <c:pt idx="433">
                  <c:v>-5.4254939878499581E-2</c:v>
                </c:pt>
                <c:pt idx="434">
                  <c:v>-5.4154939878499578E-2</c:v>
                </c:pt>
                <c:pt idx="435">
                  <c:v>-5.4054939878499575E-2</c:v>
                </c:pt>
                <c:pt idx="436">
                  <c:v>-5.3954939878499572E-2</c:v>
                </c:pt>
                <c:pt idx="437">
                  <c:v>-5.3854939878499569E-2</c:v>
                </c:pt>
                <c:pt idx="438">
                  <c:v>-5.3754939878499566E-2</c:v>
                </c:pt>
                <c:pt idx="439">
                  <c:v>-5.3654939878499563E-2</c:v>
                </c:pt>
                <c:pt idx="440">
                  <c:v>-5.3554939878499561E-2</c:v>
                </c:pt>
                <c:pt idx="441">
                  <c:v>-5.3454939878499558E-2</c:v>
                </c:pt>
                <c:pt idx="442">
                  <c:v>-5.3354939878499555E-2</c:v>
                </c:pt>
                <c:pt idx="443">
                  <c:v>-5.3254939878499552E-2</c:v>
                </c:pt>
                <c:pt idx="444">
                  <c:v>-5.3154939878499549E-2</c:v>
                </c:pt>
                <c:pt idx="445">
                  <c:v>-5.3054939878499546E-2</c:v>
                </c:pt>
                <c:pt idx="446">
                  <c:v>-5.2954939878499543E-2</c:v>
                </c:pt>
                <c:pt idx="447">
                  <c:v>-5.2854939878499541E-2</c:v>
                </c:pt>
                <c:pt idx="448">
                  <c:v>-5.2754939878499538E-2</c:v>
                </c:pt>
                <c:pt idx="449">
                  <c:v>-5.2654939878499535E-2</c:v>
                </c:pt>
                <c:pt idx="450">
                  <c:v>-5.2554939878499532E-2</c:v>
                </c:pt>
                <c:pt idx="451">
                  <c:v>-5.2454939878499529E-2</c:v>
                </c:pt>
                <c:pt idx="452">
                  <c:v>-5.2354939878499526E-2</c:v>
                </c:pt>
                <c:pt idx="453">
                  <c:v>-5.2254939878499523E-2</c:v>
                </c:pt>
                <c:pt idx="454">
                  <c:v>-5.2154939878499521E-2</c:v>
                </c:pt>
                <c:pt idx="455">
                  <c:v>-5.2054939878499518E-2</c:v>
                </c:pt>
                <c:pt idx="456">
                  <c:v>-5.1954939878499515E-2</c:v>
                </c:pt>
                <c:pt idx="457">
                  <c:v>-5.1854939878499512E-2</c:v>
                </c:pt>
                <c:pt idx="458">
                  <c:v>-5.1754939878499509E-2</c:v>
                </c:pt>
                <c:pt idx="459">
                  <c:v>-5.1654939878499506E-2</c:v>
                </c:pt>
                <c:pt idx="460">
                  <c:v>-5.1554939878499503E-2</c:v>
                </c:pt>
                <c:pt idx="461">
                  <c:v>-5.14549398784995E-2</c:v>
                </c:pt>
                <c:pt idx="462">
                  <c:v>-5.1354939878499498E-2</c:v>
                </c:pt>
                <c:pt idx="463">
                  <c:v>-5.1254939878499495E-2</c:v>
                </c:pt>
                <c:pt idx="464">
                  <c:v>-5.1154939878499492E-2</c:v>
                </c:pt>
                <c:pt idx="465">
                  <c:v>-5.1054939878499489E-2</c:v>
                </c:pt>
                <c:pt idx="466">
                  <c:v>-5.0954939878499486E-2</c:v>
                </c:pt>
                <c:pt idx="467">
                  <c:v>-5.0854939878499483E-2</c:v>
                </c:pt>
                <c:pt idx="468">
                  <c:v>-5.075493987849948E-2</c:v>
                </c:pt>
                <c:pt idx="469">
                  <c:v>-5.0654939878499478E-2</c:v>
                </c:pt>
                <c:pt idx="470">
                  <c:v>-5.0554939878499475E-2</c:v>
                </c:pt>
                <c:pt idx="471">
                  <c:v>-5.0454939878499472E-2</c:v>
                </c:pt>
                <c:pt idx="472">
                  <c:v>-5.0354939878499469E-2</c:v>
                </c:pt>
                <c:pt idx="473">
                  <c:v>-5.0254939878499466E-2</c:v>
                </c:pt>
                <c:pt idx="474">
                  <c:v>-5.0154939878499463E-2</c:v>
                </c:pt>
                <c:pt idx="475">
                  <c:v>-5.005493987849946E-2</c:v>
                </c:pt>
                <c:pt idx="476">
                  <c:v>-4.9954939878499457E-2</c:v>
                </c:pt>
                <c:pt idx="477">
                  <c:v>-4.9854939878499455E-2</c:v>
                </c:pt>
                <c:pt idx="478">
                  <c:v>-4.9754939878499452E-2</c:v>
                </c:pt>
                <c:pt idx="479">
                  <c:v>-4.9654939878499449E-2</c:v>
                </c:pt>
                <c:pt idx="480">
                  <c:v>-4.9554939878499446E-2</c:v>
                </c:pt>
                <c:pt idx="481">
                  <c:v>-4.9454939878499443E-2</c:v>
                </c:pt>
                <c:pt idx="482">
                  <c:v>-4.935493987849944E-2</c:v>
                </c:pt>
                <c:pt idx="483">
                  <c:v>-4.9254939878499437E-2</c:v>
                </c:pt>
                <c:pt idx="484">
                  <c:v>-4.9154939878499435E-2</c:v>
                </c:pt>
                <c:pt idx="485">
                  <c:v>-4.9054939878499432E-2</c:v>
                </c:pt>
                <c:pt idx="486">
                  <c:v>-4.8954939878499429E-2</c:v>
                </c:pt>
                <c:pt idx="487">
                  <c:v>-4.8854939878499426E-2</c:v>
                </c:pt>
                <c:pt idx="488">
                  <c:v>-4.8754939878499423E-2</c:v>
                </c:pt>
                <c:pt idx="489">
                  <c:v>-4.865493987849942E-2</c:v>
                </c:pt>
                <c:pt idx="490">
                  <c:v>-4.8554939878499417E-2</c:v>
                </c:pt>
                <c:pt idx="491">
                  <c:v>-4.8454939878499415E-2</c:v>
                </c:pt>
                <c:pt idx="492">
                  <c:v>-4.8354939878499412E-2</c:v>
                </c:pt>
                <c:pt idx="493">
                  <c:v>-4.8254939878499409E-2</c:v>
                </c:pt>
                <c:pt idx="494">
                  <c:v>-4.8154939878499406E-2</c:v>
                </c:pt>
                <c:pt idx="495">
                  <c:v>-4.8054939878499403E-2</c:v>
                </c:pt>
                <c:pt idx="496">
                  <c:v>-4.79549398784994E-2</c:v>
                </c:pt>
                <c:pt idx="497">
                  <c:v>-4.7854939878499397E-2</c:v>
                </c:pt>
                <c:pt idx="498">
                  <c:v>-4.7754939878499394E-2</c:v>
                </c:pt>
                <c:pt idx="499">
                  <c:v>-4.7654939878499392E-2</c:v>
                </c:pt>
                <c:pt idx="500">
                  <c:v>-4.7554939878499389E-2</c:v>
                </c:pt>
                <c:pt idx="501">
                  <c:v>-4.7454939878499386E-2</c:v>
                </c:pt>
                <c:pt idx="502">
                  <c:v>-4.7354939878499383E-2</c:v>
                </c:pt>
                <c:pt idx="503">
                  <c:v>-4.725493987849938E-2</c:v>
                </c:pt>
                <c:pt idx="504">
                  <c:v>-4.7154939878499377E-2</c:v>
                </c:pt>
                <c:pt idx="505">
                  <c:v>-4.7054939878499374E-2</c:v>
                </c:pt>
                <c:pt idx="506">
                  <c:v>-4.6954939878499372E-2</c:v>
                </c:pt>
                <c:pt idx="507">
                  <c:v>-4.6854939878499369E-2</c:v>
                </c:pt>
                <c:pt idx="508">
                  <c:v>-4.6754939878499366E-2</c:v>
                </c:pt>
                <c:pt idx="509">
                  <c:v>-4.6654939878499363E-2</c:v>
                </c:pt>
                <c:pt idx="510">
                  <c:v>-4.655493987849936E-2</c:v>
                </c:pt>
                <c:pt idx="511">
                  <c:v>-4.6454939878499357E-2</c:v>
                </c:pt>
                <c:pt idx="512">
                  <c:v>-4.6354939878499354E-2</c:v>
                </c:pt>
                <c:pt idx="513">
                  <c:v>-4.6254939878499352E-2</c:v>
                </c:pt>
                <c:pt idx="514">
                  <c:v>-4.6154939878499349E-2</c:v>
                </c:pt>
                <c:pt idx="515">
                  <c:v>-4.6054939878499346E-2</c:v>
                </c:pt>
                <c:pt idx="516">
                  <c:v>-4.5954939878499343E-2</c:v>
                </c:pt>
                <c:pt idx="517">
                  <c:v>-4.585493987849934E-2</c:v>
                </c:pt>
                <c:pt idx="518">
                  <c:v>-4.5754939878499337E-2</c:v>
                </c:pt>
                <c:pt idx="519">
                  <c:v>-4.5654939878499334E-2</c:v>
                </c:pt>
                <c:pt idx="520">
                  <c:v>-4.5554939878499331E-2</c:v>
                </c:pt>
                <c:pt idx="521">
                  <c:v>-4.5454939878499329E-2</c:v>
                </c:pt>
                <c:pt idx="522">
                  <c:v>-4.5354939878499326E-2</c:v>
                </c:pt>
                <c:pt idx="523">
                  <c:v>-4.5254939878499323E-2</c:v>
                </c:pt>
                <c:pt idx="524">
                  <c:v>-4.515493987849932E-2</c:v>
                </c:pt>
                <c:pt idx="525">
                  <c:v>-4.5054939878499317E-2</c:v>
                </c:pt>
                <c:pt idx="526">
                  <c:v>-4.4954939878499314E-2</c:v>
                </c:pt>
                <c:pt idx="527">
                  <c:v>-4.4854939878499311E-2</c:v>
                </c:pt>
                <c:pt idx="528">
                  <c:v>-4.4754939878499309E-2</c:v>
                </c:pt>
                <c:pt idx="529">
                  <c:v>-4.4654939878499306E-2</c:v>
                </c:pt>
                <c:pt idx="530">
                  <c:v>-4.4554939878499303E-2</c:v>
                </c:pt>
                <c:pt idx="531">
                  <c:v>-4.44549398784993E-2</c:v>
                </c:pt>
                <c:pt idx="532">
                  <c:v>-4.4354939878499297E-2</c:v>
                </c:pt>
                <c:pt idx="533">
                  <c:v>-4.4254939878499294E-2</c:v>
                </c:pt>
                <c:pt idx="534">
                  <c:v>-4.4154939878499291E-2</c:v>
                </c:pt>
                <c:pt idx="535">
                  <c:v>-4.4054939878499288E-2</c:v>
                </c:pt>
                <c:pt idx="536">
                  <c:v>-4.3954939878499286E-2</c:v>
                </c:pt>
                <c:pt idx="537">
                  <c:v>-4.3854939878499283E-2</c:v>
                </c:pt>
                <c:pt idx="538">
                  <c:v>-4.375493987849928E-2</c:v>
                </c:pt>
                <c:pt idx="539">
                  <c:v>-4.3654939878499277E-2</c:v>
                </c:pt>
                <c:pt idx="540">
                  <c:v>-4.3554939878499274E-2</c:v>
                </c:pt>
                <c:pt idx="541">
                  <c:v>-4.3454939878499271E-2</c:v>
                </c:pt>
                <c:pt idx="542">
                  <c:v>-4.3354939878499268E-2</c:v>
                </c:pt>
                <c:pt idx="543">
                  <c:v>-4.3254939878499266E-2</c:v>
                </c:pt>
                <c:pt idx="544">
                  <c:v>-4.3154939878499263E-2</c:v>
                </c:pt>
                <c:pt idx="545">
                  <c:v>-4.305493987849926E-2</c:v>
                </c:pt>
                <c:pt idx="546">
                  <c:v>-4.2954939878499257E-2</c:v>
                </c:pt>
                <c:pt idx="547">
                  <c:v>-4.2854939878499254E-2</c:v>
                </c:pt>
                <c:pt idx="548">
                  <c:v>-4.2754939878499251E-2</c:v>
                </c:pt>
                <c:pt idx="549">
                  <c:v>-4.2654939878499248E-2</c:v>
                </c:pt>
                <c:pt idx="550">
                  <c:v>-4.2554939878499246E-2</c:v>
                </c:pt>
                <c:pt idx="551">
                  <c:v>-4.2454939878499243E-2</c:v>
                </c:pt>
                <c:pt idx="552">
                  <c:v>-4.235493987849924E-2</c:v>
                </c:pt>
                <c:pt idx="553">
                  <c:v>-4.2254939878499237E-2</c:v>
                </c:pt>
                <c:pt idx="554">
                  <c:v>-4.2154939878499234E-2</c:v>
                </c:pt>
                <c:pt idx="555">
                  <c:v>-4.2054939878499231E-2</c:v>
                </c:pt>
                <c:pt idx="556">
                  <c:v>-4.1954939878499228E-2</c:v>
                </c:pt>
                <c:pt idx="557">
                  <c:v>-4.1854939878499225E-2</c:v>
                </c:pt>
                <c:pt idx="558">
                  <c:v>-4.1754939878499223E-2</c:v>
                </c:pt>
                <c:pt idx="559">
                  <c:v>-4.165493987849922E-2</c:v>
                </c:pt>
                <c:pt idx="560">
                  <c:v>-4.1554939878499217E-2</c:v>
                </c:pt>
                <c:pt idx="561">
                  <c:v>-4.1454939878499214E-2</c:v>
                </c:pt>
                <c:pt idx="562">
                  <c:v>-4.1354939878499211E-2</c:v>
                </c:pt>
                <c:pt idx="563">
                  <c:v>-4.1254939878499208E-2</c:v>
                </c:pt>
                <c:pt idx="564">
                  <c:v>-4.1154939878499205E-2</c:v>
                </c:pt>
                <c:pt idx="565">
                  <c:v>-4.1054939878499203E-2</c:v>
                </c:pt>
                <c:pt idx="566">
                  <c:v>-4.09549398784992E-2</c:v>
                </c:pt>
                <c:pt idx="567">
                  <c:v>-4.0854939878499197E-2</c:v>
                </c:pt>
                <c:pt idx="568">
                  <c:v>-4.0754939878499194E-2</c:v>
                </c:pt>
                <c:pt idx="569">
                  <c:v>-4.0654939878499191E-2</c:v>
                </c:pt>
                <c:pt idx="570">
                  <c:v>-4.0554939878499188E-2</c:v>
                </c:pt>
                <c:pt idx="571">
                  <c:v>-4.0454939878499185E-2</c:v>
                </c:pt>
                <c:pt idx="572">
                  <c:v>-4.0354939878499183E-2</c:v>
                </c:pt>
                <c:pt idx="573">
                  <c:v>-4.025493987849918E-2</c:v>
                </c:pt>
                <c:pt idx="574">
                  <c:v>-4.0154939878499177E-2</c:v>
                </c:pt>
                <c:pt idx="575">
                  <c:v>-4.0054939878499174E-2</c:v>
                </c:pt>
                <c:pt idx="576">
                  <c:v>-3.9954939878499171E-2</c:v>
                </c:pt>
                <c:pt idx="577">
                  <c:v>-3.9854939878499168E-2</c:v>
                </c:pt>
                <c:pt idx="578">
                  <c:v>-3.9754939878499165E-2</c:v>
                </c:pt>
                <c:pt idx="579">
                  <c:v>-3.9654939878499162E-2</c:v>
                </c:pt>
                <c:pt idx="580">
                  <c:v>-3.955493987849916E-2</c:v>
                </c:pt>
                <c:pt idx="581">
                  <c:v>-3.9454939878499157E-2</c:v>
                </c:pt>
                <c:pt idx="582">
                  <c:v>-3.9354939878499154E-2</c:v>
                </c:pt>
                <c:pt idx="583">
                  <c:v>-3.9254939878499151E-2</c:v>
                </c:pt>
                <c:pt idx="584">
                  <c:v>-3.9154939878499148E-2</c:v>
                </c:pt>
                <c:pt idx="585">
                  <c:v>-3.9054939878499145E-2</c:v>
                </c:pt>
                <c:pt idx="586">
                  <c:v>-3.8954939878499142E-2</c:v>
                </c:pt>
                <c:pt idx="587">
                  <c:v>-3.885493987849914E-2</c:v>
                </c:pt>
                <c:pt idx="588">
                  <c:v>-3.8754939878499137E-2</c:v>
                </c:pt>
                <c:pt idx="589">
                  <c:v>-3.8654939878499134E-2</c:v>
                </c:pt>
                <c:pt idx="590">
                  <c:v>-3.8554939878499131E-2</c:v>
                </c:pt>
                <c:pt idx="591">
                  <c:v>-3.8454939878499128E-2</c:v>
                </c:pt>
                <c:pt idx="592">
                  <c:v>-3.8354939878499125E-2</c:v>
                </c:pt>
                <c:pt idx="593">
                  <c:v>-3.8254939878499122E-2</c:v>
                </c:pt>
                <c:pt idx="594">
                  <c:v>-3.8154939878499119E-2</c:v>
                </c:pt>
                <c:pt idx="595">
                  <c:v>-3.8054939878499117E-2</c:v>
                </c:pt>
                <c:pt idx="596">
                  <c:v>-3.7954939878499114E-2</c:v>
                </c:pt>
                <c:pt idx="597">
                  <c:v>-3.7854939878499111E-2</c:v>
                </c:pt>
                <c:pt idx="598">
                  <c:v>-3.7754939878499108E-2</c:v>
                </c:pt>
                <c:pt idx="599">
                  <c:v>-3.7654939878499105E-2</c:v>
                </c:pt>
                <c:pt idx="600">
                  <c:v>-3.7554939878499102E-2</c:v>
                </c:pt>
                <c:pt idx="601">
                  <c:v>-3.7454939878499099E-2</c:v>
                </c:pt>
                <c:pt idx="602">
                  <c:v>-3.7354939878499097E-2</c:v>
                </c:pt>
                <c:pt idx="603">
                  <c:v>-3.7254939878499094E-2</c:v>
                </c:pt>
                <c:pt idx="604">
                  <c:v>-3.7154939878499091E-2</c:v>
                </c:pt>
                <c:pt idx="605">
                  <c:v>-3.7054939878499088E-2</c:v>
                </c:pt>
                <c:pt idx="606">
                  <c:v>-3.6954939878499085E-2</c:v>
                </c:pt>
                <c:pt idx="607">
                  <c:v>-3.6854939878499082E-2</c:v>
                </c:pt>
                <c:pt idx="608">
                  <c:v>-3.6754939878499079E-2</c:v>
                </c:pt>
                <c:pt idx="609">
                  <c:v>-3.6654939878499077E-2</c:v>
                </c:pt>
                <c:pt idx="610">
                  <c:v>-3.6554939878499074E-2</c:v>
                </c:pt>
                <c:pt idx="611">
                  <c:v>-3.6454939878499071E-2</c:v>
                </c:pt>
                <c:pt idx="612">
                  <c:v>-3.6354939878499068E-2</c:v>
                </c:pt>
                <c:pt idx="613">
                  <c:v>-3.6254939878499065E-2</c:v>
                </c:pt>
                <c:pt idx="614">
                  <c:v>-3.6154939878499062E-2</c:v>
                </c:pt>
                <c:pt idx="615">
                  <c:v>-3.6054939878499059E-2</c:v>
                </c:pt>
                <c:pt idx="616">
                  <c:v>-3.5954939878499056E-2</c:v>
                </c:pt>
                <c:pt idx="617">
                  <c:v>-3.5854939878499054E-2</c:v>
                </c:pt>
                <c:pt idx="618">
                  <c:v>-3.5754939878499051E-2</c:v>
                </c:pt>
                <c:pt idx="619">
                  <c:v>-3.5654939878499048E-2</c:v>
                </c:pt>
                <c:pt idx="620">
                  <c:v>-3.5554939878499045E-2</c:v>
                </c:pt>
                <c:pt idx="621">
                  <c:v>-3.5454939878499042E-2</c:v>
                </c:pt>
                <c:pt idx="622">
                  <c:v>-3.5354939878499039E-2</c:v>
                </c:pt>
                <c:pt idx="623">
                  <c:v>-3.5254939878499036E-2</c:v>
                </c:pt>
                <c:pt idx="624">
                  <c:v>-3.5154939878499034E-2</c:v>
                </c:pt>
                <c:pt idx="625">
                  <c:v>-3.5054939878499031E-2</c:v>
                </c:pt>
                <c:pt idx="626">
                  <c:v>-3.4954939878499028E-2</c:v>
                </c:pt>
                <c:pt idx="627">
                  <c:v>-3.4854939878499025E-2</c:v>
                </c:pt>
                <c:pt idx="628">
                  <c:v>-3.4754939878499022E-2</c:v>
                </c:pt>
                <c:pt idx="629">
                  <c:v>-3.4654939878499019E-2</c:v>
                </c:pt>
                <c:pt idx="630">
                  <c:v>-3.4554939878499016E-2</c:v>
                </c:pt>
                <c:pt idx="631">
                  <c:v>-3.4454939878499014E-2</c:v>
                </c:pt>
                <c:pt idx="632">
                  <c:v>-3.4354939878499011E-2</c:v>
                </c:pt>
                <c:pt idx="633">
                  <c:v>-3.4254939878499008E-2</c:v>
                </c:pt>
                <c:pt idx="634">
                  <c:v>-3.4154939878499005E-2</c:v>
                </c:pt>
                <c:pt idx="635">
                  <c:v>-3.4054939878499002E-2</c:v>
                </c:pt>
                <c:pt idx="636">
                  <c:v>-3.3954939878498999E-2</c:v>
                </c:pt>
                <c:pt idx="637">
                  <c:v>-3.3854939878498996E-2</c:v>
                </c:pt>
                <c:pt idx="638">
                  <c:v>-3.3754939878498993E-2</c:v>
                </c:pt>
                <c:pt idx="639">
                  <c:v>-3.3654939878498991E-2</c:v>
                </c:pt>
                <c:pt idx="640">
                  <c:v>-3.3554939878498988E-2</c:v>
                </c:pt>
                <c:pt idx="641">
                  <c:v>-3.3454939878498985E-2</c:v>
                </c:pt>
                <c:pt idx="642">
                  <c:v>-3.3354939878498982E-2</c:v>
                </c:pt>
                <c:pt idx="643">
                  <c:v>-3.3254939878498979E-2</c:v>
                </c:pt>
                <c:pt idx="644">
                  <c:v>-3.3154939878498976E-2</c:v>
                </c:pt>
                <c:pt idx="645">
                  <c:v>-3.3054939878498973E-2</c:v>
                </c:pt>
                <c:pt idx="646">
                  <c:v>-3.2954939878498971E-2</c:v>
                </c:pt>
                <c:pt idx="647">
                  <c:v>-3.2854939878498968E-2</c:v>
                </c:pt>
                <c:pt idx="648">
                  <c:v>-3.2754939878498965E-2</c:v>
                </c:pt>
                <c:pt idx="649">
                  <c:v>-3.2654939878498962E-2</c:v>
                </c:pt>
                <c:pt idx="650">
                  <c:v>-3.2554939878498959E-2</c:v>
                </c:pt>
                <c:pt idx="651">
                  <c:v>-3.2454939878498956E-2</c:v>
                </c:pt>
                <c:pt idx="652">
                  <c:v>-3.2354939878498953E-2</c:v>
                </c:pt>
                <c:pt idx="653">
                  <c:v>-3.2254939878498951E-2</c:v>
                </c:pt>
                <c:pt idx="654">
                  <c:v>-3.2154939878498948E-2</c:v>
                </c:pt>
                <c:pt idx="655">
                  <c:v>-3.2054939878498945E-2</c:v>
                </c:pt>
                <c:pt idx="656">
                  <c:v>-3.1954939878498942E-2</c:v>
                </c:pt>
                <c:pt idx="657">
                  <c:v>-3.1854939878498939E-2</c:v>
                </c:pt>
                <c:pt idx="658">
                  <c:v>-3.1754939878498936E-2</c:v>
                </c:pt>
                <c:pt idx="659">
                  <c:v>-3.1654939878498933E-2</c:v>
                </c:pt>
                <c:pt idx="660">
                  <c:v>-3.155493987849893E-2</c:v>
                </c:pt>
                <c:pt idx="661">
                  <c:v>-3.1454939878498928E-2</c:v>
                </c:pt>
                <c:pt idx="662">
                  <c:v>-3.1354939878498925E-2</c:v>
                </c:pt>
                <c:pt idx="663">
                  <c:v>-3.1254939878498922E-2</c:v>
                </c:pt>
                <c:pt idx="664">
                  <c:v>-3.1154939878498922E-2</c:v>
                </c:pt>
                <c:pt idx="665">
                  <c:v>-3.1054939878498923E-2</c:v>
                </c:pt>
                <c:pt idx="666">
                  <c:v>-3.0954939878498924E-2</c:v>
                </c:pt>
                <c:pt idx="667">
                  <c:v>-3.0854939878498924E-2</c:v>
                </c:pt>
                <c:pt idx="668">
                  <c:v>-3.0754939878498925E-2</c:v>
                </c:pt>
                <c:pt idx="669">
                  <c:v>-3.0654939878498925E-2</c:v>
                </c:pt>
                <c:pt idx="670">
                  <c:v>-3.0554939878498926E-2</c:v>
                </c:pt>
                <c:pt idx="671">
                  <c:v>-3.0454939878498927E-2</c:v>
                </c:pt>
                <c:pt idx="672">
                  <c:v>-3.0354939878498927E-2</c:v>
                </c:pt>
                <c:pt idx="673">
                  <c:v>-3.0254939878498928E-2</c:v>
                </c:pt>
                <c:pt idx="674">
                  <c:v>-3.0154939878498929E-2</c:v>
                </c:pt>
                <c:pt idx="675">
                  <c:v>-3.0054939878498929E-2</c:v>
                </c:pt>
                <c:pt idx="676">
                  <c:v>-2.995493987849893E-2</c:v>
                </c:pt>
                <c:pt idx="677">
                  <c:v>-2.985493987849893E-2</c:v>
                </c:pt>
                <c:pt idx="678">
                  <c:v>-2.9754939878498931E-2</c:v>
                </c:pt>
                <c:pt idx="679">
                  <c:v>-2.9654939878498932E-2</c:v>
                </c:pt>
                <c:pt idx="680">
                  <c:v>-2.9554939878498932E-2</c:v>
                </c:pt>
                <c:pt idx="681">
                  <c:v>-2.9454939878498933E-2</c:v>
                </c:pt>
                <c:pt idx="682">
                  <c:v>-2.9354939878498933E-2</c:v>
                </c:pt>
                <c:pt idx="683">
                  <c:v>-2.9254939878498934E-2</c:v>
                </c:pt>
                <c:pt idx="684">
                  <c:v>-2.9154939878498935E-2</c:v>
                </c:pt>
                <c:pt idx="685">
                  <c:v>-2.9054939878498935E-2</c:v>
                </c:pt>
                <c:pt idx="686">
                  <c:v>-2.8954939878498936E-2</c:v>
                </c:pt>
                <c:pt idx="687">
                  <c:v>-2.8854939878498936E-2</c:v>
                </c:pt>
                <c:pt idx="688">
                  <c:v>-2.8754939878498937E-2</c:v>
                </c:pt>
                <c:pt idx="689">
                  <c:v>-2.8654939878498938E-2</c:v>
                </c:pt>
                <c:pt idx="690">
                  <c:v>-2.8554939878498938E-2</c:v>
                </c:pt>
                <c:pt idx="691">
                  <c:v>-2.8454939878498939E-2</c:v>
                </c:pt>
                <c:pt idx="692">
                  <c:v>-2.8354939878498939E-2</c:v>
                </c:pt>
                <c:pt idx="693">
                  <c:v>-2.825493987849894E-2</c:v>
                </c:pt>
                <c:pt idx="694">
                  <c:v>-2.8154939878498941E-2</c:v>
                </c:pt>
                <c:pt idx="695">
                  <c:v>-2.8054939878498941E-2</c:v>
                </c:pt>
                <c:pt idx="696">
                  <c:v>-2.7954939878498942E-2</c:v>
                </c:pt>
                <c:pt idx="697">
                  <c:v>-2.7854939878498942E-2</c:v>
                </c:pt>
                <c:pt idx="698">
                  <c:v>-2.7754939878498943E-2</c:v>
                </c:pt>
                <c:pt idx="699">
                  <c:v>-2.7654939878498944E-2</c:v>
                </c:pt>
                <c:pt idx="700">
                  <c:v>-2.7554939878498944E-2</c:v>
                </c:pt>
                <c:pt idx="701">
                  <c:v>-2.7454939878498945E-2</c:v>
                </c:pt>
                <c:pt idx="702">
                  <c:v>-2.7354939878498945E-2</c:v>
                </c:pt>
                <c:pt idx="703">
                  <c:v>-2.7254939878498946E-2</c:v>
                </c:pt>
                <c:pt idx="704">
                  <c:v>-2.7154939878498947E-2</c:v>
                </c:pt>
                <c:pt idx="705">
                  <c:v>-2.7054939878498947E-2</c:v>
                </c:pt>
                <c:pt idx="706">
                  <c:v>-2.6954939878498948E-2</c:v>
                </c:pt>
                <c:pt idx="707">
                  <c:v>-2.6854939878498948E-2</c:v>
                </c:pt>
                <c:pt idx="708">
                  <c:v>-2.6754939878498949E-2</c:v>
                </c:pt>
                <c:pt idx="709">
                  <c:v>-2.665493987849895E-2</c:v>
                </c:pt>
                <c:pt idx="710">
                  <c:v>-2.655493987849895E-2</c:v>
                </c:pt>
                <c:pt idx="711">
                  <c:v>-2.6454939878498951E-2</c:v>
                </c:pt>
                <c:pt idx="712">
                  <c:v>-2.6354939878498952E-2</c:v>
                </c:pt>
                <c:pt idx="713">
                  <c:v>-2.6254939878498952E-2</c:v>
                </c:pt>
                <c:pt idx="714">
                  <c:v>-2.6154939878498953E-2</c:v>
                </c:pt>
                <c:pt idx="715">
                  <c:v>-2.6054939878498953E-2</c:v>
                </c:pt>
                <c:pt idx="716">
                  <c:v>-2.5954939878498954E-2</c:v>
                </c:pt>
                <c:pt idx="717">
                  <c:v>-2.5854939878498955E-2</c:v>
                </c:pt>
                <c:pt idx="718">
                  <c:v>-2.5754939878498955E-2</c:v>
                </c:pt>
                <c:pt idx="719">
                  <c:v>-2.5654939878498956E-2</c:v>
                </c:pt>
                <c:pt idx="720">
                  <c:v>-2.5554939878498956E-2</c:v>
                </c:pt>
                <c:pt idx="721">
                  <c:v>-2.5454939878498957E-2</c:v>
                </c:pt>
                <c:pt idx="722">
                  <c:v>-2.5354939878498958E-2</c:v>
                </c:pt>
                <c:pt idx="723">
                  <c:v>-2.5254939878498958E-2</c:v>
                </c:pt>
                <c:pt idx="724">
                  <c:v>-2.5154939878498959E-2</c:v>
                </c:pt>
                <c:pt idx="725">
                  <c:v>-2.5054939878498959E-2</c:v>
                </c:pt>
                <c:pt idx="726">
                  <c:v>-2.495493987849896E-2</c:v>
                </c:pt>
                <c:pt idx="727">
                  <c:v>-2.4854939878498961E-2</c:v>
                </c:pt>
                <c:pt idx="728">
                  <c:v>-2.4754939878498961E-2</c:v>
                </c:pt>
                <c:pt idx="729">
                  <c:v>-2.4654939878498962E-2</c:v>
                </c:pt>
                <c:pt idx="730">
                  <c:v>-2.4554939878498962E-2</c:v>
                </c:pt>
                <c:pt idx="731">
                  <c:v>-2.4454939878498963E-2</c:v>
                </c:pt>
                <c:pt idx="732">
                  <c:v>-2.4354939878498964E-2</c:v>
                </c:pt>
                <c:pt idx="733">
                  <c:v>-2.4254939878498964E-2</c:v>
                </c:pt>
                <c:pt idx="734">
                  <c:v>-2.4154939878498965E-2</c:v>
                </c:pt>
                <c:pt idx="735">
                  <c:v>-2.4054939878498965E-2</c:v>
                </c:pt>
                <c:pt idx="736">
                  <c:v>-2.3954939878498966E-2</c:v>
                </c:pt>
                <c:pt idx="737">
                  <c:v>-2.3854939878498967E-2</c:v>
                </c:pt>
                <c:pt idx="738">
                  <c:v>-2.3754939878498967E-2</c:v>
                </c:pt>
                <c:pt idx="739">
                  <c:v>-2.3654939878498968E-2</c:v>
                </c:pt>
                <c:pt idx="740">
                  <c:v>-2.3554939878498968E-2</c:v>
                </c:pt>
                <c:pt idx="741">
                  <c:v>-2.3454939878498969E-2</c:v>
                </c:pt>
                <c:pt idx="742">
                  <c:v>-2.335493987849897E-2</c:v>
                </c:pt>
                <c:pt idx="743">
                  <c:v>-2.325493987849897E-2</c:v>
                </c:pt>
                <c:pt idx="744">
                  <c:v>-2.3154939878498971E-2</c:v>
                </c:pt>
                <c:pt idx="745">
                  <c:v>-2.3054939878498971E-2</c:v>
                </c:pt>
                <c:pt idx="746">
                  <c:v>-2.2954939878498972E-2</c:v>
                </c:pt>
                <c:pt idx="747">
                  <c:v>-2.2854939878498973E-2</c:v>
                </c:pt>
                <c:pt idx="748">
                  <c:v>-2.2754939878498973E-2</c:v>
                </c:pt>
                <c:pt idx="749">
                  <c:v>-2.2654939878498974E-2</c:v>
                </c:pt>
                <c:pt idx="750">
                  <c:v>-2.2554939878498974E-2</c:v>
                </c:pt>
                <c:pt idx="751">
                  <c:v>-2.2454939878498975E-2</c:v>
                </c:pt>
                <c:pt idx="752">
                  <c:v>-2.2354939878498976E-2</c:v>
                </c:pt>
                <c:pt idx="753">
                  <c:v>-2.2254939878498976E-2</c:v>
                </c:pt>
                <c:pt idx="754">
                  <c:v>-2.2154939878498977E-2</c:v>
                </c:pt>
                <c:pt idx="755">
                  <c:v>-2.2054939878498978E-2</c:v>
                </c:pt>
                <c:pt idx="756">
                  <c:v>-2.1954939878498978E-2</c:v>
                </c:pt>
                <c:pt idx="757">
                  <c:v>-2.1854939878498979E-2</c:v>
                </c:pt>
                <c:pt idx="758">
                  <c:v>-2.1754939878498979E-2</c:v>
                </c:pt>
                <c:pt idx="759">
                  <c:v>-2.165493987849898E-2</c:v>
                </c:pt>
                <c:pt idx="760">
                  <c:v>-2.1554939878498981E-2</c:v>
                </c:pt>
                <c:pt idx="761">
                  <c:v>-2.1454939878498981E-2</c:v>
                </c:pt>
                <c:pt idx="762">
                  <c:v>-2.1354939878498982E-2</c:v>
                </c:pt>
                <c:pt idx="763">
                  <c:v>-2.1254939878498982E-2</c:v>
                </c:pt>
                <c:pt idx="764">
                  <c:v>-2.1154939878498983E-2</c:v>
                </c:pt>
                <c:pt idx="765">
                  <c:v>-2.1054939878498984E-2</c:v>
                </c:pt>
                <c:pt idx="766">
                  <c:v>-2.0954939878498984E-2</c:v>
                </c:pt>
                <c:pt idx="767">
                  <c:v>-2.0854939878498985E-2</c:v>
                </c:pt>
                <c:pt idx="768">
                  <c:v>-2.0754939878498985E-2</c:v>
                </c:pt>
                <c:pt idx="769">
                  <c:v>-2.0654939878498986E-2</c:v>
                </c:pt>
                <c:pt idx="770">
                  <c:v>-2.0554939878498987E-2</c:v>
                </c:pt>
                <c:pt idx="771">
                  <c:v>-2.0454939878498987E-2</c:v>
                </c:pt>
                <c:pt idx="772">
                  <c:v>-2.0354939878498988E-2</c:v>
                </c:pt>
                <c:pt idx="773">
                  <c:v>-2.0254939878498988E-2</c:v>
                </c:pt>
                <c:pt idx="774">
                  <c:v>-2.0154939878498989E-2</c:v>
                </c:pt>
                <c:pt idx="775">
                  <c:v>-2.005493987849899E-2</c:v>
                </c:pt>
                <c:pt idx="776">
                  <c:v>-1.995493987849899E-2</c:v>
                </c:pt>
                <c:pt idx="777">
                  <c:v>-1.9854939878498991E-2</c:v>
                </c:pt>
                <c:pt idx="778">
                  <c:v>-1.9754939878498991E-2</c:v>
                </c:pt>
                <c:pt idx="779">
                  <c:v>-1.9654939878498992E-2</c:v>
                </c:pt>
                <c:pt idx="780">
                  <c:v>-1.9554939878498993E-2</c:v>
                </c:pt>
                <c:pt idx="781">
                  <c:v>-1.9454939878498993E-2</c:v>
                </c:pt>
                <c:pt idx="782">
                  <c:v>-1.9354939878498994E-2</c:v>
                </c:pt>
                <c:pt idx="783">
                  <c:v>-1.9254939878498994E-2</c:v>
                </c:pt>
                <c:pt idx="784">
                  <c:v>-1.9154939878498995E-2</c:v>
                </c:pt>
                <c:pt idx="785">
                  <c:v>-1.9054939878498996E-2</c:v>
                </c:pt>
                <c:pt idx="786">
                  <c:v>-1.8954939878498996E-2</c:v>
                </c:pt>
                <c:pt idx="787">
                  <c:v>-1.8854939878498997E-2</c:v>
                </c:pt>
                <c:pt idx="788">
                  <c:v>-1.8754939878498997E-2</c:v>
                </c:pt>
                <c:pt idx="789">
                  <c:v>-1.8654939878498998E-2</c:v>
                </c:pt>
                <c:pt idx="790">
                  <c:v>-1.8554939878498999E-2</c:v>
                </c:pt>
                <c:pt idx="791">
                  <c:v>-1.8454939878498999E-2</c:v>
                </c:pt>
                <c:pt idx="792">
                  <c:v>-1.8354939878499E-2</c:v>
                </c:pt>
                <c:pt idx="793">
                  <c:v>-1.8254939878499001E-2</c:v>
                </c:pt>
                <c:pt idx="794">
                  <c:v>-1.8154939878499001E-2</c:v>
                </c:pt>
                <c:pt idx="795">
                  <c:v>-1.8054939878499002E-2</c:v>
                </c:pt>
                <c:pt idx="796">
                  <c:v>-1.7954939878499002E-2</c:v>
                </c:pt>
                <c:pt idx="797">
                  <c:v>-1.7854939878499003E-2</c:v>
                </c:pt>
                <c:pt idx="798">
                  <c:v>-1.7754939878499004E-2</c:v>
                </c:pt>
                <c:pt idx="799">
                  <c:v>-1.7654939878499004E-2</c:v>
                </c:pt>
                <c:pt idx="800">
                  <c:v>-1.7554939878499005E-2</c:v>
                </c:pt>
                <c:pt idx="801">
                  <c:v>-1.7454939878499005E-2</c:v>
                </c:pt>
                <c:pt idx="802">
                  <c:v>-1.7354939878499006E-2</c:v>
                </c:pt>
                <c:pt idx="803">
                  <c:v>-1.7254939878499007E-2</c:v>
                </c:pt>
                <c:pt idx="804">
                  <c:v>-1.7154939878499007E-2</c:v>
                </c:pt>
                <c:pt idx="805">
                  <c:v>-1.7054939878499008E-2</c:v>
                </c:pt>
                <c:pt idx="806">
                  <c:v>-1.6954939878499008E-2</c:v>
                </c:pt>
                <c:pt idx="807">
                  <c:v>-1.6854939878499009E-2</c:v>
                </c:pt>
                <c:pt idx="808">
                  <c:v>-1.675493987849901E-2</c:v>
                </c:pt>
                <c:pt idx="809">
                  <c:v>-1.665493987849901E-2</c:v>
                </c:pt>
                <c:pt idx="810">
                  <c:v>-1.6554939878499011E-2</c:v>
                </c:pt>
                <c:pt idx="811">
                  <c:v>-1.6454939878499011E-2</c:v>
                </c:pt>
                <c:pt idx="812">
                  <c:v>-1.6354939878499012E-2</c:v>
                </c:pt>
                <c:pt idx="813">
                  <c:v>-1.6254939878499013E-2</c:v>
                </c:pt>
                <c:pt idx="814">
                  <c:v>-1.6154939878499013E-2</c:v>
                </c:pt>
                <c:pt idx="815">
                  <c:v>-1.6054939878499014E-2</c:v>
                </c:pt>
                <c:pt idx="816">
                  <c:v>-1.5954939878499014E-2</c:v>
                </c:pt>
                <c:pt idx="817">
                  <c:v>-1.5854939878499015E-2</c:v>
                </c:pt>
                <c:pt idx="818">
                  <c:v>-1.5754939878499016E-2</c:v>
                </c:pt>
                <c:pt idx="819">
                  <c:v>-1.5654939878499016E-2</c:v>
                </c:pt>
                <c:pt idx="820">
                  <c:v>-1.5554939878499017E-2</c:v>
                </c:pt>
                <c:pt idx="821">
                  <c:v>-1.5454939878499017E-2</c:v>
                </c:pt>
                <c:pt idx="822">
                  <c:v>-1.5354939878499018E-2</c:v>
                </c:pt>
                <c:pt idx="823">
                  <c:v>-1.5254939878499019E-2</c:v>
                </c:pt>
                <c:pt idx="824">
                  <c:v>-1.5154939878499019E-2</c:v>
                </c:pt>
                <c:pt idx="825">
                  <c:v>-1.505493987849902E-2</c:v>
                </c:pt>
                <c:pt idx="826">
                  <c:v>-1.495493987849902E-2</c:v>
                </c:pt>
                <c:pt idx="827">
                  <c:v>-1.4854939878499021E-2</c:v>
                </c:pt>
                <c:pt idx="828">
                  <c:v>-1.4754939878499022E-2</c:v>
                </c:pt>
                <c:pt idx="829">
                  <c:v>-1.4654939878499022E-2</c:v>
                </c:pt>
                <c:pt idx="830">
                  <c:v>-1.4554939878499023E-2</c:v>
                </c:pt>
                <c:pt idx="831">
                  <c:v>-1.4454939878499024E-2</c:v>
                </c:pt>
                <c:pt idx="832">
                  <c:v>-1.4354939878499024E-2</c:v>
                </c:pt>
                <c:pt idx="833">
                  <c:v>-1.4254939878499025E-2</c:v>
                </c:pt>
                <c:pt idx="834">
                  <c:v>-1.4154939878499025E-2</c:v>
                </c:pt>
                <c:pt idx="835">
                  <c:v>-1.4054939878499026E-2</c:v>
                </c:pt>
                <c:pt idx="836">
                  <c:v>-1.3954939878499027E-2</c:v>
                </c:pt>
                <c:pt idx="837">
                  <c:v>-1.3854939878499027E-2</c:v>
                </c:pt>
                <c:pt idx="838">
                  <c:v>-1.3754939878499028E-2</c:v>
                </c:pt>
                <c:pt idx="839">
                  <c:v>-1.3654939878499028E-2</c:v>
                </c:pt>
                <c:pt idx="840">
                  <c:v>-1.3554939878499029E-2</c:v>
                </c:pt>
                <c:pt idx="841">
                  <c:v>-1.345493987849903E-2</c:v>
                </c:pt>
                <c:pt idx="842">
                  <c:v>-1.335493987849903E-2</c:v>
                </c:pt>
                <c:pt idx="843">
                  <c:v>-1.3254939878499031E-2</c:v>
                </c:pt>
                <c:pt idx="844">
                  <c:v>-1.3154939878499031E-2</c:v>
                </c:pt>
                <c:pt idx="845">
                  <c:v>-1.3054939878499032E-2</c:v>
                </c:pt>
                <c:pt idx="846">
                  <c:v>-1.2954939878499033E-2</c:v>
                </c:pt>
                <c:pt idx="847">
                  <c:v>-1.2854939878499033E-2</c:v>
                </c:pt>
                <c:pt idx="848">
                  <c:v>-1.2754939878499034E-2</c:v>
                </c:pt>
                <c:pt idx="849">
                  <c:v>-1.2654939878499034E-2</c:v>
                </c:pt>
                <c:pt idx="850">
                  <c:v>-1.2554939878499035E-2</c:v>
                </c:pt>
                <c:pt idx="851">
                  <c:v>-1.2454939878499036E-2</c:v>
                </c:pt>
                <c:pt idx="852">
                  <c:v>-1.2354939878499036E-2</c:v>
                </c:pt>
                <c:pt idx="853">
                  <c:v>-1.2254939878499037E-2</c:v>
                </c:pt>
                <c:pt idx="854">
                  <c:v>-1.2154939878499037E-2</c:v>
                </c:pt>
                <c:pt idx="855">
                  <c:v>-1.2054939878499038E-2</c:v>
                </c:pt>
                <c:pt idx="856">
                  <c:v>-1.1954939878499039E-2</c:v>
                </c:pt>
                <c:pt idx="857">
                  <c:v>-1.1854939878499039E-2</c:v>
                </c:pt>
                <c:pt idx="858">
                  <c:v>-1.175493987849904E-2</c:v>
                </c:pt>
                <c:pt idx="859">
                  <c:v>-1.165493987849904E-2</c:v>
                </c:pt>
                <c:pt idx="860">
                  <c:v>-1.1554939878499041E-2</c:v>
                </c:pt>
                <c:pt idx="861">
                  <c:v>-1.1454939878499042E-2</c:v>
                </c:pt>
                <c:pt idx="862">
                  <c:v>-1.1354939878499042E-2</c:v>
                </c:pt>
                <c:pt idx="863">
                  <c:v>-1.1254939878499043E-2</c:v>
                </c:pt>
                <c:pt idx="864">
                  <c:v>-1.1154939878499043E-2</c:v>
                </c:pt>
                <c:pt idx="865">
                  <c:v>-1.1054939878499044E-2</c:v>
                </c:pt>
                <c:pt idx="866">
                  <c:v>-1.0954939878499045E-2</c:v>
                </c:pt>
                <c:pt idx="867">
                  <c:v>-1.0854939878499045E-2</c:v>
                </c:pt>
                <c:pt idx="868">
                  <c:v>-1.0754939878499046E-2</c:v>
                </c:pt>
                <c:pt idx="869">
                  <c:v>-1.0654939878499047E-2</c:v>
                </c:pt>
                <c:pt idx="870">
                  <c:v>-1.0554939878499047E-2</c:v>
                </c:pt>
                <c:pt idx="871">
                  <c:v>-1.0454939878499048E-2</c:v>
                </c:pt>
                <c:pt idx="872">
                  <c:v>-1.0354939878499048E-2</c:v>
                </c:pt>
                <c:pt idx="873">
                  <c:v>-1.0254939878499049E-2</c:v>
                </c:pt>
                <c:pt idx="874">
                  <c:v>-1.015493987849905E-2</c:v>
                </c:pt>
                <c:pt idx="875">
                  <c:v>-1.005493987849905E-2</c:v>
                </c:pt>
                <c:pt idx="876">
                  <c:v>-9.9549398784990507E-3</c:v>
                </c:pt>
                <c:pt idx="877">
                  <c:v>-9.8549398784990513E-3</c:v>
                </c:pt>
                <c:pt idx="878">
                  <c:v>-9.7549398784990519E-3</c:v>
                </c:pt>
                <c:pt idx="879">
                  <c:v>-9.6549398784990526E-3</c:v>
                </c:pt>
                <c:pt idx="880">
                  <c:v>-9.5549398784990532E-3</c:v>
                </c:pt>
                <c:pt idx="881">
                  <c:v>-9.4549398784990538E-3</c:v>
                </c:pt>
                <c:pt idx="882">
                  <c:v>-9.3549398784990544E-3</c:v>
                </c:pt>
                <c:pt idx="883">
                  <c:v>-9.254939878499055E-3</c:v>
                </c:pt>
                <c:pt idx="884">
                  <c:v>-9.1549398784990556E-3</c:v>
                </c:pt>
                <c:pt idx="885">
                  <c:v>-9.0549398784990562E-3</c:v>
                </c:pt>
                <c:pt idx="886">
                  <c:v>-8.9549398784990568E-3</c:v>
                </c:pt>
                <c:pt idx="887">
                  <c:v>-8.8549398784990574E-3</c:v>
                </c:pt>
                <c:pt idx="888">
                  <c:v>-8.754939878499058E-3</c:v>
                </c:pt>
                <c:pt idx="889">
                  <c:v>-8.6549398784990586E-3</c:v>
                </c:pt>
                <c:pt idx="890">
                  <c:v>-8.5549398784990592E-3</c:v>
                </c:pt>
                <c:pt idx="891">
                  <c:v>-8.4549398784990598E-3</c:v>
                </c:pt>
                <c:pt idx="892">
                  <c:v>-8.3549398784990604E-3</c:v>
                </c:pt>
                <c:pt idx="893">
                  <c:v>-8.254939878499061E-3</c:v>
                </c:pt>
                <c:pt idx="894">
                  <c:v>-8.1549398784990616E-3</c:v>
                </c:pt>
                <c:pt idx="895">
                  <c:v>-8.0549398784990622E-3</c:v>
                </c:pt>
                <c:pt idx="896">
                  <c:v>-7.9549398784990628E-3</c:v>
                </c:pt>
                <c:pt idx="897">
                  <c:v>-7.8549398784990634E-3</c:v>
                </c:pt>
                <c:pt idx="898">
                  <c:v>-7.7549398784990632E-3</c:v>
                </c:pt>
                <c:pt idx="899">
                  <c:v>-7.6549398784990629E-3</c:v>
                </c:pt>
                <c:pt idx="900">
                  <c:v>-7.5549398784990627E-3</c:v>
                </c:pt>
                <c:pt idx="901">
                  <c:v>-7.4549398784990624E-3</c:v>
                </c:pt>
                <c:pt idx="902">
                  <c:v>-7.3549398784990621E-3</c:v>
                </c:pt>
                <c:pt idx="903">
                  <c:v>-7.2549398784990619E-3</c:v>
                </c:pt>
                <c:pt idx="904">
                  <c:v>-7.1549398784990616E-3</c:v>
                </c:pt>
                <c:pt idx="905">
                  <c:v>-7.0549398784990613E-3</c:v>
                </c:pt>
                <c:pt idx="906">
                  <c:v>-6.9549398784990611E-3</c:v>
                </c:pt>
                <c:pt idx="907">
                  <c:v>-6.8549398784990608E-3</c:v>
                </c:pt>
                <c:pt idx="908">
                  <c:v>-6.7549398784990606E-3</c:v>
                </c:pt>
                <c:pt idx="909">
                  <c:v>-6.6549398784990603E-3</c:v>
                </c:pt>
                <c:pt idx="910">
                  <c:v>-6.55493987849906E-3</c:v>
                </c:pt>
                <c:pt idx="911">
                  <c:v>-6.4549398784990598E-3</c:v>
                </c:pt>
                <c:pt idx="912">
                  <c:v>-6.3549398784990595E-3</c:v>
                </c:pt>
                <c:pt idx="913">
                  <c:v>-6.2549398784990592E-3</c:v>
                </c:pt>
                <c:pt idx="914">
                  <c:v>-6.154939878499059E-3</c:v>
                </c:pt>
                <c:pt idx="915">
                  <c:v>-6.0549398784990587E-3</c:v>
                </c:pt>
                <c:pt idx="916">
                  <c:v>-5.9549398784990585E-3</c:v>
                </c:pt>
                <c:pt idx="917">
                  <c:v>-5.8549398784990582E-3</c:v>
                </c:pt>
                <c:pt idx="918">
                  <c:v>-5.7549398784990579E-3</c:v>
                </c:pt>
                <c:pt idx="919">
                  <c:v>-5.6549398784990577E-3</c:v>
                </c:pt>
                <c:pt idx="920">
                  <c:v>-5.5549398784990574E-3</c:v>
                </c:pt>
                <c:pt idx="921">
                  <c:v>-5.4549398784990571E-3</c:v>
                </c:pt>
                <c:pt idx="922">
                  <c:v>-5.3549398784990569E-3</c:v>
                </c:pt>
                <c:pt idx="923">
                  <c:v>-5.2549398784990566E-3</c:v>
                </c:pt>
                <c:pt idx="924">
                  <c:v>-5.1549398784990564E-3</c:v>
                </c:pt>
                <c:pt idx="925">
                  <c:v>-5.0549398784990561E-3</c:v>
                </c:pt>
                <c:pt idx="926">
                  <c:v>-4.9549398784990558E-3</c:v>
                </c:pt>
                <c:pt idx="927">
                  <c:v>-4.8549398784990556E-3</c:v>
                </c:pt>
                <c:pt idx="928">
                  <c:v>-4.7549398784990553E-3</c:v>
                </c:pt>
                <c:pt idx="929">
                  <c:v>-4.6549398784990551E-3</c:v>
                </c:pt>
                <c:pt idx="930">
                  <c:v>-4.5549398784990548E-3</c:v>
                </c:pt>
                <c:pt idx="931">
                  <c:v>-4.4549398784990545E-3</c:v>
                </c:pt>
                <c:pt idx="932">
                  <c:v>-4.3549398784990543E-3</c:v>
                </c:pt>
                <c:pt idx="933">
                  <c:v>-4.254939878499054E-3</c:v>
                </c:pt>
                <c:pt idx="934">
                  <c:v>-4.1549398784990537E-3</c:v>
                </c:pt>
                <c:pt idx="935">
                  <c:v>-4.0549398784990535E-3</c:v>
                </c:pt>
                <c:pt idx="936">
                  <c:v>-3.9549398784990532E-3</c:v>
                </c:pt>
                <c:pt idx="937">
                  <c:v>-3.8549398784990534E-3</c:v>
                </c:pt>
                <c:pt idx="938">
                  <c:v>-3.7549398784990536E-3</c:v>
                </c:pt>
                <c:pt idx="939">
                  <c:v>-3.6549398784990537E-3</c:v>
                </c:pt>
                <c:pt idx="940">
                  <c:v>-3.5549398784990539E-3</c:v>
                </c:pt>
                <c:pt idx="941">
                  <c:v>-3.4549398784990541E-3</c:v>
                </c:pt>
                <c:pt idx="942">
                  <c:v>-3.3549398784990542E-3</c:v>
                </c:pt>
                <c:pt idx="943">
                  <c:v>-3.2549398784990544E-3</c:v>
                </c:pt>
                <c:pt idx="944">
                  <c:v>-3.1549398784990546E-3</c:v>
                </c:pt>
                <c:pt idx="945">
                  <c:v>-3.0549398784990548E-3</c:v>
                </c:pt>
                <c:pt idx="946">
                  <c:v>-2.9549398784990549E-3</c:v>
                </c:pt>
                <c:pt idx="947">
                  <c:v>-2.8549398784990551E-3</c:v>
                </c:pt>
                <c:pt idx="948">
                  <c:v>-2.7549398784990553E-3</c:v>
                </c:pt>
                <c:pt idx="949">
                  <c:v>-2.6549398784990554E-3</c:v>
                </c:pt>
                <c:pt idx="950">
                  <c:v>-2.5549398784990556E-3</c:v>
                </c:pt>
                <c:pt idx="951">
                  <c:v>-2.4549398784990558E-3</c:v>
                </c:pt>
                <c:pt idx="952">
                  <c:v>-2.354939878499056E-3</c:v>
                </c:pt>
                <c:pt idx="953">
                  <c:v>-2.2549398784990561E-3</c:v>
                </c:pt>
                <c:pt idx="954">
                  <c:v>-2.1549398784990563E-3</c:v>
                </c:pt>
                <c:pt idx="955">
                  <c:v>-2.0549398784990565E-3</c:v>
                </c:pt>
                <c:pt idx="956">
                  <c:v>-1.9549398784990566E-3</c:v>
                </c:pt>
                <c:pt idx="957">
                  <c:v>-1.8549398784990566E-3</c:v>
                </c:pt>
                <c:pt idx="958">
                  <c:v>-1.7549398784990566E-3</c:v>
                </c:pt>
                <c:pt idx="959">
                  <c:v>-1.6549398784990565E-3</c:v>
                </c:pt>
                <c:pt idx="960">
                  <c:v>-1.5549398784990565E-3</c:v>
                </c:pt>
                <c:pt idx="961">
                  <c:v>-1.4549398784990564E-3</c:v>
                </c:pt>
                <c:pt idx="962">
                  <c:v>-1.3549398784990564E-3</c:v>
                </c:pt>
                <c:pt idx="963">
                  <c:v>-1.2549398784990563E-3</c:v>
                </c:pt>
                <c:pt idx="964">
                  <c:v>-1.1549398784990563E-3</c:v>
                </c:pt>
                <c:pt idx="965">
                  <c:v>-1.0549398784990562E-3</c:v>
                </c:pt>
                <c:pt idx="966">
                  <c:v>-9.5493987849905619E-4</c:v>
                </c:pt>
                <c:pt idx="967">
                  <c:v>-8.5493987849905614E-4</c:v>
                </c:pt>
                <c:pt idx="968">
                  <c:v>-7.549398784990561E-4</c:v>
                </c:pt>
                <c:pt idx="969">
                  <c:v>-6.5493987849905605E-4</c:v>
                </c:pt>
                <c:pt idx="970">
                  <c:v>-5.5493987849905601E-4</c:v>
                </c:pt>
                <c:pt idx="971">
                  <c:v>-4.5493987849905601E-4</c:v>
                </c:pt>
                <c:pt idx="972">
                  <c:v>-3.5493987849905602E-4</c:v>
                </c:pt>
                <c:pt idx="973">
                  <c:v>-2.5493987849905603E-4</c:v>
                </c:pt>
                <c:pt idx="974">
                  <c:v>-1.5493987849905604E-4</c:v>
                </c:pt>
                <c:pt idx="975">
                  <c:v>-5.4939878499056036E-5</c:v>
                </c:pt>
                <c:pt idx="976">
                  <c:v>4.5060121500943969E-5</c:v>
                </c:pt>
                <c:pt idx="977">
                  <c:v>1.4506012150094399E-4</c:v>
                </c:pt>
                <c:pt idx="978">
                  <c:v>2.4506012150094398E-4</c:v>
                </c:pt>
                <c:pt idx="979">
                  <c:v>3.4506012150094397E-4</c:v>
                </c:pt>
                <c:pt idx="980">
                  <c:v>4.4506012150094396E-4</c:v>
                </c:pt>
                <c:pt idx="981">
                  <c:v>5.4506012150094395E-4</c:v>
                </c:pt>
                <c:pt idx="982">
                  <c:v>6.45060121500944E-4</c:v>
                </c:pt>
                <c:pt idx="983">
                  <c:v>7.4506012150094404E-4</c:v>
                </c:pt>
                <c:pt idx="984">
                  <c:v>8.4506012150094409E-4</c:v>
                </c:pt>
                <c:pt idx="985">
                  <c:v>9.4506012150094413E-4</c:v>
                </c:pt>
                <c:pt idx="986">
                  <c:v>1.0450601215009441E-3</c:v>
                </c:pt>
                <c:pt idx="987">
                  <c:v>1.1450601215009441E-3</c:v>
                </c:pt>
                <c:pt idx="988">
                  <c:v>1.2450601215009442E-3</c:v>
                </c:pt>
                <c:pt idx="989">
                  <c:v>1.3450601215009442E-3</c:v>
                </c:pt>
                <c:pt idx="990">
                  <c:v>1.4450601215009443E-3</c:v>
                </c:pt>
                <c:pt idx="991">
                  <c:v>1.5450601215009443E-3</c:v>
                </c:pt>
                <c:pt idx="992">
                  <c:v>1.6450601215009443E-3</c:v>
                </c:pt>
                <c:pt idx="993">
                  <c:v>1.7450601215009444E-3</c:v>
                </c:pt>
                <c:pt idx="994">
                  <c:v>1.8450601215009444E-3</c:v>
                </c:pt>
                <c:pt idx="995">
                  <c:v>1.9450601215009445E-3</c:v>
                </c:pt>
                <c:pt idx="996">
                  <c:v>2.0450601215009443E-3</c:v>
                </c:pt>
                <c:pt idx="997">
                  <c:v>2.1450601215009441E-3</c:v>
                </c:pt>
                <c:pt idx="998">
                  <c:v>2.245060121500944E-3</c:v>
                </c:pt>
                <c:pt idx="999">
                  <c:v>2.3450601215009438E-3</c:v>
                </c:pt>
                <c:pt idx="1000">
                  <c:v>2.4450601215009436E-3</c:v>
                </c:pt>
                <c:pt idx="1001">
                  <c:v>2.5450601215009435E-3</c:v>
                </c:pt>
                <c:pt idx="1002">
                  <c:v>2.6450601215009433E-3</c:v>
                </c:pt>
                <c:pt idx="1003">
                  <c:v>2.7450601215009431E-3</c:v>
                </c:pt>
                <c:pt idx="1004">
                  <c:v>2.8450601215009429E-3</c:v>
                </c:pt>
                <c:pt idx="1005">
                  <c:v>2.9450601215009428E-3</c:v>
                </c:pt>
                <c:pt idx="1006">
                  <c:v>3.0450601215009426E-3</c:v>
                </c:pt>
                <c:pt idx="1007">
                  <c:v>3.1450601215009424E-3</c:v>
                </c:pt>
                <c:pt idx="1008">
                  <c:v>3.2450601215009423E-3</c:v>
                </c:pt>
                <c:pt idx="1009">
                  <c:v>3.3450601215009421E-3</c:v>
                </c:pt>
                <c:pt idx="1010">
                  <c:v>3.4450601215009419E-3</c:v>
                </c:pt>
                <c:pt idx="1011">
                  <c:v>3.5450601215009417E-3</c:v>
                </c:pt>
                <c:pt idx="1012">
                  <c:v>3.6450601215009416E-3</c:v>
                </c:pt>
                <c:pt idx="1013">
                  <c:v>3.7450601215009414E-3</c:v>
                </c:pt>
                <c:pt idx="1014">
                  <c:v>3.8450601215009412E-3</c:v>
                </c:pt>
                <c:pt idx="1015">
                  <c:v>3.9450601215009415E-3</c:v>
                </c:pt>
                <c:pt idx="1016">
                  <c:v>4.0450601215009417E-3</c:v>
                </c:pt>
                <c:pt idx="1017">
                  <c:v>4.145060121500942E-3</c:v>
                </c:pt>
                <c:pt idx="1018">
                  <c:v>4.2450601215009423E-3</c:v>
                </c:pt>
                <c:pt idx="1019">
                  <c:v>4.3450601215009425E-3</c:v>
                </c:pt>
                <c:pt idx="1020">
                  <c:v>4.4450601215009428E-3</c:v>
                </c:pt>
                <c:pt idx="1021">
                  <c:v>4.5450601215009431E-3</c:v>
                </c:pt>
                <c:pt idx="1022">
                  <c:v>4.6450601215009433E-3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2-4C80-A541-EB6F430D4D3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Estimation_1516!$H:$H</c:f>
              <c:strCache>
                <c:ptCount val="1025"/>
                <c:pt idx="1">
                  <c:v>x</c:v>
                </c:pt>
                <c:pt idx="2">
                  <c:v>-0,09755494</c:v>
                </c:pt>
                <c:pt idx="3">
                  <c:v>-0,09745494</c:v>
                </c:pt>
                <c:pt idx="4">
                  <c:v>-0,09735494</c:v>
                </c:pt>
                <c:pt idx="5">
                  <c:v>-0,09725494</c:v>
                </c:pt>
                <c:pt idx="6">
                  <c:v>-0,09715494</c:v>
                </c:pt>
                <c:pt idx="7">
                  <c:v>-0,09705494</c:v>
                </c:pt>
                <c:pt idx="8">
                  <c:v>-0,09695494</c:v>
                </c:pt>
                <c:pt idx="9">
                  <c:v>-0,09685494</c:v>
                </c:pt>
                <c:pt idx="10">
                  <c:v>-0,09675494</c:v>
                </c:pt>
                <c:pt idx="11">
                  <c:v>-0,09665494</c:v>
                </c:pt>
                <c:pt idx="12">
                  <c:v>-0,09655494</c:v>
                </c:pt>
                <c:pt idx="13">
                  <c:v>-0,09645494</c:v>
                </c:pt>
                <c:pt idx="14">
                  <c:v>-0,09635494</c:v>
                </c:pt>
                <c:pt idx="15">
                  <c:v>-0,09625494</c:v>
                </c:pt>
                <c:pt idx="16">
                  <c:v>-0,09615494</c:v>
                </c:pt>
                <c:pt idx="17">
                  <c:v>-0,09605494</c:v>
                </c:pt>
                <c:pt idx="18">
                  <c:v>-0,09595494</c:v>
                </c:pt>
                <c:pt idx="19">
                  <c:v>-0,09585494</c:v>
                </c:pt>
                <c:pt idx="20">
                  <c:v>-0,09575494</c:v>
                </c:pt>
                <c:pt idx="21">
                  <c:v>-0,09565494</c:v>
                </c:pt>
                <c:pt idx="22">
                  <c:v>-0,09555494</c:v>
                </c:pt>
                <c:pt idx="23">
                  <c:v>-0,09545494</c:v>
                </c:pt>
                <c:pt idx="24">
                  <c:v>-0,09535494</c:v>
                </c:pt>
                <c:pt idx="25">
                  <c:v>-0,09525494</c:v>
                </c:pt>
                <c:pt idx="26">
                  <c:v>-0,09515494</c:v>
                </c:pt>
                <c:pt idx="27">
                  <c:v>-0,09505494</c:v>
                </c:pt>
                <c:pt idx="28">
                  <c:v>-0,09495494</c:v>
                </c:pt>
                <c:pt idx="29">
                  <c:v>-0,09485494</c:v>
                </c:pt>
                <c:pt idx="30">
                  <c:v>-0,09475494</c:v>
                </c:pt>
                <c:pt idx="31">
                  <c:v>-0,09465494</c:v>
                </c:pt>
                <c:pt idx="32">
                  <c:v>-0,09455494</c:v>
                </c:pt>
                <c:pt idx="33">
                  <c:v>-0,09445494</c:v>
                </c:pt>
                <c:pt idx="34">
                  <c:v>-0,09435494</c:v>
                </c:pt>
                <c:pt idx="35">
                  <c:v>-0,09425494</c:v>
                </c:pt>
                <c:pt idx="36">
                  <c:v>-0,09415494</c:v>
                </c:pt>
                <c:pt idx="37">
                  <c:v>-0,09405494</c:v>
                </c:pt>
                <c:pt idx="38">
                  <c:v>-0,09395494</c:v>
                </c:pt>
                <c:pt idx="39">
                  <c:v>-0,09385494</c:v>
                </c:pt>
                <c:pt idx="40">
                  <c:v>-0,09375494</c:v>
                </c:pt>
                <c:pt idx="41">
                  <c:v>-0,09365494</c:v>
                </c:pt>
                <c:pt idx="42">
                  <c:v>-0,09355494</c:v>
                </c:pt>
                <c:pt idx="43">
                  <c:v>-0,09345494</c:v>
                </c:pt>
                <c:pt idx="44">
                  <c:v>-0,09335494</c:v>
                </c:pt>
                <c:pt idx="45">
                  <c:v>-0,09325494</c:v>
                </c:pt>
                <c:pt idx="46">
                  <c:v>-0,09315494</c:v>
                </c:pt>
                <c:pt idx="47">
                  <c:v>-0,09305494</c:v>
                </c:pt>
                <c:pt idx="48">
                  <c:v>-0,09295494</c:v>
                </c:pt>
                <c:pt idx="49">
                  <c:v>-0,09285494</c:v>
                </c:pt>
                <c:pt idx="50">
                  <c:v>-0,09275494</c:v>
                </c:pt>
                <c:pt idx="51">
                  <c:v>-0,09265494</c:v>
                </c:pt>
                <c:pt idx="52">
                  <c:v>-0,09255494</c:v>
                </c:pt>
                <c:pt idx="53">
                  <c:v>-0,09245494</c:v>
                </c:pt>
                <c:pt idx="54">
                  <c:v>-0,09235494</c:v>
                </c:pt>
                <c:pt idx="55">
                  <c:v>-0,09225494</c:v>
                </c:pt>
                <c:pt idx="56">
                  <c:v>-0,09215494</c:v>
                </c:pt>
                <c:pt idx="57">
                  <c:v>-0,09205494</c:v>
                </c:pt>
                <c:pt idx="58">
                  <c:v>-0,09195494</c:v>
                </c:pt>
                <c:pt idx="59">
                  <c:v>-0,09185494</c:v>
                </c:pt>
                <c:pt idx="60">
                  <c:v>-0,09175494</c:v>
                </c:pt>
                <c:pt idx="61">
                  <c:v>-0,09165494</c:v>
                </c:pt>
                <c:pt idx="62">
                  <c:v>-0,09155494</c:v>
                </c:pt>
                <c:pt idx="63">
                  <c:v>-0,09145494</c:v>
                </c:pt>
                <c:pt idx="64">
                  <c:v>-0,09135494</c:v>
                </c:pt>
                <c:pt idx="65">
                  <c:v>-0,09125494</c:v>
                </c:pt>
                <c:pt idx="66">
                  <c:v>-0,09115494</c:v>
                </c:pt>
                <c:pt idx="67">
                  <c:v>-0,09105494</c:v>
                </c:pt>
                <c:pt idx="68">
                  <c:v>-0,09095494</c:v>
                </c:pt>
                <c:pt idx="69">
                  <c:v>-0,09085494</c:v>
                </c:pt>
                <c:pt idx="70">
                  <c:v>-0,09075494</c:v>
                </c:pt>
                <c:pt idx="71">
                  <c:v>-0,09065494</c:v>
                </c:pt>
                <c:pt idx="72">
                  <c:v>-0,09055494</c:v>
                </c:pt>
                <c:pt idx="73">
                  <c:v>-0,09045494</c:v>
                </c:pt>
                <c:pt idx="74">
                  <c:v>-0,09035494</c:v>
                </c:pt>
                <c:pt idx="75">
                  <c:v>-0,09025494</c:v>
                </c:pt>
                <c:pt idx="76">
                  <c:v>-0,09015494</c:v>
                </c:pt>
                <c:pt idx="77">
                  <c:v>-0,09005494</c:v>
                </c:pt>
                <c:pt idx="78">
                  <c:v>-0,08995494</c:v>
                </c:pt>
                <c:pt idx="79">
                  <c:v>-0,08985494</c:v>
                </c:pt>
                <c:pt idx="80">
                  <c:v>-0,08975494</c:v>
                </c:pt>
                <c:pt idx="81">
                  <c:v>-0,08965494</c:v>
                </c:pt>
                <c:pt idx="82">
                  <c:v>-0,08955494</c:v>
                </c:pt>
                <c:pt idx="83">
                  <c:v>-0,08945494</c:v>
                </c:pt>
                <c:pt idx="84">
                  <c:v>-0,08935494</c:v>
                </c:pt>
                <c:pt idx="85">
                  <c:v>-0,08925494</c:v>
                </c:pt>
                <c:pt idx="86">
                  <c:v>-0,08915494</c:v>
                </c:pt>
                <c:pt idx="87">
                  <c:v>-0,08905494</c:v>
                </c:pt>
                <c:pt idx="88">
                  <c:v>-0,08895494</c:v>
                </c:pt>
                <c:pt idx="89">
                  <c:v>-0,08885494</c:v>
                </c:pt>
                <c:pt idx="90">
                  <c:v>-0,08875494</c:v>
                </c:pt>
                <c:pt idx="91">
                  <c:v>-0,08865494</c:v>
                </c:pt>
                <c:pt idx="92">
                  <c:v>-0,08855494</c:v>
                </c:pt>
                <c:pt idx="93">
                  <c:v>-0,08845494</c:v>
                </c:pt>
                <c:pt idx="94">
                  <c:v>-0,08835494</c:v>
                </c:pt>
                <c:pt idx="95">
                  <c:v>-0,08825494</c:v>
                </c:pt>
                <c:pt idx="96">
                  <c:v>-0,08815494</c:v>
                </c:pt>
                <c:pt idx="97">
                  <c:v>-0,08805494</c:v>
                </c:pt>
                <c:pt idx="98">
                  <c:v>-0,08795494</c:v>
                </c:pt>
                <c:pt idx="99">
                  <c:v>-0,08785494</c:v>
                </c:pt>
                <c:pt idx="100">
                  <c:v>-0,08775494</c:v>
                </c:pt>
                <c:pt idx="101">
                  <c:v>-0,08765494</c:v>
                </c:pt>
                <c:pt idx="102">
                  <c:v>-0,08755494</c:v>
                </c:pt>
                <c:pt idx="103">
                  <c:v>-0,08745494</c:v>
                </c:pt>
                <c:pt idx="104">
                  <c:v>-0,08735494</c:v>
                </c:pt>
                <c:pt idx="105">
                  <c:v>-0,08725494</c:v>
                </c:pt>
                <c:pt idx="106">
                  <c:v>-0,08715494</c:v>
                </c:pt>
                <c:pt idx="107">
                  <c:v>-0,08705494</c:v>
                </c:pt>
                <c:pt idx="108">
                  <c:v>-0,08695494</c:v>
                </c:pt>
                <c:pt idx="109">
                  <c:v>-0,08685494</c:v>
                </c:pt>
                <c:pt idx="110">
                  <c:v>-0,08675494</c:v>
                </c:pt>
                <c:pt idx="111">
                  <c:v>-0,08665494</c:v>
                </c:pt>
                <c:pt idx="112">
                  <c:v>-0,08655494</c:v>
                </c:pt>
                <c:pt idx="113">
                  <c:v>-0,08645494</c:v>
                </c:pt>
                <c:pt idx="114">
                  <c:v>-0,08635494</c:v>
                </c:pt>
                <c:pt idx="115">
                  <c:v>-0,08625494</c:v>
                </c:pt>
                <c:pt idx="116">
                  <c:v>-0,08615494</c:v>
                </c:pt>
                <c:pt idx="117">
                  <c:v>-0,08605494</c:v>
                </c:pt>
                <c:pt idx="118">
                  <c:v>-0,08595494</c:v>
                </c:pt>
                <c:pt idx="119">
                  <c:v>-0,08585494</c:v>
                </c:pt>
                <c:pt idx="120">
                  <c:v>-0,08575494</c:v>
                </c:pt>
                <c:pt idx="121">
                  <c:v>-0,08565494</c:v>
                </c:pt>
                <c:pt idx="122">
                  <c:v>-0,08555494</c:v>
                </c:pt>
                <c:pt idx="123">
                  <c:v>-0,08545494</c:v>
                </c:pt>
                <c:pt idx="124">
                  <c:v>-0,08535494</c:v>
                </c:pt>
                <c:pt idx="125">
                  <c:v>-0,08525494</c:v>
                </c:pt>
                <c:pt idx="126">
                  <c:v>-0,08515494</c:v>
                </c:pt>
                <c:pt idx="127">
                  <c:v>-0,08505494</c:v>
                </c:pt>
                <c:pt idx="128">
                  <c:v>-0,08495494</c:v>
                </c:pt>
                <c:pt idx="129">
                  <c:v>-0,08485494</c:v>
                </c:pt>
                <c:pt idx="130">
                  <c:v>-0,08475494</c:v>
                </c:pt>
                <c:pt idx="131">
                  <c:v>-0,08465494</c:v>
                </c:pt>
                <c:pt idx="132">
                  <c:v>-0,08455494</c:v>
                </c:pt>
                <c:pt idx="133">
                  <c:v>-0,08445494</c:v>
                </c:pt>
                <c:pt idx="134">
                  <c:v>-0,08435494</c:v>
                </c:pt>
                <c:pt idx="135">
                  <c:v>-0,08425494</c:v>
                </c:pt>
                <c:pt idx="136">
                  <c:v>-0,08415494</c:v>
                </c:pt>
                <c:pt idx="137">
                  <c:v>-0,08405494</c:v>
                </c:pt>
                <c:pt idx="138">
                  <c:v>-0,08395494</c:v>
                </c:pt>
                <c:pt idx="139">
                  <c:v>-0,08385494</c:v>
                </c:pt>
                <c:pt idx="140">
                  <c:v>-0,08375494</c:v>
                </c:pt>
                <c:pt idx="141">
                  <c:v>-0,08365494</c:v>
                </c:pt>
                <c:pt idx="142">
                  <c:v>-0,08355494</c:v>
                </c:pt>
                <c:pt idx="143">
                  <c:v>-0,08345494</c:v>
                </c:pt>
                <c:pt idx="144">
                  <c:v>-0,08335494</c:v>
                </c:pt>
                <c:pt idx="145">
                  <c:v>-0,08325494</c:v>
                </c:pt>
                <c:pt idx="146">
                  <c:v>-0,08315494</c:v>
                </c:pt>
                <c:pt idx="147">
                  <c:v>-0,08305494</c:v>
                </c:pt>
                <c:pt idx="148">
                  <c:v>-0,08295494</c:v>
                </c:pt>
                <c:pt idx="149">
                  <c:v>-0,08285494</c:v>
                </c:pt>
                <c:pt idx="150">
                  <c:v>-0,08275494</c:v>
                </c:pt>
                <c:pt idx="151">
                  <c:v>-0,08265494</c:v>
                </c:pt>
                <c:pt idx="152">
                  <c:v>-0,08255494</c:v>
                </c:pt>
                <c:pt idx="153">
                  <c:v>-0,08245494</c:v>
                </c:pt>
                <c:pt idx="154">
                  <c:v>-0,08235494</c:v>
                </c:pt>
                <c:pt idx="155">
                  <c:v>-0,08225494</c:v>
                </c:pt>
                <c:pt idx="156">
                  <c:v>-0,08215494</c:v>
                </c:pt>
                <c:pt idx="157">
                  <c:v>-0,08205494</c:v>
                </c:pt>
                <c:pt idx="158">
                  <c:v>-0,08195494</c:v>
                </c:pt>
                <c:pt idx="159">
                  <c:v>-0,08185494</c:v>
                </c:pt>
                <c:pt idx="160">
                  <c:v>-0,08175494</c:v>
                </c:pt>
                <c:pt idx="161">
                  <c:v>-0,08165494</c:v>
                </c:pt>
                <c:pt idx="162">
                  <c:v>-0,08155494</c:v>
                </c:pt>
                <c:pt idx="163">
                  <c:v>-0,08145494</c:v>
                </c:pt>
                <c:pt idx="164">
                  <c:v>-0,08135494</c:v>
                </c:pt>
                <c:pt idx="165">
                  <c:v>-0,08125494</c:v>
                </c:pt>
                <c:pt idx="166">
                  <c:v>-0,08115494</c:v>
                </c:pt>
                <c:pt idx="167">
                  <c:v>-0,08105494</c:v>
                </c:pt>
                <c:pt idx="168">
                  <c:v>-0,08095494</c:v>
                </c:pt>
                <c:pt idx="169">
                  <c:v>-0,08085494</c:v>
                </c:pt>
                <c:pt idx="170">
                  <c:v>-0,08075494</c:v>
                </c:pt>
                <c:pt idx="171">
                  <c:v>-0,08065494</c:v>
                </c:pt>
                <c:pt idx="172">
                  <c:v>-0,08055494</c:v>
                </c:pt>
                <c:pt idx="173">
                  <c:v>-0,08045494</c:v>
                </c:pt>
                <c:pt idx="174">
                  <c:v>-0,08035494</c:v>
                </c:pt>
                <c:pt idx="175">
                  <c:v>-0,08025494</c:v>
                </c:pt>
                <c:pt idx="176">
                  <c:v>-0,08015494</c:v>
                </c:pt>
                <c:pt idx="177">
                  <c:v>-0,08005494</c:v>
                </c:pt>
                <c:pt idx="178">
                  <c:v>-0,07995494</c:v>
                </c:pt>
                <c:pt idx="179">
                  <c:v>-0,07985494</c:v>
                </c:pt>
                <c:pt idx="180">
                  <c:v>-0,07975494</c:v>
                </c:pt>
                <c:pt idx="181">
                  <c:v>-0,07965494</c:v>
                </c:pt>
                <c:pt idx="182">
                  <c:v>-0,07955494</c:v>
                </c:pt>
                <c:pt idx="183">
                  <c:v>-0,07945494</c:v>
                </c:pt>
                <c:pt idx="184">
                  <c:v>-0,07935494</c:v>
                </c:pt>
                <c:pt idx="185">
                  <c:v>-0,07925494</c:v>
                </c:pt>
                <c:pt idx="186">
                  <c:v>-0,07915494</c:v>
                </c:pt>
                <c:pt idx="187">
                  <c:v>-0,07905494</c:v>
                </c:pt>
                <c:pt idx="188">
                  <c:v>-0,07895494</c:v>
                </c:pt>
                <c:pt idx="189">
                  <c:v>-0,07885494</c:v>
                </c:pt>
                <c:pt idx="190">
                  <c:v>-0,07875494</c:v>
                </c:pt>
                <c:pt idx="191">
                  <c:v>-0,07865494</c:v>
                </c:pt>
                <c:pt idx="192">
                  <c:v>-0,07855494</c:v>
                </c:pt>
                <c:pt idx="193">
                  <c:v>-0,07845494</c:v>
                </c:pt>
                <c:pt idx="194">
                  <c:v>-0,07835494</c:v>
                </c:pt>
                <c:pt idx="195">
                  <c:v>-0,07825494</c:v>
                </c:pt>
                <c:pt idx="196">
                  <c:v>-0,07815494</c:v>
                </c:pt>
                <c:pt idx="197">
                  <c:v>-0,07805494</c:v>
                </c:pt>
                <c:pt idx="198">
                  <c:v>-0,07795494</c:v>
                </c:pt>
                <c:pt idx="199">
                  <c:v>-0,07785494</c:v>
                </c:pt>
                <c:pt idx="200">
                  <c:v>-0,07775494</c:v>
                </c:pt>
                <c:pt idx="201">
                  <c:v>-0,07765494</c:v>
                </c:pt>
                <c:pt idx="202">
                  <c:v>-0,07755494</c:v>
                </c:pt>
                <c:pt idx="203">
                  <c:v>-0,07745494</c:v>
                </c:pt>
                <c:pt idx="204">
                  <c:v>-0,07735494</c:v>
                </c:pt>
                <c:pt idx="205">
                  <c:v>-0,07725494</c:v>
                </c:pt>
                <c:pt idx="206">
                  <c:v>-0,07715494</c:v>
                </c:pt>
                <c:pt idx="207">
                  <c:v>-0,07705494</c:v>
                </c:pt>
                <c:pt idx="208">
                  <c:v>-0,07695494</c:v>
                </c:pt>
                <c:pt idx="209">
                  <c:v>-0,07685494</c:v>
                </c:pt>
                <c:pt idx="210">
                  <c:v>-0,07675494</c:v>
                </c:pt>
                <c:pt idx="211">
                  <c:v>-0,07665494</c:v>
                </c:pt>
                <c:pt idx="212">
                  <c:v>-0,07655494</c:v>
                </c:pt>
                <c:pt idx="213">
                  <c:v>-0,07645494</c:v>
                </c:pt>
                <c:pt idx="214">
                  <c:v>-0,07635494</c:v>
                </c:pt>
                <c:pt idx="215">
                  <c:v>-0,07625494</c:v>
                </c:pt>
                <c:pt idx="216">
                  <c:v>-0,07615494</c:v>
                </c:pt>
                <c:pt idx="217">
                  <c:v>-0,07605494</c:v>
                </c:pt>
                <c:pt idx="218">
                  <c:v>-0,07595494</c:v>
                </c:pt>
                <c:pt idx="219">
                  <c:v>-0,07585494</c:v>
                </c:pt>
                <c:pt idx="220">
                  <c:v>-0,07575494</c:v>
                </c:pt>
                <c:pt idx="221">
                  <c:v>-0,07565494</c:v>
                </c:pt>
                <c:pt idx="222">
                  <c:v>-0,07555494</c:v>
                </c:pt>
                <c:pt idx="223">
                  <c:v>-0,07545494</c:v>
                </c:pt>
                <c:pt idx="224">
                  <c:v>-0,07535494</c:v>
                </c:pt>
                <c:pt idx="225">
                  <c:v>-0,07525494</c:v>
                </c:pt>
                <c:pt idx="226">
                  <c:v>-0,07515494</c:v>
                </c:pt>
                <c:pt idx="227">
                  <c:v>-0,07505494</c:v>
                </c:pt>
                <c:pt idx="228">
                  <c:v>-0,07495494</c:v>
                </c:pt>
                <c:pt idx="229">
                  <c:v>-0,07485494</c:v>
                </c:pt>
                <c:pt idx="230">
                  <c:v>-0,07475494</c:v>
                </c:pt>
                <c:pt idx="231">
                  <c:v>-0,07465494</c:v>
                </c:pt>
                <c:pt idx="232">
                  <c:v>-0,07455494</c:v>
                </c:pt>
                <c:pt idx="233">
                  <c:v>-0,07445494</c:v>
                </c:pt>
                <c:pt idx="234">
                  <c:v>-0,07435494</c:v>
                </c:pt>
                <c:pt idx="235">
                  <c:v>-0,07425494</c:v>
                </c:pt>
                <c:pt idx="236">
                  <c:v>-0,07415494</c:v>
                </c:pt>
                <c:pt idx="237">
                  <c:v>-0,07405494</c:v>
                </c:pt>
                <c:pt idx="238">
                  <c:v>-0,07395494</c:v>
                </c:pt>
                <c:pt idx="239">
                  <c:v>-0,07385494</c:v>
                </c:pt>
                <c:pt idx="240">
                  <c:v>-0,07375494</c:v>
                </c:pt>
                <c:pt idx="241">
                  <c:v>-0,07365494</c:v>
                </c:pt>
                <c:pt idx="242">
                  <c:v>-0,07355494</c:v>
                </c:pt>
                <c:pt idx="243">
                  <c:v>-0,07345494</c:v>
                </c:pt>
                <c:pt idx="244">
                  <c:v>-0,07335494</c:v>
                </c:pt>
                <c:pt idx="245">
                  <c:v>-0,07325494</c:v>
                </c:pt>
                <c:pt idx="246">
                  <c:v>-0,07315494</c:v>
                </c:pt>
                <c:pt idx="247">
                  <c:v>-0,07305494</c:v>
                </c:pt>
                <c:pt idx="248">
                  <c:v>-0,07295494</c:v>
                </c:pt>
                <c:pt idx="249">
                  <c:v>-0,07285494</c:v>
                </c:pt>
                <c:pt idx="250">
                  <c:v>-0,07275494</c:v>
                </c:pt>
                <c:pt idx="251">
                  <c:v>-0,07265494</c:v>
                </c:pt>
                <c:pt idx="252">
                  <c:v>-0,07255494</c:v>
                </c:pt>
                <c:pt idx="253">
                  <c:v>-0,07245494</c:v>
                </c:pt>
                <c:pt idx="254">
                  <c:v>-0,07235494</c:v>
                </c:pt>
                <c:pt idx="255">
                  <c:v>-0,07225494</c:v>
                </c:pt>
                <c:pt idx="256">
                  <c:v>-0,07215494</c:v>
                </c:pt>
                <c:pt idx="257">
                  <c:v>-0,07205494</c:v>
                </c:pt>
                <c:pt idx="258">
                  <c:v>-0,07195494</c:v>
                </c:pt>
                <c:pt idx="259">
                  <c:v>-0,07185494</c:v>
                </c:pt>
                <c:pt idx="260">
                  <c:v>-0,07175494</c:v>
                </c:pt>
                <c:pt idx="261">
                  <c:v>-0,07165494</c:v>
                </c:pt>
                <c:pt idx="262">
                  <c:v>-0,07155494</c:v>
                </c:pt>
                <c:pt idx="263">
                  <c:v>-0,07145494</c:v>
                </c:pt>
                <c:pt idx="264">
                  <c:v>-0,07135494</c:v>
                </c:pt>
                <c:pt idx="265">
                  <c:v>-0,07125494</c:v>
                </c:pt>
                <c:pt idx="266">
                  <c:v>-0,07115494</c:v>
                </c:pt>
                <c:pt idx="267">
                  <c:v>-0,07105494</c:v>
                </c:pt>
                <c:pt idx="268">
                  <c:v>-0,07095494</c:v>
                </c:pt>
                <c:pt idx="269">
                  <c:v>-0,07085494</c:v>
                </c:pt>
                <c:pt idx="270">
                  <c:v>-0,07075494</c:v>
                </c:pt>
                <c:pt idx="271">
                  <c:v>-0,07065494</c:v>
                </c:pt>
                <c:pt idx="272">
                  <c:v>-0,07055494</c:v>
                </c:pt>
                <c:pt idx="273">
                  <c:v>-0,07045494</c:v>
                </c:pt>
                <c:pt idx="274">
                  <c:v>-0,07035494</c:v>
                </c:pt>
                <c:pt idx="275">
                  <c:v>-0,07025494</c:v>
                </c:pt>
                <c:pt idx="276">
                  <c:v>-0,07015494</c:v>
                </c:pt>
                <c:pt idx="277">
                  <c:v>-0,07005494</c:v>
                </c:pt>
                <c:pt idx="278">
                  <c:v>-0,06995494</c:v>
                </c:pt>
                <c:pt idx="279">
                  <c:v>-0,06985494</c:v>
                </c:pt>
                <c:pt idx="280">
                  <c:v>-0,06975494</c:v>
                </c:pt>
                <c:pt idx="281">
                  <c:v>-0,06965494</c:v>
                </c:pt>
                <c:pt idx="282">
                  <c:v>-0,06955494</c:v>
                </c:pt>
                <c:pt idx="283">
                  <c:v>-0,06945494</c:v>
                </c:pt>
                <c:pt idx="284">
                  <c:v>-0,06935494</c:v>
                </c:pt>
                <c:pt idx="285">
                  <c:v>-0,06925494</c:v>
                </c:pt>
                <c:pt idx="286">
                  <c:v>-0,06915494</c:v>
                </c:pt>
                <c:pt idx="287">
                  <c:v>-0,06905494</c:v>
                </c:pt>
                <c:pt idx="288">
                  <c:v>-0,06895494</c:v>
                </c:pt>
                <c:pt idx="289">
                  <c:v>-0,06885494</c:v>
                </c:pt>
                <c:pt idx="290">
                  <c:v>-0,06875494</c:v>
                </c:pt>
                <c:pt idx="291">
                  <c:v>-0,06865494</c:v>
                </c:pt>
                <c:pt idx="292">
                  <c:v>-0,06855494</c:v>
                </c:pt>
                <c:pt idx="293">
                  <c:v>-0,06845494</c:v>
                </c:pt>
                <c:pt idx="294">
                  <c:v>-0,06835494</c:v>
                </c:pt>
                <c:pt idx="295">
                  <c:v>-0,06825494</c:v>
                </c:pt>
                <c:pt idx="296">
                  <c:v>-0,06815494</c:v>
                </c:pt>
                <c:pt idx="297">
                  <c:v>-0,06805494</c:v>
                </c:pt>
                <c:pt idx="298">
                  <c:v>-0,06795494</c:v>
                </c:pt>
                <c:pt idx="299">
                  <c:v>-0,06785494</c:v>
                </c:pt>
                <c:pt idx="300">
                  <c:v>-0,06775494</c:v>
                </c:pt>
                <c:pt idx="301">
                  <c:v>-0,06765494</c:v>
                </c:pt>
                <c:pt idx="302">
                  <c:v>-0,06755494</c:v>
                </c:pt>
                <c:pt idx="303">
                  <c:v>-0,06745494</c:v>
                </c:pt>
                <c:pt idx="304">
                  <c:v>-0,06735494</c:v>
                </c:pt>
                <c:pt idx="305">
                  <c:v>-0,06725494</c:v>
                </c:pt>
                <c:pt idx="306">
                  <c:v>-0,06715494</c:v>
                </c:pt>
                <c:pt idx="307">
                  <c:v>-0,06705494</c:v>
                </c:pt>
                <c:pt idx="308">
                  <c:v>-0,06695494</c:v>
                </c:pt>
                <c:pt idx="309">
                  <c:v>-0,06685494</c:v>
                </c:pt>
                <c:pt idx="310">
                  <c:v>-0,06675494</c:v>
                </c:pt>
                <c:pt idx="311">
                  <c:v>-0,06665494</c:v>
                </c:pt>
                <c:pt idx="312">
                  <c:v>-0,06655494</c:v>
                </c:pt>
                <c:pt idx="313">
                  <c:v>-0,06645494</c:v>
                </c:pt>
                <c:pt idx="314">
                  <c:v>-0,06635494</c:v>
                </c:pt>
                <c:pt idx="315">
                  <c:v>-0,06625494</c:v>
                </c:pt>
                <c:pt idx="316">
                  <c:v>-0,06615494</c:v>
                </c:pt>
                <c:pt idx="317">
                  <c:v>-0,06605494</c:v>
                </c:pt>
                <c:pt idx="318">
                  <c:v>-0,06595494</c:v>
                </c:pt>
                <c:pt idx="319">
                  <c:v>-0,06585494</c:v>
                </c:pt>
                <c:pt idx="320">
                  <c:v>-0,06575494</c:v>
                </c:pt>
                <c:pt idx="321">
                  <c:v>-0,06565494</c:v>
                </c:pt>
                <c:pt idx="322">
                  <c:v>-0,06555494</c:v>
                </c:pt>
                <c:pt idx="323">
                  <c:v>-0,06545494</c:v>
                </c:pt>
                <c:pt idx="324">
                  <c:v>-0,06535494</c:v>
                </c:pt>
                <c:pt idx="325">
                  <c:v>-0,06525494</c:v>
                </c:pt>
                <c:pt idx="326">
                  <c:v>-0,06515494</c:v>
                </c:pt>
                <c:pt idx="327">
                  <c:v>-0,06505494</c:v>
                </c:pt>
                <c:pt idx="328">
                  <c:v>-0,06495494</c:v>
                </c:pt>
                <c:pt idx="329">
                  <c:v>-0,06485494</c:v>
                </c:pt>
                <c:pt idx="330">
                  <c:v>-0,06475494</c:v>
                </c:pt>
                <c:pt idx="331">
                  <c:v>-0,06465494</c:v>
                </c:pt>
                <c:pt idx="332">
                  <c:v>-0,06455494</c:v>
                </c:pt>
                <c:pt idx="333">
                  <c:v>-0,06445494</c:v>
                </c:pt>
                <c:pt idx="334">
                  <c:v>-0,06435494</c:v>
                </c:pt>
                <c:pt idx="335">
                  <c:v>-0,06425494</c:v>
                </c:pt>
                <c:pt idx="336">
                  <c:v>-0,06415494</c:v>
                </c:pt>
                <c:pt idx="337">
                  <c:v>-0,06405494</c:v>
                </c:pt>
                <c:pt idx="338">
                  <c:v>-0,06395494</c:v>
                </c:pt>
                <c:pt idx="339">
                  <c:v>-0,06385494</c:v>
                </c:pt>
                <c:pt idx="340">
                  <c:v>-0,06375494</c:v>
                </c:pt>
                <c:pt idx="341">
                  <c:v>-0,06365494</c:v>
                </c:pt>
                <c:pt idx="342">
                  <c:v>-0,06355494</c:v>
                </c:pt>
                <c:pt idx="343">
                  <c:v>-0,06345494</c:v>
                </c:pt>
                <c:pt idx="344">
                  <c:v>-0,06335494</c:v>
                </c:pt>
                <c:pt idx="345">
                  <c:v>-0,06325494</c:v>
                </c:pt>
                <c:pt idx="346">
                  <c:v>-0,06315494</c:v>
                </c:pt>
                <c:pt idx="347">
                  <c:v>-0,06305494</c:v>
                </c:pt>
                <c:pt idx="348">
                  <c:v>-0,06295494</c:v>
                </c:pt>
                <c:pt idx="349">
                  <c:v>-0,06285494</c:v>
                </c:pt>
                <c:pt idx="350">
                  <c:v>-0,06275494</c:v>
                </c:pt>
                <c:pt idx="351">
                  <c:v>-0,06265494</c:v>
                </c:pt>
                <c:pt idx="352">
                  <c:v>-0,06255494</c:v>
                </c:pt>
                <c:pt idx="353">
                  <c:v>-0,06245494</c:v>
                </c:pt>
                <c:pt idx="354">
                  <c:v>-0,06235494</c:v>
                </c:pt>
                <c:pt idx="355">
                  <c:v>-0,06225494</c:v>
                </c:pt>
                <c:pt idx="356">
                  <c:v>-0,06215494</c:v>
                </c:pt>
                <c:pt idx="357">
                  <c:v>-0,06205494</c:v>
                </c:pt>
                <c:pt idx="358">
                  <c:v>-0,06195494</c:v>
                </c:pt>
                <c:pt idx="359">
                  <c:v>-0,06185494</c:v>
                </c:pt>
                <c:pt idx="360">
                  <c:v>-0,06175494</c:v>
                </c:pt>
                <c:pt idx="361">
                  <c:v>-0,06165494</c:v>
                </c:pt>
                <c:pt idx="362">
                  <c:v>-0,06155494</c:v>
                </c:pt>
                <c:pt idx="363">
                  <c:v>-0,06145494</c:v>
                </c:pt>
                <c:pt idx="364">
                  <c:v>-0,06135494</c:v>
                </c:pt>
                <c:pt idx="365">
                  <c:v>-0,06125494</c:v>
                </c:pt>
                <c:pt idx="366">
                  <c:v>-0,06115494</c:v>
                </c:pt>
                <c:pt idx="367">
                  <c:v>-0,06105494</c:v>
                </c:pt>
                <c:pt idx="368">
                  <c:v>-0,06095494</c:v>
                </c:pt>
                <c:pt idx="369">
                  <c:v>-0,06085494</c:v>
                </c:pt>
                <c:pt idx="370">
                  <c:v>-0,06075494</c:v>
                </c:pt>
                <c:pt idx="371">
                  <c:v>-0,06065494</c:v>
                </c:pt>
                <c:pt idx="372">
                  <c:v>-0,06055494</c:v>
                </c:pt>
                <c:pt idx="373">
                  <c:v>-0,06045494</c:v>
                </c:pt>
                <c:pt idx="374">
                  <c:v>-0,06035494</c:v>
                </c:pt>
                <c:pt idx="375">
                  <c:v>-0,06025494</c:v>
                </c:pt>
                <c:pt idx="376">
                  <c:v>-0,06015494</c:v>
                </c:pt>
                <c:pt idx="377">
                  <c:v>-0,06005494</c:v>
                </c:pt>
                <c:pt idx="378">
                  <c:v>-0,05995494</c:v>
                </c:pt>
                <c:pt idx="379">
                  <c:v>-0,05985494</c:v>
                </c:pt>
                <c:pt idx="380">
                  <c:v>-0,05975494</c:v>
                </c:pt>
                <c:pt idx="381">
                  <c:v>-0,05965494</c:v>
                </c:pt>
                <c:pt idx="382">
                  <c:v>-0,05955494</c:v>
                </c:pt>
                <c:pt idx="383">
                  <c:v>-0,05945494</c:v>
                </c:pt>
                <c:pt idx="384">
                  <c:v>-0,05935494</c:v>
                </c:pt>
                <c:pt idx="385">
                  <c:v>-0,05925494</c:v>
                </c:pt>
                <c:pt idx="386">
                  <c:v>-0,05915494</c:v>
                </c:pt>
                <c:pt idx="387">
                  <c:v>-0,05905494</c:v>
                </c:pt>
                <c:pt idx="388">
                  <c:v>-0,05895494</c:v>
                </c:pt>
                <c:pt idx="389">
                  <c:v>-0,05885494</c:v>
                </c:pt>
                <c:pt idx="390">
                  <c:v>-0,05875494</c:v>
                </c:pt>
                <c:pt idx="391">
                  <c:v>-0,05865494</c:v>
                </c:pt>
                <c:pt idx="392">
                  <c:v>-0,05855494</c:v>
                </c:pt>
                <c:pt idx="393">
                  <c:v>-0,05845494</c:v>
                </c:pt>
                <c:pt idx="394">
                  <c:v>-0,05835494</c:v>
                </c:pt>
                <c:pt idx="395">
                  <c:v>-0,05825494</c:v>
                </c:pt>
                <c:pt idx="396">
                  <c:v>-0,05815494</c:v>
                </c:pt>
                <c:pt idx="397">
                  <c:v>-0,05805494</c:v>
                </c:pt>
                <c:pt idx="398">
                  <c:v>-0,05795494</c:v>
                </c:pt>
                <c:pt idx="399">
                  <c:v>-0,05785494</c:v>
                </c:pt>
                <c:pt idx="400">
                  <c:v>-0,05775494</c:v>
                </c:pt>
                <c:pt idx="401">
                  <c:v>-0,05765494</c:v>
                </c:pt>
                <c:pt idx="402">
                  <c:v>-0,05755494</c:v>
                </c:pt>
                <c:pt idx="403">
                  <c:v>-0,05745494</c:v>
                </c:pt>
                <c:pt idx="404">
                  <c:v>-0,05735494</c:v>
                </c:pt>
                <c:pt idx="405">
                  <c:v>-0,05725494</c:v>
                </c:pt>
                <c:pt idx="406">
                  <c:v>-0,05715494</c:v>
                </c:pt>
                <c:pt idx="407">
                  <c:v>-0,05705494</c:v>
                </c:pt>
                <c:pt idx="408">
                  <c:v>-0,05695494</c:v>
                </c:pt>
                <c:pt idx="409">
                  <c:v>-0,05685494</c:v>
                </c:pt>
                <c:pt idx="410">
                  <c:v>-0,05675494</c:v>
                </c:pt>
                <c:pt idx="411">
                  <c:v>-0,05665494</c:v>
                </c:pt>
                <c:pt idx="412">
                  <c:v>-0,05655494</c:v>
                </c:pt>
                <c:pt idx="413">
                  <c:v>-0,05645494</c:v>
                </c:pt>
                <c:pt idx="414">
                  <c:v>-0,05635494</c:v>
                </c:pt>
                <c:pt idx="415">
                  <c:v>-0,05625494</c:v>
                </c:pt>
                <c:pt idx="416">
                  <c:v>-0,05615494</c:v>
                </c:pt>
                <c:pt idx="417">
                  <c:v>-0,05605494</c:v>
                </c:pt>
                <c:pt idx="418">
                  <c:v>-0,05595494</c:v>
                </c:pt>
                <c:pt idx="419">
                  <c:v>-0,05585494</c:v>
                </c:pt>
                <c:pt idx="420">
                  <c:v>-0,05575494</c:v>
                </c:pt>
                <c:pt idx="421">
                  <c:v>-0,05565494</c:v>
                </c:pt>
                <c:pt idx="422">
                  <c:v>-0,05555494</c:v>
                </c:pt>
                <c:pt idx="423">
                  <c:v>-0,05545494</c:v>
                </c:pt>
                <c:pt idx="424">
                  <c:v>-0,05535494</c:v>
                </c:pt>
                <c:pt idx="425">
                  <c:v>-0,05525494</c:v>
                </c:pt>
                <c:pt idx="426">
                  <c:v>-0,05515494</c:v>
                </c:pt>
                <c:pt idx="427">
                  <c:v>-0,05505494</c:v>
                </c:pt>
                <c:pt idx="428">
                  <c:v>-0,05495494</c:v>
                </c:pt>
                <c:pt idx="429">
                  <c:v>-0,05485494</c:v>
                </c:pt>
                <c:pt idx="430">
                  <c:v>-0,05475494</c:v>
                </c:pt>
                <c:pt idx="431">
                  <c:v>-0,05465494</c:v>
                </c:pt>
                <c:pt idx="432">
                  <c:v>-0,05455494</c:v>
                </c:pt>
                <c:pt idx="433">
                  <c:v>-0,05445494</c:v>
                </c:pt>
                <c:pt idx="434">
                  <c:v>-0,05435494</c:v>
                </c:pt>
                <c:pt idx="435">
                  <c:v>-0,05425494</c:v>
                </c:pt>
                <c:pt idx="436">
                  <c:v>-0,05415494</c:v>
                </c:pt>
                <c:pt idx="437">
                  <c:v>-0,05405494</c:v>
                </c:pt>
                <c:pt idx="438">
                  <c:v>-0,05395494</c:v>
                </c:pt>
                <c:pt idx="439">
                  <c:v>-0,05385494</c:v>
                </c:pt>
                <c:pt idx="440">
                  <c:v>-0,05375494</c:v>
                </c:pt>
                <c:pt idx="441">
                  <c:v>-0,05365494</c:v>
                </c:pt>
                <c:pt idx="442">
                  <c:v>-0,05355494</c:v>
                </c:pt>
                <c:pt idx="443">
                  <c:v>-0,05345494</c:v>
                </c:pt>
                <c:pt idx="444">
                  <c:v>-0,05335494</c:v>
                </c:pt>
                <c:pt idx="445">
                  <c:v>-0,05325494</c:v>
                </c:pt>
                <c:pt idx="446">
                  <c:v>-0,05315494</c:v>
                </c:pt>
                <c:pt idx="447">
                  <c:v>-0,05305494</c:v>
                </c:pt>
                <c:pt idx="448">
                  <c:v>-0,05295494</c:v>
                </c:pt>
                <c:pt idx="449">
                  <c:v>-0,05285494</c:v>
                </c:pt>
                <c:pt idx="450">
                  <c:v>-0,05275494</c:v>
                </c:pt>
                <c:pt idx="451">
                  <c:v>-0,05265494</c:v>
                </c:pt>
                <c:pt idx="452">
                  <c:v>-0,05255494</c:v>
                </c:pt>
                <c:pt idx="453">
                  <c:v>-0,05245494</c:v>
                </c:pt>
                <c:pt idx="454">
                  <c:v>-0,05235494</c:v>
                </c:pt>
                <c:pt idx="455">
                  <c:v>-0,05225494</c:v>
                </c:pt>
                <c:pt idx="456">
                  <c:v>-0,05215494</c:v>
                </c:pt>
                <c:pt idx="457">
                  <c:v>-0,05205494</c:v>
                </c:pt>
                <c:pt idx="458">
                  <c:v>-0,05195494</c:v>
                </c:pt>
                <c:pt idx="459">
                  <c:v>-0,05185494</c:v>
                </c:pt>
                <c:pt idx="460">
                  <c:v>-0,05175494</c:v>
                </c:pt>
                <c:pt idx="461">
                  <c:v>-0,05165494</c:v>
                </c:pt>
                <c:pt idx="462">
                  <c:v>-0,05155494</c:v>
                </c:pt>
                <c:pt idx="463">
                  <c:v>-0,05145494</c:v>
                </c:pt>
                <c:pt idx="464">
                  <c:v>-0,05135494</c:v>
                </c:pt>
                <c:pt idx="465">
                  <c:v>-0,05125494</c:v>
                </c:pt>
                <c:pt idx="466">
                  <c:v>-0,05115494</c:v>
                </c:pt>
                <c:pt idx="467">
                  <c:v>-0,05105494</c:v>
                </c:pt>
                <c:pt idx="468">
                  <c:v>-0,05095494</c:v>
                </c:pt>
                <c:pt idx="469">
                  <c:v>-0,05085494</c:v>
                </c:pt>
                <c:pt idx="470">
                  <c:v>-0,05075494</c:v>
                </c:pt>
                <c:pt idx="471">
                  <c:v>-0,05065494</c:v>
                </c:pt>
                <c:pt idx="472">
                  <c:v>-0,05055494</c:v>
                </c:pt>
                <c:pt idx="473">
                  <c:v>-0,05045494</c:v>
                </c:pt>
                <c:pt idx="474">
                  <c:v>-0,05035494</c:v>
                </c:pt>
                <c:pt idx="475">
                  <c:v>-0,05025494</c:v>
                </c:pt>
                <c:pt idx="476">
                  <c:v>-0,05015494</c:v>
                </c:pt>
                <c:pt idx="477">
                  <c:v>-0,05005494</c:v>
                </c:pt>
                <c:pt idx="478">
                  <c:v>-0,04995494</c:v>
                </c:pt>
                <c:pt idx="479">
                  <c:v>-0,04985494</c:v>
                </c:pt>
                <c:pt idx="480">
                  <c:v>-0,04975494</c:v>
                </c:pt>
                <c:pt idx="481">
                  <c:v>-0,04965494</c:v>
                </c:pt>
                <c:pt idx="482">
                  <c:v>-0,04955494</c:v>
                </c:pt>
                <c:pt idx="483">
                  <c:v>-0,04945494</c:v>
                </c:pt>
                <c:pt idx="484">
                  <c:v>-0,04935494</c:v>
                </c:pt>
                <c:pt idx="485">
                  <c:v>-0,04925494</c:v>
                </c:pt>
                <c:pt idx="486">
                  <c:v>-0,04915494</c:v>
                </c:pt>
                <c:pt idx="487">
                  <c:v>-0,04905494</c:v>
                </c:pt>
                <c:pt idx="488">
                  <c:v>-0,04895494</c:v>
                </c:pt>
                <c:pt idx="489">
                  <c:v>-0,04885494</c:v>
                </c:pt>
                <c:pt idx="490">
                  <c:v>-0,04875494</c:v>
                </c:pt>
                <c:pt idx="491">
                  <c:v>-0,04865494</c:v>
                </c:pt>
                <c:pt idx="492">
                  <c:v>-0,04855494</c:v>
                </c:pt>
                <c:pt idx="493">
                  <c:v>-0,04845494</c:v>
                </c:pt>
                <c:pt idx="494">
                  <c:v>-0,04835494</c:v>
                </c:pt>
                <c:pt idx="495">
                  <c:v>-0,04825494</c:v>
                </c:pt>
                <c:pt idx="496">
                  <c:v>-0,04815494</c:v>
                </c:pt>
                <c:pt idx="497">
                  <c:v>-0,04805494</c:v>
                </c:pt>
                <c:pt idx="498">
                  <c:v>-0,04795494</c:v>
                </c:pt>
                <c:pt idx="499">
                  <c:v>-0,04785494</c:v>
                </c:pt>
                <c:pt idx="500">
                  <c:v>-0,04775494</c:v>
                </c:pt>
                <c:pt idx="501">
                  <c:v>-0,04765494</c:v>
                </c:pt>
                <c:pt idx="502">
                  <c:v>-0,04755494</c:v>
                </c:pt>
                <c:pt idx="503">
                  <c:v>-0,04745494</c:v>
                </c:pt>
                <c:pt idx="504">
                  <c:v>-0,04735494</c:v>
                </c:pt>
                <c:pt idx="505">
                  <c:v>-0,04725494</c:v>
                </c:pt>
                <c:pt idx="506">
                  <c:v>-0,04715494</c:v>
                </c:pt>
                <c:pt idx="507">
                  <c:v>-0,04705494</c:v>
                </c:pt>
                <c:pt idx="508">
                  <c:v>-0,04695494</c:v>
                </c:pt>
                <c:pt idx="509">
                  <c:v>-0,04685494</c:v>
                </c:pt>
                <c:pt idx="510">
                  <c:v>-0,04675494</c:v>
                </c:pt>
                <c:pt idx="511">
                  <c:v>-0,04665494</c:v>
                </c:pt>
                <c:pt idx="512">
                  <c:v>-0,04655494</c:v>
                </c:pt>
                <c:pt idx="513">
                  <c:v>-0,04645494</c:v>
                </c:pt>
                <c:pt idx="514">
                  <c:v>-0,04635494</c:v>
                </c:pt>
                <c:pt idx="515">
                  <c:v>-0,04625494</c:v>
                </c:pt>
                <c:pt idx="516">
                  <c:v>-0,04615494</c:v>
                </c:pt>
                <c:pt idx="517">
                  <c:v>-0,04605494</c:v>
                </c:pt>
                <c:pt idx="518">
                  <c:v>-0,04595494</c:v>
                </c:pt>
                <c:pt idx="519">
                  <c:v>-0,04585494</c:v>
                </c:pt>
                <c:pt idx="520">
                  <c:v>-0,04575494</c:v>
                </c:pt>
                <c:pt idx="521">
                  <c:v>-0,04565494</c:v>
                </c:pt>
                <c:pt idx="522">
                  <c:v>-0,04555494</c:v>
                </c:pt>
                <c:pt idx="523">
                  <c:v>-0,04545494</c:v>
                </c:pt>
                <c:pt idx="524">
                  <c:v>-0,04535494</c:v>
                </c:pt>
                <c:pt idx="525">
                  <c:v>-0,04525494</c:v>
                </c:pt>
                <c:pt idx="526">
                  <c:v>-0,04515494</c:v>
                </c:pt>
                <c:pt idx="527">
                  <c:v>-0,04505494</c:v>
                </c:pt>
                <c:pt idx="528">
                  <c:v>-0,04495494</c:v>
                </c:pt>
                <c:pt idx="529">
                  <c:v>-0,04485494</c:v>
                </c:pt>
                <c:pt idx="530">
                  <c:v>-0,04475494</c:v>
                </c:pt>
                <c:pt idx="531">
                  <c:v>-0,04465494</c:v>
                </c:pt>
                <c:pt idx="532">
                  <c:v>-0,04455494</c:v>
                </c:pt>
                <c:pt idx="533">
                  <c:v>-0,04445494</c:v>
                </c:pt>
                <c:pt idx="534">
                  <c:v>-0,04435494</c:v>
                </c:pt>
                <c:pt idx="535">
                  <c:v>-0,04425494</c:v>
                </c:pt>
                <c:pt idx="536">
                  <c:v>-0,04415494</c:v>
                </c:pt>
                <c:pt idx="537">
                  <c:v>-0,04405494</c:v>
                </c:pt>
                <c:pt idx="538">
                  <c:v>-0,04395494</c:v>
                </c:pt>
                <c:pt idx="539">
                  <c:v>-0,04385494</c:v>
                </c:pt>
                <c:pt idx="540">
                  <c:v>-0,04375494</c:v>
                </c:pt>
                <c:pt idx="541">
                  <c:v>-0,04365494</c:v>
                </c:pt>
                <c:pt idx="542">
                  <c:v>-0,04355494</c:v>
                </c:pt>
                <c:pt idx="543">
                  <c:v>-0,04345494</c:v>
                </c:pt>
                <c:pt idx="544">
                  <c:v>-0,04335494</c:v>
                </c:pt>
                <c:pt idx="545">
                  <c:v>-0,04325494</c:v>
                </c:pt>
                <c:pt idx="546">
                  <c:v>-0,04315494</c:v>
                </c:pt>
                <c:pt idx="547">
                  <c:v>-0,04305494</c:v>
                </c:pt>
                <c:pt idx="548">
                  <c:v>-0,04295494</c:v>
                </c:pt>
                <c:pt idx="549">
                  <c:v>-0,04285494</c:v>
                </c:pt>
                <c:pt idx="550">
                  <c:v>-0,04275494</c:v>
                </c:pt>
                <c:pt idx="551">
                  <c:v>-0,04265494</c:v>
                </c:pt>
                <c:pt idx="552">
                  <c:v>-0,04255494</c:v>
                </c:pt>
                <c:pt idx="553">
                  <c:v>-0,04245494</c:v>
                </c:pt>
                <c:pt idx="554">
                  <c:v>-0,04235494</c:v>
                </c:pt>
                <c:pt idx="555">
                  <c:v>-0,04225494</c:v>
                </c:pt>
                <c:pt idx="556">
                  <c:v>-0,04215494</c:v>
                </c:pt>
                <c:pt idx="557">
                  <c:v>-0,04205494</c:v>
                </c:pt>
                <c:pt idx="558">
                  <c:v>-0,04195494</c:v>
                </c:pt>
                <c:pt idx="559">
                  <c:v>-0,04185494</c:v>
                </c:pt>
                <c:pt idx="560">
                  <c:v>-0,04175494</c:v>
                </c:pt>
                <c:pt idx="561">
                  <c:v>-0,04165494</c:v>
                </c:pt>
                <c:pt idx="562">
                  <c:v>-0,04155494</c:v>
                </c:pt>
                <c:pt idx="563">
                  <c:v>-0,04145494</c:v>
                </c:pt>
                <c:pt idx="564">
                  <c:v>-0,04135494</c:v>
                </c:pt>
                <c:pt idx="565">
                  <c:v>-0,04125494</c:v>
                </c:pt>
                <c:pt idx="566">
                  <c:v>-0,04115494</c:v>
                </c:pt>
                <c:pt idx="567">
                  <c:v>-0,04105494</c:v>
                </c:pt>
                <c:pt idx="568">
                  <c:v>-0,04095494</c:v>
                </c:pt>
                <c:pt idx="569">
                  <c:v>-0,04085494</c:v>
                </c:pt>
                <c:pt idx="570">
                  <c:v>-0,04075494</c:v>
                </c:pt>
                <c:pt idx="571">
                  <c:v>-0,04065494</c:v>
                </c:pt>
                <c:pt idx="572">
                  <c:v>-0,04055494</c:v>
                </c:pt>
                <c:pt idx="573">
                  <c:v>-0,04045494</c:v>
                </c:pt>
                <c:pt idx="574">
                  <c:v>-0,04035494</c:v>
                </c:pt>
                <c:pt idx="575">
                  <c:v>-0,04025494</c:v>
                </c:pt>
                <c:pt idx="576">
                  <c:v>-0,04015494</c:v>
                </c:pt>
                <c:pt idx="577">
                  <c:v>-0,04005494</c:v>
                </c:pt>
                <c:pt idx="578">
                  <c:v>-0,03995494</c:v>
                </c:pt>
                <c:pt idx="579">
                  <c:v>-0,03985494</c:v>
                </c:pt>
                <c:pt idx="580">
                  <c:v>-0,03975494</c:v>
                </c:pt>
                <c:pt idx="581">
                  <c:v>-0,03965494</c:v>
                </c:pt>
                <c:pt idx="582">
                  <c:v>-0,03955494</c:v>
                </c:pt>
                <c:pt idx="583">
                  <c:v>-0,03945494</c:v>
                </c:pt>
                <c:pt idx="584">
                  <c:v>-0,03935494</c:v>
                </c:pt>
                <c:pt idx="585">
                  <c:v>-0,03925494</c:v>
                </c:pt>
                <c:pt idx="586">
                  <c:v>-0,03915494</c:v>
                </c:pt>
                <c:pt idx="587">
                  <c:v>-0,03905494</c:v>
                </c:pt>
                <c:pt idx="588">
                  <c:v>-0,03895494</c:v>
                </c:pt>
                <c:pt idx="589">
                  <c:v>-0,03885494</c:v>
                </c:pt>
                <c:pt idx="590">
                  <c:v>-0,03875494</c:v>
                </c:pt>
                <c:pt idx="591">
                  <c:v>-0,03865494</c:v>
                </c:pt>
                <c:pt idx="592">
                  <c:v>-0,03855494</c:v>
                </c:pt>
                <c:pt idx="593">
                  <c:v>-0,03845494</c:v>
                </c:pt>
                <c:pt idx="594">
                  <c:v>-0,03835494</c:v>
                </c:pt>
                <c:pt idx="595">
                  <c:v>-0,03825494</c:v>
                </c:pt>
                <c:pt idx="596">
                  <c:v>-0,03815494</c:v>
                </c:pt>
                <c:pt idx="597">
                  <c:v>-0,03805494</c:v>
                </c:pt>
                <c:pt idx="598">
                  <c:v>-0,03795494</c:v>
                </c:pt>
                <c:pt idx="599">
                  <c:v>-0,03785494</c:v>
                </c:pt>
                <c:pt idx="600">
                  <c:v>-0,03775494</c:v>
                </c:pt>
                <c:pt idx="601">
                  <c:v>-0,03765494</c:v>
                </c:pt>
                <c:pt idx="602">
                  <c:v>-0,03755494</c:v>
                </c:pt>
                <c:pt idx="603">
                  <c:v>-0,03745494</c:v>
                </c:pt>
                <c:pt idx="604">
                  <c:v>-0,03735494</c:v>
                </c:pt>
                <c:pt idx="605">
                  <c:v>-0,03725494</c:v>
                </c:pt>
                <c:pt idx="606">
                  <c:v>-0,03715494</c:v>
                </c:pt>
                <c:pt idx="607">
                  <c:v>-0,03705494</c:v>
                </c:pt>
                <c:pt idx="608">
                  <c:v>-0,03695494</c:v>
                </c:pt>
                <c:pt idx="609">
                  <c:v>-0,03685494</c:v>
                </c:pt>
                <c:pt idx="610">
                  <c:v>-0,03675494</c:v>
                </c:pt>
                <c:pt idx="611">
                  <c:v>-0,03665494</c:v>
                </c:pt>
                <c:pt idx="612">
                  <c:v>-0,03655494</c:v>
                </c:pt>
                <c:pt idx="613">
                  <c:v>-0,03645494</c:v>
                </c:pt>
                <c:pt idx="614">
                  <c:v>-0,03635494</c:v>
                </c:pt>
                <c:pt idx="615">
                  <c:v>-0,03625494</c:v>
                </c:pt>
                <c:pt idx="616">
                  <c:v>-0,03615494</c:v>
                </c:pt>
                <c:pt idx="617">
                  <c:v>-0,03605494</c:v>
                </c:pt>
                <c:pt idx="618">
                  <c:v>-0,03595494</c:v>
                </c:pt>
                <c:pt idx="619">
                  <c:v>-0,03585494</c:v>
                </c:pt>
                <c:pt idx="620">
                  <c:v>-0,03575494</c:v>
                </c:pt>
                <c:pt idx="621">
                  <c:v>-0,03565494</c:v>
                </c:pt>
                <c:pt idx="622">
                  <c:v>-0,03555494</c:v>
                </c:pt>
                <c:pt idx="623">
                  <c:v>-0,03545494</c:v>
                </c:pt>
                <c:pt idx="624">
                  <c:v>-0,03535494</c:v>
                </c:pt>
                <c:pt idx="625">
                  <c:v>-0,03525494</c:v>
                </c:pt>
                <c:pt idx="626">
                  <c:v>-0,03515494</c:v>
                </c:pt>
                <c:pt idx="627">
                  <c:v>-0,03505494</c:v>
                </c:pt>
                <c:pt idx="628">
                  <c:v>-0,03495494</c:v>
                </c:pt>
                <c:pt idx="629">
                  <c:v>-0,03485494</c:v>
                </c:pt>
                <c:pt idx="630">
                  <c:v>-0,03475494</c:v>
                </c:pt>
                <c:pt idx="631">
                  <c:v>-0,03465494</c:v>
                </c:pt>
                <c:pt idx="632">
                  <c:v>-0,03455494</c:v>
                </c:pt>
                <c:pt idx="633">
                  <c:v>-0,03445494</c:v>
                </c:pt>
                <c:pt idx="634">
                  <c:v>-0,03435494</c:v>
                </c:pt>
                <c:pt idx="635">
                  <c:v>-0,03425494</c:v>
                </c:pt>
                <c:pt idx="636">
                  <c:v>-0,03415494</c:v>
                </c:pt>
                <c:pt idx="637">
                  <c:v>-0,03405494</c:v>
                </c:pt>
                <c:pt idx="638">
                  <c:v>-0,03395494</c:v>
                </c:pt>
                <c:pt idx="639">
                  <c:v>-0,03385494</c:v>
                </c:pt>
                <c:pt idx="640">
                  <c:v>-0,03375494</c:v>
                </c:pt>
                <c:pt idx="641">
                  <c:v>-0,03365494</c:v>
                </c:pt>
                <c:pt idx="642">
                  <c:v>-0,03355494</c:v>
                </c:pt>
                <c:pt idx="643">
                  <c:v>-0,03345494</c:v>
                </c:pt>
                <c:pt idx="644">
                  <c:v>-0,03335494</c:v>
                </c:pt>
                <c:pt idx="645">
                  <c:v>-0,03325494</c:v>
                </c:pt>
                <c:pt idx="646">
                  <c:v>-0,03315494</c:v>
                </c:pt>
                <c:pt idx="647">
                  <c:v>-0,03305494</c:v>
                </c:pt>
                <c:pt idx="648">
                  <c:v>-0,03295494</c:v>
                </c:pt>
                <c:pt idx="649">
                  <c:v>-0,03285494</c:v>
                </c:pt>
                <c:pt idx="650">
                  <c:v>-0,03275494</c:v>
                </c:pt>
                <c:pt idx="651">
                  <c:v>-0,03265494</c:v>
                </c:pt>
                <c:pt idx="652">
                  <c:v>-0,03255494</c:v>
                </c:pt>
                <c:pt idx="653">
                  <c:v>-0,03245494</c:v>
                </c:pt>
                <c:pt idx="654">
                  <c:v>-0,03235494</c:v>
                </c:pt>
                <c:pt idx="655">
                  <c:v>-0,03225494</c:v>
                </c:pt>
                <c:pt idx="656">
                  <c:v>-0,03215494</c:v>
                </c:pt>
                <c:pt idx="657">
                  <c:v>-0,03205494</c:v>
                </c:pt>
                <c:pt idx="658">
                  <c:v>-0,03195494</c:v>
                </c:pt>
                <c:pt idx="659">
                  <c:v>-0,03185494</c:v>
                </c:pt>
                <c:pt idx="660">
                  <c:v>-0,03175494</c:v>
                </c:pt>
                <c:pt idx="661">
                  <c:v>-0,03165494</c:v>
                </c:pt>
                <c:pt idx="662">
                  <c:v>-0,03155494</c:v>
                </c:pt>
                <c:pt idx="663">
                  <c:v>-0,03145494</c:v>
                </c:pt>
                <c:pt idx="664">
                  <c:v>-0,03135494</c:v>
                </c:pt>
                <c:pt idx="665">
                  <c:v>-0,03125494</c:v>
                </c:pt>
                <c:pt idx="666">
                  <c:v>-0,03115494</c:v>
                </c:pt>
                <c:pt idx="667">
                  <c:v>-0,03105494</c:v>
                </c:pt>
                <c:pt idx="668">
                  <c:v>-0,03095494</c:v>
                </c:pt>
                <c:pt idx="669">
                  <c:v>-0,03085494</c:v>
                </c:pt>
                <c:pt idx="670">
                  <c:v>-0,03075494</c:v>
                </c:pt>
                <c:pt idx="671">
                  <c:v>-0,03065494</c:v>
                </c:pt>
                <c:pt idx="672">
                  <c:v>-0,03055494</c:v>
                </c:pt>
                <c:pt idx="673">
                  <c:v>-0,03045494</c:v>
                </c:pt>
                <c:pt idx="674">
                  <c:v>-0,03035494</c:v>
                </c:pt>
                <c:pt idx="675">
                  <c:v>-0,03025494</c:v>
                </c:pt>
                <c:pt idx="676">
                  <c:v>-0,03015494</c:v>
                </c:pt>
                <c:pt idx="677">
                  <c:v>-0,03005494</c:v>
                </c:pt>
                <c:pt idx="678">
                  <c:v>-0,02995494</c:v>
                </c:pt>
                <c:pt idx="679">
                  <c:v>-0,02985494</c:v>
                </c:pt>
                <c:pt idx="680">
                  <c:v>-0,02975494</c:v>
                </c:pt>
                <c:pt idx="681">
                  <c:v>-0,02965494</c:v>
                </c:pt>
                <c:pt idx="682">
                  <c:v>-0,02955494</c:v>
                </c:pt>
                <c:pt idx="683">
                  <c:v>-0,02945494</c:v>
                </c:pt>
                <c:pt idx="684">
                  <c:v>-0,02935494</c:v>
                </c:pt>
                <c:pt idx="685">
                  <c:v>-0,02925494</c:v>
                </c:pt>
                <c:pt idx="686">
                  <c:v>-0,02915494</c:v>
                </c:pt>
                <c:pt idx="687">
                  <c:v>-0,02905494</c:v>
                </c:pt>
                <c:pt idx="688">
                  <c:v>-0,02895494</c:v>
                </c:pt>
                <c:pt idx="689">
                  <c:v>-0,02885494</c:v>
                </c:pt>
                <c:pt idx="690">
                  <c:v>-0,02875494</c:v>
                </c:pt>
                <c:pt idx="691">
                  <c:v>-0,02865494</c:v>
                </c:pt>
                <c:pt idx="692">
                  <c:v>-0,02855494</c:v>
                </c:pt>
                <c:pt idx="693">
                  <c:v>-0,02845494</c:v>
                </c:pt>
                <c:pt idx="694">
                  <c:v>-0,02835494</c:v>
                </c:pt>
                <c:pt idx="695">
                  <c:v>-0,02825494</c:v>
                </c:pt>
                <c:pt idx="696">
                  <c:v>-0,02815494</c:v>
                </c:pt>
                <c:pt idx="697">
                  <c:v>-0,02805494</c:v>
                </c:pt>
                <c:pt idx="698">
                  <c:v>-0,02795494</c:v>
                </c:pt>
                <c:pt idx="699">
                  <c:v>-0,02785494</c:v>
                </c:pt>
                <c:pt idx="700">
                  <c:v>-0,02775494</c:v>
                </c:pt>
                <c:pt idx="701">
                  <c:v>-0,02765494</c:v>
                </c:pt>
                <c:pt idx="702">
                  <c:v>-0,02755494</c:v>
                </c:pt>
                <c:pt idx="703">
                  <c:v>-0,02745494</c:v>
                </c:pt>
                <c:pt idx="704">
                  <c:v>-0,02735494</c:v>
                </c:pt>
                <c:pt idx="705">
                  <c:v>-0,02725494</c:v>
                </c:pt>
                <c:pt idx="706">
                  <c:v>-0,02715494</c:v>
                </c:pt>
                <c:pt idx="707">
                  <c:v>-0,02705494</c:v>
                </c:pt>
                <c:pt idx="708">
                  <c:v>-0,02695494</c:v>
                </c:pt>
                <c:pt idx="709">
                  <c:v>-0,02685494</c:v>
                </c:pt>
                <c:pt idx="710">
                  <c:v>-0,02675494</c:v>
                </c:pt>
                <c:pt idx="711">
                  <c:v>-0,02665494</c:v>
                </c:pt>
                <c:pt idx="712">
                  <c:v>-0,02655494</c:v>
                </c:pt>
                <c:pt idx="713">
                  <c:v>-0,02645494</c:v>
                </c:pt>
                <c:pt idx="714">
                  <c:v>-0,02635494</c:v>
                </c:pt>
                <c:pt idx="715">
                  <c:v>-0,02625494</c:v>
                </c:pt>
                <c:pt idx="716">
                  <c:v>-0,02615494</c:v>
                </c:pt>
                <c:pt idx="717">
                  <c:v>-0,02605494</c:v>
                </c:pt>
                <c:pt idx="718">
                  <c:v>-0,02595494</c:v>
                </c:pt>
                <c:pt idx="719">
                  <c:v>-0,02585494</c:v>
                </c:pt>
                <c:pt idx="720">
                  <c:v>-0,02575494</c:v>
                </c:pt>
                <c:pt idx="721">
                  <c:v>-0,02565494</c:v>
                </c:pt>
                <c:pt idx="722">
                  <c:v>-0,02555494</c:v>
                </c:pt>
                <c:pt idx="723">
                  <c:v>-0,02545494</c:v>
                </c:pt>
                <c:pt idx="724">
                  <c:v>-0,02535494</c:v>
                </c:pt>
                <c:pt idx="725">
                  <c:v>-0,02525494</c:v>
                </c:pt>
                <c:pt idx="726">
                  <c:v>-0,02515494</c:v>
                </c:pt>
                <c:pt idx="727">
                  <c:v>-0,02505494</c:v>
                </c:pt>
                <c:pt idx="728">
                  <c:v>-0,02495494</c:v>
                </c:pt>
                <c:pt idx="729">
                  <c:v>-0,02485494</c:v>
                </c:pt>
                <c:pt idx="730">
                  <c:v>-0,02475494</c:v>
                </c:pt>
                <c:pt idx="731">
                  <c:v>-0,02465494</c:v>
                </c:pt>
                <c:pt idx="732">
                  <c:v>-0,02455494</c:v>
                </c:pt>
                <c:pt idx="733">
                  <c:v>-0,02445494</c:v>
                </c:pt>
                <c:pt idx="734">
                  <c:v>-0,02435494</c:v>
                </c:pt>
                <c:pt idx="735">
                  <c:v>-0,02425494</c:v>
                </c:pt>
                <c:pt idx="736">
                  <c:v>-0,02415494</c:v>
                </c:pt>
                <c:pt idx="737">
                  <c:v>-0,02405494</c:v>
                </c:pt>
                <c:pt idx="738">
                  <c:v>-0,02395494</c:v>
                </c:pt>
                <c:pt idx="739">
                  <c:v>-0,02385494</c:v>
                </c:pt>
                <c:pt idx="740">
                  <c:v>-0,02375494</c:v>
                </c:pt>
                <c:pt idx="741">
                  <c:v>-0,02365494</c:v>
                </c:pt>
                <c:pt idx="742">
                  <c:v>-0,02355494</c:v>
                </c:pt>
                <c:pt idx="743">
                  <c:v>-0,02345494</c:v>
                </c:pt>
                <c:pt idx="744">
                  <c:v>-0,02335494</c:v>
                </c:pt>
                <c:pt idx="745">
                  <c:v>-0,02325494</c:v>
                </c:pt>
                <c:pt idx="746">
                  <c:v>-0,02315494</c:v>
                </c:pt>
                <c:pt idx="747">
                  <c:v>-0,02305494</c:v>
                </c:pt>
                <c:pt idx="748">
                  <c:v>-0,02295494</c:v>
                </c:pt>
                <c:pt idx="749">
                  <c:v>-0,02285494</c:v>
                </c:pt>
                <c:pt idx="750">
                  <c:v>-0,02275494</c:v>
                </c:pt>
                <c:pt idx="751">
                  <c:v>-0,02265494</c:v>
                </c:pt>
                <c:pt idx="752">
                  <c:v>-0,02255494</c:v>
                </c:pt>
                <c:pt idx="753">
                  <c:v>-0,02245494</c:v>
                </c:pt>
                <c:pt idx="754">
                  <c:v>-0,02235494</c:v>
                </c:pt>
                <c:pt idx="755">
                  <c:v>-0,02225494</c:v>
                </c:pt>
                <c:pt idx="756">
                  <c:v>-0,02215494</c:v>
                </c:pt>
                <c:pt idx="757">
                  <c:v>-0,02205494</c:v>
                </c:pt>
                <c:pt idx="758">
                  <c:v>-0,02195494</c:v>
                </c:pt>
                <c:pt idx="759">
                  <c:v>-0,02185494</c:v>
                </c:pt>
                <c:pt idx="760">
                  <c:v>-0,02175494</c:v>
                </c:pt>
                <c:pt idx="761">
                  <c:v>-0,02165494</c:v>
                </c:pt>
                <c:pt idx="762">
                  <c:v>-0,02155494</c:v>
                </c:pt>
                <c:pt idx="763">
                  <c:v>-0,02145494</c:v>
                </c:pt>
                <c:pt idx="764">
                  <c:v>-0,02135494</c:v>
                </c:pt>
                <c:pt idx="765">
                  <c:v>-0,02125494</c:v>
                </c:pt>
                <c:pt idx="766">
                  <c:v>-0,02115494</c:v>
                </c:pt>
                <c:pt idx="767">
                  <c:v>-0,02105494</c:v>
                </c:pt>
                <c:pt idx="768">
                  <c:v>-0,02095494</c:v>
                </c:pt>
                <c:pt idx="769">
                  <c:v>-0,02085494</c:v>
                </c:pt>
                <c:pt idx="770">
                  <c:v>-0,02075494</c:v>
                </c:pt>
                <c:pt idx="771">
                  <c:v>-0,02065494</c:v>
                </c:pt>
                <c:pt idx="772">
                  <c:v>-0,02055494</c:v>
                </c:pt>
                <c:pt idx="773">
                  <c:v>-0,02045494</c:v>
                </c:pt>
                <c:pt idx="774">
                  <c:v>-0,02035494</c:v>
                </c:pt>
                <c:pt idx="775">
                  <c:v>-0,02025494</c:v>
                </c:pt>
                <c:pt idx="776">
                  <c:v>-0,02015494</c:v>
                </c:pt>
                <c:pt idx="777">
                  <c:v>-0,02005494</c:v>
                </c:pt>
                <c:pt idx="778">
                  <c:v>-0,01995494</c:v>
                </c:pt>
                <c:pt idx="779">
                  <c:v>-0,01985494</c:v>
                </c:pt>
                <c:pt idx="780">
                  <c:v>-0,01975494</c:v>
                </c:pt>
                <c:pt idx="781">
                  <c:v>-0,01965494</c:v>
                </c:pt>
                <c:pt idx="782">
                  <c:v>-0,01955494</c:v>
                </c:pt>
                <c:pt idx="783">
                  <c:v>-0,01945494</c:v>
                </c:pt>
                <c:pt idx="784">
                  <c:v>-0,01935494</c:v>
                </c:pt>
                <c:pt idx="785">
                  <c:v>-0,01925494</c:v>
                </c:pt>
                <c:pt idx="786">
                  <c:v>-0,01915494</c:v>
                </c:pt>
                <c:pt idx="787">
                  <c:v>-0,01905494</c:v>
                </c:pt>
                <c:pt idx="788">
                  <c:v>-0,01895494</c:v>
                </c:pt>
                <c:pt idx="789">
                  <c:v>-0,01885494</c:v>
                </c:pt>
                <c:pt idx="790">
                  <c:v>-0,01875494</c:v>
                </c:pt>
                <c:pt idx="791">
                  <c:v>-0,01865494</c:v>
                </c:pt>
                <c:pt idx="792">
                  <c:v>-0,01855494</c:v>
                </c:pt>
                <c:pt idx="793">
                  <c:v>-0,01845494</c:v>
                </c:pt>
                <c:pt idx="794">
                  <c:v>-0,01835494</c:v>
                </c:pt>
                <c:pt idx="795">
                  <c:v>-0,01825494</c:v>
                </c:pt>
                <c:pt idx="796">
                  <c:v>-0,01815494</c:v>
                </c:pt>
                <c:pt idx="797">
                  <c:v>-0,01805494</c:v>
                </c:pt>
                <c:pt idx="798">
                  <c:v>-0,01795494</c:v>
                </c:pt>
                <c:pt idx="799">
                  <c:v>-0,01785494</c:v>
                </c:pt>
                <c:pt idx="800">
                  <c:v>-0,01775494</c:v>
                </c:pt>
                <c:pt idx="801">
                  <c:v>-0,01765494</c:v>
                </c:pt>
                <c:pt idx="802">
                  <c:v>-0,01755494</c:v>
                </c:pt>
                <c:pt idx="803">
                  <c:v>-0,01745494</c:v>
                </c:pt>
                <c:pt idx="804">
                  <c:v>-0,01735494</c:v>
                </c:pt>
                <c:pt idx="805">
                  <c:v>-0,01725494</c:v>
                </c:pt>
                <c:pt idx="806">
                  <c:v>-0,01715494</c:v>
                </c:pt>
                <c:pt idx="807">
                  <c:v>-0,01705494</c:v>
                </c:pt>
                <c:pt idx="808">
                  <c:v>-0,01695494</c:v>
                </c:pt>
                <c:pt idx="809">
                  <c:v>-0,01685494</c:v>
                </c:pt>
                <c:pt idx="810">
                  <c:v>-0,01675494</c:v>
                </c:pt>
                <c:pt idx="811">
                  <c:v>-0,01665494</c:v>
                </c:pt>
                <c:pt idx="812">
                  <c:v>-0,01655494</c:v>
                </c:pt>
                <c:pt idx="813">
                  <c:v>-0,01645494</c:v>
                </c:pt>
                <c:pt idx="814">
                  <c:v>-0,01635494</c:v>
                </c:pt>
                <c:pt idx="815">
                  <c:v>-0,01625494</c:v>
                </c:pt>
                <c:pt idx="816">
                  <c:v>-0,01615494</c:v>
                </c:pt>
                <c:pt idx="817">
                  <c:v>-0,01605494</c:v>
                </c:pt>
                <c:pt idx="818">
                  <c:v>-0,01595494</c:v>
                </c:pt>
                <c:pt idx="819">
                  <c:v>-0,01585494</c:v>
                </c:pt>
                <c:pt idx="820">
                  <c:v>-0,01575494</c:v>
                </c:pt>
                <c:pt idx="821">
                  <c:v>-0,01565494</c:v>
                </c:pt>
                <c:pt idx="822">
                  <c:v>-0,01555494</c:v>
                </c:pt>
                <c:pt idx="823">
                  <c:v>-0,01545494</c:v>
                </c:pt>
                <c:pt idx="824">
                  <c:v>-0,01535494</c:v>
                </c:pt>
                <c:pt idx="825">
                  <c:v>-0,01525494</c:v>
                </c:pt>
                <c:pt idx="826">
                  <c:v>-0,01515494</c:v>
                </c:pt>
                <c:pt idx="827">
                  <c:v>-0,01505494</c:v>
                </c:pt>
                <c:pt idx="828">
                  <c:v>-0,01495494</c:v>
                </c:pt>
                <c:pt idx="829">
                  <c:v>-0,01485494</c:v>
                </c:pt>
                <c:pt idx="830">
                  <c:v>-0,01475494</c:v>
                </c:pt>
                <c:pt idx="831">
                  <c:v>-0,01465494</c:v>
                </c:pt>
                <c:pt idx="832">
                  <c:v>-0,01455494</c:v>
                </c:pt>
                <c:pt idx="833">
                  <c:v>-0,01445494</c:v>
                </c:pt>
                <c:pt idx="834">
                  <c:v>-0,01435494</c:v>
                </c:pt>
                <c:pt idx="835">
                  <c:v>-0,01425494</c:v>
                </c:pt>
                <c:pt idx="836">
                  <c:v>-0,01415494</c:v>
                </c:pt>
                <c:pt idx="837">
                  <c:v>-0,01405494</c:v>
                </c:pt>
                <c:pt idx="838">
                  <c:v>-0,01395494</c:v>
                </c:pt>
                <c:pt idx="839">
                  <c:v>-0,01385494</c:v>
                </c:pt>
                <c:pt idx="840">
                  <c:v>-0,01375494</c:v>
                </c:pt>
                <c:pt idx="841">
                  <c:v>-0,01365494</c:v>
                </c:pt>
                <c:pt idx="842">
                  <c:v>-0,01355494</c:v>
                </c:pt>
                <c:pt idx="843">
                  <c:v>-0,01345494</c:v>
                </c:pt>
                <c:pt idx="844">
                  <c:v>-0,01335494</c:v>
                </c:pt>
                <c:pt idx="845">
                  <c:v>-0,01325494</c:v>
                </c:pt>
                <c:pt idx="846">
                  <c:v>-0,01315494</c:v>
                </c:pt>
                <c:pt idx="847">
                  <c:v>-0,01305494</c:v>
                </c:pt>
                <c:pt idx="848">
                  <c:v>-0,01295494</c:v>
                </c:pt>
                <c:pt idx="849">
                  <c:v>-0,01285494</c:v>
                </c:pt>
                <c:pt idx="850">
                  <c:v>-0,01275494</c:v>
                </c:pt>
                <c:pt idx="851">
                  <c:v>-0,01265494</c:v>
                </c:pt>
                <c:pt idx="852">
                  <c:v>-0,01255494</c:v>
                </c:pt>
                <c:pt idx="853">
                  <c:v>-0,01245494</c:v>
                </c:pt>
                <c:pt idx="854">
                  <c:v>-0,01235494</c:v>
                </c:pt>
                <c:pt idx="855">
                  <c:v>-0,01225494</c:v>
                </c:pt>
                <c:pt idx="856">
                  <c:v>-0,01215494</c:v>
                </c:pt>
                <c:pt idx="857">
                  <c:v>-0,01205494</c:v>
                </c:pt>
                <c:pt idx="858">
                  <c:v>-0,01195494</c:v>
                </c:pt>
                <c:pt idx="859">
                  <c:v>-0,01185494</c:v>
                </c:pt>
                <c:pt idx="860">
                  <c:v>-0,01175494</c:v>
                </c:pt>
                <c:pt idx="861">
                  <c:v>-0,01165494</c:v>
                </c:pt>
                <c:pt idx="862">
                  <c:v>-0,01155494</c:v>
                </c:pt>
                <c:pt idx="863">
                  <c:v>-0,01145494</c:v>
                </c:pt>
                <c:pt idx="864">
                  <c:v>-0,01135494</c:v>
                </c:pt>
                <c:pt idx="865">
                  <c:v>-0,01125494</c:v>
                </c:pt>
                <c:pt idx="866">
                  <c:v>-0,01115494</c:v>
                </c:pt>
                <c:pt idx="867">
                  <c:v>-0,01105494</c:v>
                </c:pt>
                <c:pt idx="868">
                  <c:v>-0,01095494</c:v>
                </c:pt>
                <c:pt idx="869">
                  <c:v>-0,01085494</c:v>
                </c:pt>
                <c:pt idx="870">
                  <c:v>-0,01075494</c:v>
                </c:pt>
                <c:pt idx="871">
                  <c:v>-0,01065494</c:v>
                </c:pt>
                <c:pt idx="872">
                  <c:v>-0,01055494</c:v>
                </c:pt>
                <c:pt idx="873">
                  <c:v>-0,01045494</c:v>
                </c:pt>
                <c:pt idx="874">
                  <c:v>-0,01035494</c:v>
                </c:pt>
                <c:pt idx="875">
                  <c:v>-0,01025494</c:v>
                </c:pt>
                <c:pt idx="876">
                  <c:v>-0,01015494</c:v>
                </c:pt>
                <c:pt idx="877">
                  <c:v>-0,01005494</c:v>
                </c:pt>
                <c:pt idx="878">
                  <c:v>-0,00995494</c:v>
                </c:pt>
                <c:pt idx="879">
                  <c:v>-0,00985494</c:v>
                </c:pt>
                <c:pt idx="880">
                  <c:v>-0,00975494</c:v>
                </c:pt>
                <c:pt idx="881">
                  <c:v>-0,00965494</c:v>
                </c:pt>
                <c:pt idx="882">
                  <c:v>-0,00955494</c:v>
                </c:pt>
                <c:pt idx="883">
                  <c:v>-0,00945494</c:v>
                </c:pt>
                <c:pt idx="884">
                  <c:v>-0,00935494</c:v>
                </c:pt>
                <c:pt idx="885">
                  <c:v>-0,00925494</c:v>
                </c:pt>
                <c:pt idx="886">
                  <c:v>-0,00915494</c:v>
                </c:pt>
                <c:pt idx="887">
                  <c:v>-0,00905494</c:v>
                </c:pt>
                <c:pt idx="888">
                  <c:v>-0,00895494</c:v>
                </c:pt>
                <c:pt idx="889">
                  <c:v>-0,00885494</c:v>
                </c:pt>
                <c:pt idx="890">
                  <c:v>-0,00875494</c:v>
                </c:pt>
                <c:pt idx="891">
                  <c:v>-0,00865494</c:v>
                </c:pt>
                <c:pt idx="892">
                  <c:v>-0,00855494</c:v>
                </c:pt>
                <c:pt idx="893">
                  <c:v>-0,00845494</c:v>
                </c:pt>
                <c:pt idx="894">
                  <c:v>-0,00835494</c:v>
                </c:pt>
                <c:pt idx="895">
                  <c:v>-0,00825494</c:v>
                </c:pt>
                <c:pt idx="896">
                  <c:v>-0,00815494</c:v>
                </c:pt>
                <c:pt idx="897">
                  <c:v>-0,00805494</c:v>
                </c:pt>
                <c:pt idx="898">
                  <c:v>-0,00795494</c:v>
                </c:pt>
                <c:pt idx="899">
                  <c:v>-0,00785494</c:v>
                </c:pt>
                <c:pt idx="900">
                  <c:v>-0,00775494</c:v>
                </c:pt>
                <c:pt idx="901">
                  <c:v>-0,00765494</c:v>
                </c:pt>
                <c:pt idx="902">
                  <c:v>-0,00755494</c:v>
                </c:pt>
                <c:pt idx="903">
                  <c:v>-0,00745494</c:v>
                </c:pt>
                <c:pt idx="904">
                  <c:v>-0,00735494</c:v>
                </c:pt>
                <c:pt idx="905">
                  <c:v>-0,00725494</c:v>
                </c:pt>
                <c:pt idx="906">
                  <c:v>-0,00715494</c:v>
                </c:pt>
                <c:pt idx="907">
                  <c:v>-0,00705494</c:v>
                </c:pt>
                <c:pt idx="908">
                  <c:v>-0,00695494</c:v>
                </c:pt>
                <c:pt idx="909">
                  <c:v>-0,00685494</c:v>
                </c:pt>
                <c:pt idx="910">
                  <c:v>-0,00675494</c:v>
                </c:pt>
                <c:pt idx="911">
                  <c:v>-0,00665494</c:v>
                </c:pt>
                <c:pt idx="912">
                  <c:v>-0,00655494</c:v>
                </c:pt>
                <c:pt idx="913">
                  <c:v>-0,00645494</c:v>
                </c:pt>
                <c:pt idx="914">
                  <c:v>-0,00635494</c:v>
                </c:pt>
                <c:pt idx="915">
                  <c:v>-0,00625494</c:v>
                </c:pt>
                <c:pt idx="916">
                  <c:v>-0,00615494</c:v>
                </c:pt>
                <c:pt idx="917">
                  <c:v>-0,00605494</c:v>
                </c:pt>
                <c:pt idx="918">
                  <c:v>-0,00595494</c:v>
                </c:pt>
                <c:pt idx="919">
                  <c:v>-0,00585494</c:v>
                </c:pt>
                <c:pt idx="920">
                  <c:v>-0,00575494</c:v>
                </c:pt>
                <c:pt idx="921">
                  <c:v>-0,00565494</c:v>
                </c:pt>
                <c:pt idx="922">
                  <c:v>-0,00555494</c:v>
                </c:pt>
                <c:pt idx="923">
                  <c:v>-0,00545494</c:v>
                </c:pt>
                <c:pt idx="924">
                  <c:v>-0,00535494</c:v>
                </c:pt>
                <c:pt idx="925">
                  <c:v>-0,00525494</c:v>
                </c:pt>
                <c:pt idx="926">
                  <c:v>-0,00515494</c:v>
                </c:pt>
                <c:pt idx="927">
                  <c:v>-0,00505494</c:v>
                </c:pt>
                <c:pt idx="928">
                  <c:v>-0,00495494</c:v>
                </c:pt>
                <c:pt idx="929">
                  <c:v>-0,00485494</c:v>
                </c:pt>
                <c:pt idx="930">
                  <c:v>-0,00475494</c:v>
                </c:pt>
                <c:pt idx="931">
                  <c:v>-0,00465494</c:v>
                </c:pt>
                <c:pt idx="932">
                  <c:v>-0,00455494</c:v>
                </c:pt>
                <c:pt idx="933">
                  <c:v>-0,00445494</c:v>
                </c:pt>
                <c:pt idx="934">
                  <c:v>-0,00435494</c:v>
                </c:pt>
                <c:pt idx="935">
                  <c:v>-0,00425494</c:v>
                </c:pt>
                <c:pt idx="936">
                  <c:v>-0,00415494</c:v>
                </c:pt>
                <c:pt idx="937">
                  <c:v>-0,00405494</c:v>
                </c:pt>
                <c:pt idx="938">
                  <c:v>-0,00395494</c:v>
                </c:pt>
                <c:pt idx="939">
                  <c:v>-0,00385494</c:v>
                </c:pt>
                <c:pt idx="940">
                  <c:v>-0,00375494</c:v>
                </c:pt>
                <c:pt idx="941">
                  <c:v>-0,00365494</c:v>
                </c:pt>
                <c:pt idx="942">
                  <c:v>-0,00355494</c:v>
                </c:pt>
                <c:pt idx="943">
                  <c:v>-0,00345494</c:v>
                </c:pt>
                <c:pt idx="944">
                  <c:v>-0,00335494</c:v>
                </c:pt>
                <c:pt idx="945">
                  <c:v>-0,00325494</c:v>
                </c:pt>
                <c:pt idx="946">
                  <c:v>-0,00315494</c:v>
                </c:pt>
                <c:pt idx="947">
                  <c:v>-0,00305494</c:v>
                </c:pt>
                <c:pt idx="948">
                  <c:v>-0,00295494</c:v>
                </c:pt>
                <c:pt idx="949">
                  <c:v>-0,00285494</c:v>
                </c:pt>
                <c:pt idx="950">
                  <c:v>-0,00275494</c:v>
                </c:pt>
                <c:pt idx="951">
                  <c:v>-0,00265494</c:v>
                </c:pt>
                <c:pt idx="952">
                  <c:v>-0,00255494</c:v>
                </c:pt>
                <c:pt idx="953">
                  <c:v>-0,00245494</c:v>
                </c:pt>
                <c:pt idx="954">
                  <c:v>-0,00235494</c:v>
                </c:pt>
                <c:pt idx="955">
                  <c:v>-0,00225494</c:v>
                </c:pt>
                <c:pt idx="956">
                  <c:v>-0,00215494</c:v>
                </c:pt>
                <c:pt idx="957">
                  <c:v>-0,00205494</c:v>
                </c:pt>
                <c:pt idx="958">
                  <c:v>-0,00195494</c:v>
                </c:pt>
                <c:pt idx="959">
                  <c:v>-0,00185494</c:v>
                </c:pt>
                <c:pt idx="960">
                  <c:v>-0,00175494</c:v>
                </c:pt>
                <c:pt idx="961">
                  <c:v>-0,00165494</c:v>
                </c:pt>
                <c:pt idx="962">
                  <c:v>-0,00155494</c:v>
                </c:pt>
                <c:pt idx="963">
                  <c:v>-0,00145494</c:v>
                </c:pt>
                <c:pt idx="964">
                  <c:v>-0,00135494</c:v>
                </c:pt>
                <c:pt idx="965">
                  <c:v>-0,00125494</c:v>
                </c:pt>
                <c:pt idx="966">
                  <c:v>-0,00115494</c:v>
                </c:pt>
                <c:pt idx="967">
                  <c:v>-0,00105494</c:v>
                </c:pt>
                <c:pt idx="968">
                  <c:v>-0,00095494</c:v>
                </c:pt>
                <c:pt idx="969">
                  <c:v>-0,00085494</c:v>
                </c:pt>
                <c:pt idx="970">
                  <c:v>-0,00075494</c:v>
                </c:pt>
                <c:pt idx="971">
                  <c:v>-0,00065494</c:v>
                </c:pt>
                <c:pt idx="972">
                  <c:v>-0,00055494</c:v>
                </c:pt>
                <c:pt idx="973">
                  <c:v>-0,00045494</c:v>
                </c:pt>
                <c:pt idx="974">
                  <c:v>-0,00035494</c:v>
                </c:pt>
                <c:pt idx="975">
                  <c:v>-0,00025494</c:v>
                </c:pt>
                <c:pt idx="976">
                  <c:v>-0,00015494</c:v>
                </c:pt>
                <c:pt idx="977">
                  <c:v>-5,49399E-05</c:v>
                </c:pt>
                <c:pt idx="978">
                  <c:v>4,50601E-05</c:v>
                </c:pt>
                <c:pt idx="979">
                  <c:v>0,00014506</c:v>
                </c:pt>
                <c:pt idx="980">
                  <c:v>0,00024506</c:v>
                </c:pt>
                <c:pt idx="981">
                  <c:v>0,00034506</c:v>
                </c:pt>
                <c:pt idx="982">
                  <c:v>0,00044506</c:v>
                </c:pt>
                <c:pt idx="983">
                  <c:v>0,00054506</c:v>
                </c:pt>
                <c:pt idx="984">
                  <c:v>0,00064506</c:v>
                </c:pt>
                <c:pt idx="985">
                  <c:v>0,00074506</c:v>
                </c:pt>
                <c:pt idx="986">
                  <c:v>0,00084506</c:v>
                </c:pt>
                <c:pt idx="987">
                  <c:v>0,00094506</c:v>
                </c:pt>
                <c:pt idx="988">
                  <c:v>0,00104506</c:v>
                </c:pt>
                <c:pt idx="989">
                  <c:v>0,00114506</c:v>
                </c:pt>
                <c:pt idx="990">
                  <c:v>0,00124506</c:v>
                </c:pt>
                <c:pt idx="991">
                  <c:v>0,00134506</c:v>
                </c:pt>
                <c:pt idx="992">
                  <c:v>0,00144506</c:v>
                </c:pt>
                <c:pt idx="993">
                  <c:v>0,00154506</c:v>
                </c:pt>
                <c:pt idx="994">
                  <c:v>0,00164506</c:v>
                </c:pt>
                <c:pt idx="995">
                  <c:v>0,00174506</c:v>
                </c:pt>
                <c:pt idx="996">
                  <c:v>0,00184506</c:v>
                </c:pt>
                <c:pt idx="997">
                  <c:v>0,00194506</c:v>
                </c:pt>
                <c:pt idx="998">
                  <c:v>0,00204506</c:v>
                </c:pt>
                <c:pt idx="999">
                  <c:v>0,00214506</c:v>
                </c:pt>
                <c:pt idx="1000">
                  <c:v>0,00224506</c:v>
                </c:pt>
                <c:pt idx="1001">
                  <c:v>0,00234506</c:v>
                </c:pt>
                <c:pt idx="1002">
                  <c:v>0,00244506</c:v>
                </c:pt>
                <c:pt idx="1003">
                  <c:v>0,00254506</c:v>
                </c:pt>
                <c:pt idx="1004">
                  <c:v>0,00264506</c:v>
                </c:pt>
                <c:pt idx="1005">
                  <c:v>0,00274506</c:v>
                </c:pt>
                <c:pt idx="1006">
                  <c:v>0,00284506</c:v>
                </c:pt>
                <c:pt idx="1007">
                  <c:v>0,00294506</c:v>
                </c:pt>
                <c:pt idx="1008">
                  <c:v>0,00304506</c:v>
                </c:pt>
                <c:pt idx="1009">
                  <c:v>0,00314506</c:v>
                </c:pt>
                <c:pt idx="1010">
                  <c:v>0,00324506</c:v>
                </c:pt>
                <c:pt idx="1011">
                  <c:v>0,00334506</c:v>
                </c:pt>
                <c:pt idx="1012">
                  <c:v>0,00344506</c:v>
                </c:pt>
                <c:pt idx="1013">
                  <c:v>0,00354506</c:v>
                </c:pt>
                <c:pt idx="1014">
                  <c:v>0,00364506</c:v>
                </c:pt>
                <c:pt idx="1015">
                  <c:v>0,00374506</c:v>
                </c:pt>
                <c:pt idx="1016">
                  <c:v>0,00384506</c:v>
                </c:pt>
                <c:pt idx="1017">
                  <c:v>0,00394506</c:v>
                </c:pt>
                <c:pt idx="1018">
                  <c:v>0,00404506</c:v>
                </c:pt>
                <c:pt idx="1019">
                  <c:v>0,00414506</c:v>
                </c:pt>
                <c:pt idx="1020">
                  <c:v>0,00424506</c:v>
                </c:pt>
                <c:pt idx="1021">
                  <c:v>0,00434506</c:v>
                </c:pt>
                <c:pt idx="1022">
                  <c:v>0,00444506</c:v>
                </c:pt>
                <c:pt idx="1023">
                  <c:v>0,00454506</c:v>
                </c:pt>
                <c:pt idx="1024">
                  <c:v>0,00464506</c:v>
                </c:pt>
              </c:strCache>
            </c:strRef>
          </c:xVal>
          <c:yVal>
            <c:numRef>
              <c:f>Estimation_1516!$G:$G</c:f>
              <c:numCache>
                <c:formatCode>General</c:formatCode>
                <c:ptCount val="104857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8.6500983695228344E-9</c:v>
                </c:pt>
                <c:pt idx="131">
                  <c:v>2.3961457933765258E-7</c:v>
                </c:pt>
                <c:pt idx="132">
                  <c:v>1.0936130010679135E-6</c:v>
                </c:pt>
                <c:pt idx="133">
                  <c:v>2.9410431118128913E-6</c:v>
                </c:pt>
                <c:pt idx="134">
                  <c:v>6.1130691618407516E-6</c:v>
                </c:pt>
                <c:pt idx="135">
                  <c:v>1.0902956821588227E-5</c:v>
                </c:pt>
                <c:pt idx="136">
                  <c:v>1.756740809981218E-5</c:v>
                </c:pt>
                <c:pt idx="137">
                  <c:v>2.6327896261744014E-5</c:v>
                </c:pt>
                <c:pt idx="138">
                  <c:v>3.7372000747240425E-5</c:v>
                </c:pt>
                <c:pt idx="139">
                  <c:v>5.0854742088936997E-5</c:v>
                </c:pt>
                <c:pt idx="140">
                  <c:v>6.6899916830400984E-5</c:v>
                </c:pt>
                <c:pt idx="141">
                  <c:v>8.5601432444282473E-5</c:v>
                </c:pt>
                <c:pt idx="142">
                  <c:v>1.0702464225046879E-4</c:v>
                </c:pt>
                <c:pt idx="143">
                  <c:v>1.3120768033423604E-4</c:v>
                </c:pt>
                <c:pt idx="144">
                  <c:v>1.5816279646440137E-4</c:v>
                </c:pt>
                <c:pt idx="145">
                  <c:v>1.8787769101147686E-4</c:v>
                </c:pt>
                <c:pt idx="146">
                  <c:v>2.203168498658207E-4</c:v>
                </c:pt>
                <c:pt idx="147">
                  <c:v>2.5542287935579065E-4</c:v>
                </c:pt>
                <c:pt idx="148">
                  <c:v>2.9311784116589645E-4</c:v>
                </c:pt>
                <c:pt idx="149">
                  <c:v>3.3330458725495189E-4</c:v>
                </c:pt>
                <c:pt idx="150">
                  <c:v>3.7586809477422841E-4</c:v>
                </c:pt>
                <c:pt idx="151">
                  <c:v>4.2067680098560638E-4</c:v>
                </c:pt>
                <c:pt idx="152">
                  <c:v>4.6758393817972898E-4</c:v>
                </c:pt>
                <c:pt idx="153">
                  <c:v>5.1642886859415383E-4</c:v>
                </c:pt>
                <c:pt idx="154">
                  <c:v>5.6703841933150622E-4</c:v>
                </c:pt>
                <c:pt idx="155">
                  <c:v>6.1922821727763099E-4</c:v>
                </c:pt>
                <c:pt idx="156">
                  <c:v>6.7280402401974587E-4</c:v>
                </c:pt>
                <c:pt idx="157">
                  <c:v>7.2756307076459348E-4</c:v>
                </c:pt>
                <c:pt idx="158">
                  <c:v>7.8329539325659443E-4</c:v>
                </c:pt>
                <c:pt idx="159">
                  <c:v>8.3978516669599935E-4</c:v>
                </c:pt>
                <c:pt idx="160">
                  <c:v>8.9681204065704184E-4</c:v>
                </c:pt>
                <c:pt idx="161">
                  <c:v>9.5415247400609088E-4</c:v>
                </c:pt>
                <c:pt idx="162">
                  <c:v>1.0115810698198035E-3</c:v>
                </c:pt>
                <c:pt idx="163">
                  <c:v>1.0688719103032775E-3</c:v>
                </c:pt>
                <c:pt idx="164">
                  <c:v>1.1257998917082034E-3</c:v>
                </c:pt>
                <c:pt idx="165">
                  <c:v>1.1821420592510185E-3</c:v>
                </c:pt>
                <c:pt idx="166">
                  <c:v>1.2376789420310572E-3</c:v>
                </c:pt>
                <c:pt idx="167">
                  <c:v>1.292195887948706E-3</c:v>
                </c:pt>
                <c:pt idx="168">
                  <c:v>1.3454843986235537E-3</c:v>
                </c:pt>
                <c:pt idx="169">
                  <c:v>1.3973434643125466E-3</c:v>
                </c:pt>
                <c:pt idx="170">
                  <c:v>1.4475808988281384E-3</c:v>
                </c:pt>
                <c:pt idx="171">
                  <c:v>1.4960146744564448E-3</c:v>
                </c:pt>
                <c:pt idx="172">
                  <c:v>1.5424742568753954E-3</c:v>
                </c:pt>
                <c:pt idx="173">
                  <c:v>1.5868019400728855E-3</c:v>
                </c:pt>
                <c:pt idx="174">
                  <c:v>1.6288541812649305E-3</c:v>
                </c:pt>
                <c:pt idx="175">
                  <c:v>1.6685029358138167E-3</c:v>
                </c:pt>
                <c:pt idx="176">
                  <c:v>1.7056369921462544E-3</c:v>
                </c:pt>
                <c:pt idx="177">
                  <c:v>1.7401633066715311E-3</c:v>
                </c:pt>
                <c:pt idx="178">
                  <c:v>1.7720083386996638E-3</c:v>
                </c:pt>
                <c:pt idx="179">
                  <c:v>1.801119385359551E-3</c:v>
                </c:pt>
                <c:pt idx="180">
                  <c:v>1.827465916517126E-3</c:v>
                </c:pt>
                <c:pt idx="181">
                  <c:v>1.8510409096935082E-3</c:v>
                </c:pt>
                <c:pt idx="182">
                  <c:v>1.8718621849831587E-3</c:v>
                </c:pt>
                <c:pt idx="183">
                  <c:v>1.8899737399720291E-3</c:v>
                </c:pt>
                <c:pt idx="184">
                  <c:v>1.9054470846557162E-3</c:v>
                </c:pt>
                <c:pt idx="185">
                  <c:v>1.9183825763576144E-3</c:v>
                </c:pt>
                <c:pt idx="186">
                  <c:v>1.9289107546470691E-3</c:v>
                </c:pt>
                <c:pt idx="187">
                  <c:v>1.9371936762575257E-3</c:v>
                </c:pt>
                <c:pt idx="188">
                  <c:v>1.9434262500046874E-3</c:v>
                </c:pt>
                <c:pt idx="189">
                  <c:v>1.9478375717046645E-3</c:v>
                </c:pt>
                <c:pt idx="190">
                  <c:v>1.9506922590921262E-3</c:v>
                </c:pt>
                <c:pt idx="191">
                  <c:v>1.9522917867384562E-3</c:v>
                </c:pt>
                <c:pt idx="192">
                  <c:v>1.952975820969903E-3</c:v>
                </c:pt>
                <c:pt idx="193">
                  <c:v>1.9531235547857336E-3</c:v>
                </c:pt>
                <c:pt idx="194">
                  <c:v>1.953125E-3</c:v>
                </c:pt>
                <c:pt idx="195">
                  <c:v>1.953125E-3</c:v>
                </c:pt>
                <c:pt idx="196">
                  <c:v>1.953125E-3</c:v>
                </c:pt>
                <c:pt idx="197">
                  <c:v>1.953125E-3</c:v>
                </c:pt>
                <c:pt idx="198">
                  <c:v>1.953125E-3</c:v>
                </c:pt>
                <c:pt idx="199">
                  <c:v>1.953125E-3</c:v>
                </c:pt>
                <c:pt idx="200">
                  <c:v>1.953125E-3</c:v>
                </c:pt>
                <c:pt idx="201">
                  <c:v>1.953125E-3</c:v>
                </c:pt>
                <c:pt idx="202">
                  <c:v>1.953125E-3</c:v>
                </c:pt>
                <c:pt idx="203">
                  <c:v>1.953125E-3</c:v>
                </c:pt>
                <c:pt idx="204">
                  <c:v>1.953125E-3</c:v>
                </c:pt>
                <c:pt idx="205">
                  <c:v>1.953125E-3</c:v>
                </c:pt>
                <c:pt idx="206">
                  <c:v>1.953125E-3</c:v>
                </c:pt>
                <c:pt idx="207">
                  <c:v>1.953125E-3</c:v>
                </c:pt>
                <c:pt idx="208">
                  <c:v>1.953125E-3</c:v>
                </c:pt>
                <c:pt idx="209">
                  <c:v>1.953125E-3</c:v>
                </c:pt>
                <c:pt idx="210">
                  <c:v>1.953125E-3</c:v>
                </c:pt>
                <c:pt idx="211">
                  <c:v>1.953125E-3</c:v>
                </c:pt>
                <c:pt idx="212">
                  <c:v>1.953125E-3</c:v>
                </c:pt>
                <c:pt idx="213">
                  <c:v>1.953125E-3</c:v>
                </c:pt>
                <c:pt idx="214">
                  <c:v>1.953125E-3</c:v>
                </c:pt>
                <c:pt idx="215">
                  <c:v>1.953125E-3</c:v>
                </c:pt>
                <c:pt idx="216">
                  <c:v>1.953125E-3</c:v>
                </c:pt>
                <c:pt idx="217">
                  <c:v>1.953125E-3</c:v>
                </c:pt>
                <c:pt idx="218">
                  <c:v>1.953125E-3</c:v>
                </c:pt>
                <c:pt idx="219">
                  <c:v>1.953125E-3</c:v>
                </c:pt>
                <c:pt idx="220">
                  <c:v>1.953125E-3</c:v>
                </c:pt>
                <c:pt idx="221">
                  <c:v>1.953125E-3</c:v>
                </c:pt>
                <c:pt idx="222">
                  <c:v>1.953125E-3</c:v>
                </c:pt>
                <c:pt idx="223">
                  <c:v>1.953125E-3</c:v>
                </c:pt>
                <c:pt idx="224">
                  <c:v>1.953125E-3</c:v>
                </c:pt>
                <c:pt idx="225">
                  <c:v>1.953125E-3</c:v>
                </c:pt>
                <c:pt idx="226">
                  <c:v>1.953125E-3</c:v>
                </c:pt>
                <c:pt idx="227">
                  <c:v>1.953125E-3</c:v>
                </c:pt>
                <c:pt idx="228">
                  <c:v>1.953125E-3</c:v>
                </c:pt>
                <c:pt idx="229">
                  <c:v>1.953125E-3</c:v>
                </c:pt>
                <c:pt idx="230">
                  <c:v>1.953125E-3</c:v>
                </c:pt>
                <c:pt idx="231">
                  <c:v>1.953125E-3</c:v>
                </c:pt>
                <c:pt idx="232">
                  <c:v>1.953125E-3</c:v>
                </c:pt>
                <c:pt idx="233">
                  <c:v>1.953125E-3</c:v>
                </c:pt>
                <c:pt idx="234">
                  <c:v>1.953125E-3</c:v>
                </c:pt>
                <c:pt idx="235">
                  <c:v>1.953125E-3</c:v>
                </c:pt>
                <c:pt idx="236">
                  <c:v>1.953125E-3</c:v>
                </c:pt>
                <c:pt idx="237">
                  <c:v>1.953125E-3</c:v>
                </c:pt>
                <c:pt idx="238">
                  <c:v>1.953125E-3</c:v>
                </c:pt>
                <c:pt idx="239">
                  <c:v>1.953125E-3</c:v>
                </c:pt>
                <c:pt idx="240">
                  <c:v>1.953125E-3</c:v>
                </c:pt>
                <c:pt idx="241">
                  <c:v>1.953125E-3</c:v>
                </c:pt>
                <c:pt idx="242">
                  <c:v>1.953125E-3</c:v>
                </c:pt>
                <c:pt idx="243">
                  <c:v>1.953125E-3</c:v>
                </c:pt>
                <c:pt idx="244">
                  <c:v>1.953125E-3</c:v>
                </c:pt>
                <c:pt idx="245">
                  <c:v>1.953125E-3</c:v>
                </c:pt>
                <c:pt idx="246">
                  <c:v>1.953125E-3</c:v>
                </c:pt>
                <c:pt idx="247">
                  <c:v>1.953125E-3</c:v>
                </c:pt>
                <c:pt idx="248">
                  <c:v>1.953125E-3</c:v>
                </c:pt>
                <c:pt idx="249">
                  <c:v>1.953125E-3</c:v>
                </c:pt>
                <c:pt idx="250">
                  <c:v>1.953125E-3</c:v>
                </c:pt>
                <c:pt idx="251">
                  <c:v>1.953125E-3</c:v>
                </c:pt>
                <c:pt idx="252">
                  <c:v>1.953125E-3</c:v>
                </c:pt>
                <c:pt idx="253">
                  <c:v>1.953125E-3</c:v>
                </c:pt>
                <c:pt idx="254">
                  <c:v>1.953125E-3</c:v>
                </c:pt>
                <c:pt idx="255">
                  <c:v>1.953125E-3</c:v>
                </c:pt>
                <c:pt idx="256">
                  <c:v>1.953125E-3</c:v>
                </c:pt>
                <c:pt idx="257">
                  <c:v>1.953125E-3</c:v>
                </c:pt>
                <c:pt idx="258">
                  <c:v>1.953125E-3</c:v>
                </c:pt>
                <c:pt idx="259">
                  <c:v>1.953125E-3</c:v>
                </c:pt>
                <c:pt idx="260">
                  <c:v>1.953125E-3</c:v>
                </c:pt>
                <c:pt idx="261">
                  <c:v>1.953125E-3</c:v>
                </c:pt>
                <c:pt idx="262">
                  <c:v>1.953125E-3</c:v>
                </c:pt>
                <c:pt idx="263">
                  <c:v>1.953125E-3</c:v>
                </c:pt>
                <c:pt idx="264">
                  <c:v>1.953125E-3</c:v>
                </c:pt>
                <c:pt idx="265">
                  <c:v>1.953125E-3</c:v>
                </c:pt>
                <c:pt idx="266">
                  <c:v>1.953125E-3</c:v>
                </c:pt>
                <c:pt idx="267">
                  <c:v>1.953125E-3</c:v>
                </c:pt>
                <c:pt idx="268">
                  <c:v>1.953125E-3</c:v>
                </c:pt>
                <c:pt idx="269">
                  <c:v>1.953125E-3</c:v>
                </c:pt>
                <c:pt idx="270">
                  <c:v>1.953125E-3</c:v>
                </c:pt>
                <c:pt idx="271">
                  <c:v>1.953125E-3</c:v>
                </c:pt>
                <c:pt idx="272">
                  <c:v>1.953125E-3</c:v>
                </c:pt>
                <c:pt idx="273">
                  <c:v>1.953125E-3</c:v>
                </c:pt>
                <c:pt idx="274">
                  <c:v>1.953125E-3</c:v>
                </c:pt>
                <c:pt idx="275">
                  <c:v>1.953125E-3</c:v>
                </c:pt>
                <c:pt idx="276">
                  <c:v>1.953125E-3</c:v>
                </c:pt>
                <c:pt idx="277">
                  <c:v>1.953125E-3</c:v>
                </c:pt>
                <c:pt idx="278">
                  <c:v>1.953125E-3</c:v>
                </c:pt>
                <c:pt idx="279">
                  <c:v>1.953125E-3</c:v>
                </c:pt>
                <c:pt idx="280">
                  <c:v>1.953125E-3</c:v>
                </c:pt>
                <c:pt idx="281">
                  <c:v>1.953125E-3</c:v>
                </c:pt>
                <c:pt idx="282">
                  <c:v>1.953125E-3</c:v>
                </c:pt>
                <c:pt idx="283">
                  <c:v>1.953125E-3</c:v>
                </c:pt>
                <c:pt idx="284">
                  <c:v>1.953125E-3</c:v>
                </c:pt>
                <c:pt idx="285">
                  <c:v>1.953125E-3</c:v>
                </c:pt>
                <c:pt idx="286">
                  <c:v>1.953125E-3</c:v>
                </c:pt>
                <c:pt idx="287">
                  <c:v>1.953125E-3</c:v>
                </c:pt>
                <c:pt idx="288">
                  <c:v>1.953125E-3</c:v>
                </c:pt>
                <c:pt idx="289">
                  <c:v>1.953125E-3</c:v>
                </c:pt>
                <c:pt idx="290">
                  <c:v>1.953125E-3</c:v>
                </c:pt>
                <c:pt idx="291">
                  <c:v>1.953125E-3</c:v>
                </c:pt>
                <c:pt idx="292">
                  <c:v>1.953125E-3</c:v>
                </c:pt>
                <c:pt idx="293">
                  <c:v>1.953125E-3</c:v>
                </c:pt>
                <c:pt idx="294">
                  <c:v>1.953125E-3</c:v>
                </c:pt>
                <c:pt idx="295">
                  <c:v>1.953125E-3</c:v>
                </c:pt>
                <c:pt idx="296">
                  <c:v>1.953125E-3</c:v>
                </c:pt>
                <c:pt idx="297">
                  <c:v>1.953125E-3</c:v>
                </c:pt>
                <c:pt idx="298">
                  <c:v>1.953125E-3</c:v>
                </c:pt>
                <c:pt idx="299">
                  <c:v>1.953125E-3</c:v>
                </c:pt>
                <c:pt idx="300">
                  <c:v>1.953125E-3</c:v>
                </c:pt>
                <c:pt idx="301">
                  <c:v>1.953125E-3</c:v>
                </c:pt>
                <c:pt idx="302">
                  <c:v>1.953125E-3</c:v>
                </c:pt>
                <c:pt idx="303">
                  <c:v>1.953125E-3</c:v>
                </c:pt>
                <c:pt idx="304">
                  <c:v>1.953125E-3</c:v>
                </c:pt>
                <c:pt idx="305">
                  <c:v>1.953125E-3</c:v>
                </c:pt>
                <c:pt idx="306">
                  <c:v>1.953125E-3</c:v>
                </c:pt>
                <c:pt idx="307">
                  <c:v>1.953125E-3</c:v>
                </c:pt>
                <c:pt idx="308">
                  <c:v>1.953125E-3</c:v>
                </c:pt>
                <c:pt idx="309">
                  <c:v>1.953125E-3</c:v>
                </c:pt>
                <c:pt idx="310">
                  <c:v>1.953125E-3</c:v>
                </c:pt>
                <c:pt idx="311">
                  <c:v>1.953125E-3</c:v>
                </c:pt>
                <c:pt idx="312">
                  <c:v>1.953125E-3</c:v>
                </c:pt>
                <c:pt idx="313">
                  <c:v>1.953125E-3</c:v>
                </c:pt>
                <c:pt idx="314">
                  <c:v>1.953125E-3</c:v>
                </c:pt>
                <c:pt idx="315">
                  <c:v>1.953125E-3</c:v>
                </c:pt>
                <c:pt idx="316">
                  <c:v>1.953125E-3</c:v>
                </c:pt>
                <c:pt idx="317">
                  <c:v>1.953125E-3</c:v>
                </c:pt>
                <c:pt idx="318">
                  <c:v>1.953125E-3</c:v>
                </c:pt>
                <c:pt idx="319">
                  <c:v>1.953125E-3</c:v>
                </c:pt>
                <c:pt idx="320">
                  <c:v>1.953125E-3</c:v>
                </c:pt>
                <c:pt idx="321">
                  <c:v>1.953125E-3</c:v>
                </c:pt>
                <c:pt idx="322">
                  <c:v>1.953125E-3</c:v>
                </c:pt>
                <c:pt idx="323">
                  <c:v>1.953125E-3</c:v>
                </c:pt>
                <c:pt idx="324">
                  <c:v>1.953125E-3</c:v>
                </c:pt>
                <c:pt idx="325">
                  <c:v>1.953125E-3</c:v>
                </c:pt>
                <c:pt idx="326">
                  <c:v>1.953125E-3</c:v>
                </c:pt>
                <c:pt idx="327">
                  <c:v>1.953125E-3</c:v>
                </c:pt>
                <c:pt idx="328">
                  <c:v>1.953125E-3</c:v>
                </c:pt>
                <c:pt idx="329">
                  <c:v>1.953125E-3</c:v>
                </c:pt>
                <c:pt idx="330">
                  <c:v>1.953125E-3</c:v>
                </c:pt>
                <c:pt idx="331">
                  <c:v>1.953125E-3</c:v>
                </c:pt>
                <c:pt idx="332">
                  <c:v>1.953125E-3</c:v>
                </c:pt>
                <c:pt idx="333">
                  <c:v>1.953125E-3</c:v>
                </c:pt>
                <c:pt idx="334">
                  <c:v>1.953125E-3</c:v>
                </c:pt>
                <c:pt idx="335">
                  <c:v>1.953125E-3</c:v>
                </c:pt>
                <c:pt idx="336">
                  <c:v>1.953125E-3</c:v>
                </c:pt>
                <c:pt idx="337">
                  <c:v>1.953125E-3</c:v>
                </c:pt>
                <c:pt idx="338">
                  <c:v>1.953125E-3</c:v>
                </c:pt>
                <c:pt idx="339">
                  <c:v>1.953125E-3</c:v>
                </c:pt>
                <c:pt idx="340">
                  <c:v>1.953125E-3</c:v>
                </c:pt>
                <c:pt idx="341">
                  <c:v>1.953125E-3</c:v>
                </c:pt>
                <c:pt idx="342">
                  <c:v>1.953125E-3</c:v>
                </c:pt>
                <c:pt idx="343">
                  <c:v>1.953125E-3</c:v>
                </c:pt>
                <c:pt idx="344">
                  <c:v>1.953125E-3</c:v>
                </c:pt>
                <c:pt idx="345">
                  <c:v>1.953125E-3</c:v>
                </c:pt>
                <c:pt idx="346">
                  <c:v>1.953125E-3</c:v>
                </c:pt>
                <c:pt idx="347">
                  <c:v>1.953125E-3</c:v>
                </c:pt>
                <c:pt idx="348">
                  <c:v>1.953125E-3</c:v>
                </c:pt>
                <c:pt idx="349">
                  <c:v>1.953125E-3</c:v>
                </c:pt>
                <c:pt idx="350">
                  <c:v>1.953125E-3</c:v>
                </c:pt>
                <c:pt idx="351">
                  <c:v>1.953125E-3</c:v>
                </c:pt>
                <c:pt idx="352">
                  <c:v>1.953125E-3</c:v>
                </c:pt>
                <c:pt idx="353">
                  <c:v>1.953125E-3</c:v>
                </c:pt>
                <c:pt idx="354">
                  <c:v>1.953125E-3</c:v>
                </c:pt>
                <c:pt idx="355">
                  <c:v>1.953125E-3</c:v>
                </c:pt>
                <c:pt idx="356">
                  <c:v>1.953125E-3</c:v>
                </c:pt>
                <c:pt idx="357">
                  <c:v>1.953125E-3</c:v>
                </c:pt>
                <c:pt idx="358">
                  <c:v>1.953125E-3</c:v>
                </c:pt>
                <c:pt idx="359">
                  <c:v>1.953125E-3</c:v>
                </c:pt>
                <c:pt idx="360">
                  <c:v>1.953125E-3</c:v>
                </c:pt>
                <c:pt idx="361">
                  <c:v>1.953125E-3</c:v>
                </c:pt>
                <c:pt idx="362">
                  <c:v>1.953125E-3</c:v>
                </c:pt>
                <c:pt idx="363">
                  <c:v>1.953125E-3</c:v>
                </c:pt>
                <c:pt idx="364">
                  <c:v>1.953125E-3</c:v>
                </c:pt>
                <c:pt idx="365">
                  <c:v>1.953125E-3</c:v>
                </c:pt>
                <c:pt idx="366">
                  <c:v>1.953125E-3</c:v>
                </c:pt>
                <c:pt idx="367">
                  <c:v>1.953125E-3</c:v>
                </c:pt>
                <c:pt idx="368">
                  <c:v>1.953125E-3</c:v>
                </c:pt>
                <c:pt idx="369">
                  <c:v>1.953125E-3</c:v>
                </c:pt>
                <c:pt idx="370">
                  <c:v>1.953125E-3</c:v>
                </c:pt>
                <c:pt idx="371">
                  <c:v>1.953125E-3</c:v>
                </c:pt>
                <c:pt idx="372">
                  <c:v>1.953125E-3</c:v>
                </c:pt>
                <c:pt idx="373">
                  <c:v>1.953125E-3</c:v>
                </c:pt>
                <c:pt idx="374">
                  <c:v>1.953125E-3</c:v>
                </c:pt>
                <c:pt idx="375">
                  <c:v>1.953125E-3</c:v>
                </c:pt>
                <c:pt idx="376">
                  <c:v>1.953125E-3</c:v>
                </c:pt>
                <c:pt idx="377">
                  <c:v>1.953125E-3</c:v>
                </c:pt>
                <c:pt idx="378">
                  <c:v>1.953125E-3</c:v>
                </c:pt>
                <c:pt idx="379">
                  <c:v>1.953125E-3</c:v>
                </c:pt>
                <c:pt idx="380">
                  <c:v>1.953125E-3</c:v>
                </c:pt>
                <c:pt idx="381">
                  <c:v>1.953125E-3</c:v>
                </c:pt>
                <c:pt idx="382">
                  <c:v>1.953125E-3</c:v>
                </c:pt>
                <c:pt idx="383">
                  <c:v>1.953125E-3</c:v>
                </c:pt>
                <c:pt idx="384">
                  <c:v>1.953125E-3</c:v>
                </c:pt>
                <c:pt idx="385">
                  <c:v>1.953125E-3</c:v>
                </c:pt>
                <c:pt idx="386">
                  <c:v>1.953125E-3</c:v>
                </c:pt>
                <c:pt idx="387">
                  <c:v>1.953125E-3</c:v>
                </c:pt>
                <c:pt idx="388">
                  <c:v>1.953125E-3</c:v>
                </c:pt>
                <c:pt idx="389">
                  <c:v>1.953125E-3</c:v>
                </c:pt>
                <c:pt idx="390">
                  <c:v>1.953125E-3</c:v>
                </c:pt>
                <c:pt idx="391">
                  <c:v>1.953125E-3</c:v>
                </c:pt>
                <c:pt idx="392">
                  <c:v>1.953125E-3</c:v>
                </c:pt>
                <c:pt idx="393">
                  <c:v>1.953125E-3</c:v>
                </c:pt>
                <c:pt idx="394">
                  <c:v>1.953125E-3</c:v>
                </c:pt>
                <c:pt idx="395">
                  <c:v>1.953125E-3</c:v>
                </c:pt>
                <c:pt idx="396">
                  <c:v>1.953125E-3</c:v>
                </c:pt>
                <c:pt idx="397">
                  <c:v>1.953125E-3</c:v>
                </c:pt>
                <c:pt idx="398">
                  <c:v>1.953125E-3</c:v>
                </c:pt>
                <c:pt idx="399">
                  <c:v>1.953125E-3</c:v>
                </c:pt>
                <c:pt idx="400">
                  <c:v>1.953125E-3</c:v>
                </c:pt>
                <c:pt idx="401">
                  <c:v>1.953125E-3</c:v>
                </c:pt>
                <c:pt idx="402">
                  <c:v>1.953125E-3</c:v>
                </c:pt>
                <c:pt idx="403">
                  <c:v>1.953125E-3</c:v>
                </c:pt>
                <c:pt idx="404">
                  <c:v>1.953125E-3</c:v>
                </c:pt>
                <c:pt idx="405">
                  <c:v>1.953125E-3</c:v>
                </c:pt>
                <c:pt idx="406">
                  <c:v>1.953125E-3</c:v>
                </c:pt>
                <c:pt idx="407">
                  <c:v>1.953125E-3</c:v>
                </c:pt>
                <c:pt idx="408">
                  <c:v>1.953125E-3</c:v>
                </c:pt>
                <c:pt idx="409">
                  <c:v>1.953125E-3</c:v>
                </c:pt>
                <c:pt idx="410">
                  <c:v>1.953125E-3</c:v>
                </c:pt>
                <c:pt idx="411">
                  <c:v>1.953125E-3</c:v>
                </c:pt>
                <c:pt idx="412">
                  <c:v>1.953125E-3</c:v>
                </c:pt>
                <c:pt idx="413">
                  <c:v>1.953125E-3</c:v>
                </c:pt>
                <c:pt idx="414">
                  <c:v>1.953125E-3</c:v>
                </c:pt>
                <c:pt idx="415">
                  <c:v>1.953125E-3</c:v>
                </c:pt>
                <c:pt idx="416">
                  <c:v>1.953125E-3</c:v>
                </c:pt>
                <c:pt idx="417">
                  <c:v>1.953125E-3</c:v>
                </c:pt>
                <c:pt idx="418">
                  <c:v>1.953125E-3</c:v>
                </c:pt>
                <c:pt idx="419">
                  <c:v>1.953125E-3</c:v>
                </c:pt>
                <c:pt idx="420">
                  <c:v>1.953125E-3</c:v>
                </c:pt>
                <c:pt idx="421">
                  <c:v>1.953125E-3</c:v>
                </c:pt>
                <c:pt idx="422">
                  <c:v>1.953125E-3</c:v>
                </c:pt>
                <c:pt idx="423">
                  <c:v>1.953125E-3</c:v>
                </c:pt>
                <c:pt idx="424">
                  <c:v>1.953125E-3</c:v>
                </c:pt>
                <c:pt idx="425">
                  <c:v>1.953125E-3</c:v>
                </c:pt>
                <c:pt idx="426">
                  <c:v>1.953125E-3</c:v>
                </c:pt>
                <c:pt idx="427">
                  <c:v>1.953125E-3</c:v>
                </c:pt>
                <c:pt idx="428">
                  <c:v>1.953125E-3</c:v>
                </c:pt>
                <c:pt idx="429">
                  <c:v>1.953125E-3</c:v>
                </c:pt>
                <c:pt idx="430">
                  <c:v>1.953125E-3</c:v>
                </c:pt>
                <c:pt idx="431">
                  <c:v>1.953125E-3</c:v>
                </c:pt>
                <c:pt idx="432">
                  <c:v>1.953125E-3</c:v>
                </c:pt>
                <c:pt idx="433">
                  <c:v>1.953125E-3</c:v>
                </c:pt>
                <c:pt idx="434">
                  <c:v>1.953125E-3</c:v>
                </c:pt>
                <c:pt idx="435">
                  <c:v>1.953125E-3</c:v>
                </c:pt>
                <c:pt idx="436">
                  <c:v>1.953125E-3</c:v>
                </c:pt>
                <c:pt idx="437">
                  <c:v>1.953125E-3</c:v>
                </c:pt>
                <c:pt idx="438">
                  <c:v>1.953125E-3</c:v>
                </c:pt>
                <c:pt idx="439">
                  <c:v>1.953125E-3</c:v>
                </c:pt>
                <c:pt idx="440">
                  <c:v>1.953125E-3</c:v>
                </c:pt>
                <c:pt idx="441">
                  <c:v>1.953125E-3</c:v>
                </c:pt>
                <c:pt idx="442">
                  <c:v>1.953125E-3</c:v>
                </c:pt>
                <c:pt idx="443">
                  <c:v>1.953125E-3</c:v>
                </c:pt>
                <c:pt idx="444">
                  <c:v>1.953125E-3</c:v>
                </c:pt>
                <c:pt idx="445">
                  <c:v>1.953125E-3</c:v>
                </c:pt>
                <c:pt idx="446">
                  <c:v>1.953125E-3</c:v>
                </c:pt>
                <c:pt idx="447">
                  <c:v>1.953125E-3</c:v>
                </c:pt>
                <c:pt idx="448">
                  <c:v>1.953125E-3</c:v>
                </c:pt>
                <c:pt idx="449">
                  <c:v>1.953125E-3</c:v>
                </c:pt>
                <c:pt idx="450">
                  <c:v>1.953125E-3</c:v>
                </c:pt>
                <c:pt idx="451">
                  <c:v>1.953125E-3</c:v>
                </c:pt>
                <c:pt idx="452">
                  <c:v>1.953125E-3</c:v>
                </c:pt>
                <c:pt idx="453">
                  <c:v>1.953125E-3</c:v>
                </c:pt>
                <c:pt idx="454">
                  <c:v>1.953125E-3</c:v>
                </c:pt>
                <c:pt idx="455">
                  <c:v>1.953125E-3</c:v>
                </c:pt>
                <c:pt idx="456">
                  <c:v>1.953125E-3</c:v>
                </c:pt>
                <c:pt idx="457">
                  <c:v>1.953125E-3</c:v>
                </c:pt>
                <c:pt idx="458">
                  <c:v>1.953125E-3</c:v>
                </c:pt>
                <c:pt idx="459">
                  <c:v>1.953125E-3</c:v>
                </c:pt>
                <c:pt idx="460">
                  <c:v>1.953125E-3</c:v>
                </c:pt>
                <c:pt idx="461">
                  <c:v>1.953125E-3</c:v>
                </c:pt>
                <c:pt idx="462">
                  <c:v>1.953125E-3</c:v>
                </c:pt>
                <c:pt idx="463">
                  <c:v>1.953125E-3</c:v>
                </c:pt>
                <c:pt idx="464">
                  <c:v>1.953125E-3</c:v>
                </c:pt>
                <c:pt idx="465">
                  <c:v>1.953125E-3</c:v>
                </c:pt>
                <c:pt idx="466">
                  <c:v>1.953125E-3</c:v>
                </c:pt>
                <c:pt idx="467">
                  <c:v>1.953125E-3</c:v>
                </c:pt>
                <c:pt idx="468">
                  <c:v>1.953125E-3</c:v>
                </c:pt>
                <c:pt idx="469">
                  <c:v>1.953125E-3</c:v>
                </c:pt>
                <c:pt idx="470">
                  <c:v>1.953125E-3</c:v>
                </c:pt>
                <c:pt idx="471">
                  <c:v>1.953125E-3</c:v>
                </c:pt>
                <c:pt idx="472">
                  <c:v>1.953125E-3</c:v>
                </c:pt>
                <c:pt idx="473">
                  <c:v>1.953125E-3</c:v>
                </c:pt>
                <c:pt idx="474">
                  <c:v>1.953125E-3</c:v>
                </c:pt>
                <c:pt idx="475">
                  <c:v>1.953125E-3</c:v>
                </c:pt>
                <c:pt idx="476">
                  <c:v>1.953125E-3</c:v>
                </c:pt>
                <c:pt idx="477">
                  <c:v>1.953125E-3</c:v>
                </c:pt>
                <c:pt idx="478">
                  <c:v>1.953125E-3</c:v>
                </c:pt>
                <c:pt idx="479">
                  <c:v>1.953125E-3</c:v>
                </c:pt>
                <c:pt idx="480">
                  <c:v>1.953125E-3</c:v>
                </c:pt>
                <c:pt idx="481">
                  <c:v>1.953125E-3</c:v>
                </c:pt>
                <c:pt idx="482">
                  <c:v>1.953125E-3</c:v>
                </c:pt>
                <c:pt idx="483">
                  <c:v>1.953125E-3</c:v>
                </c:pt>
                <c:pt idx="484">
                  <c:v>1.953125E-3</c:v>
                </c:pt>
                <c:pt idx="485">
                  <c:v>1.953125E-3</c:v>
                </c:pt>
                <c:pt idx="486">
                  <c:v>1.953125E-3</c:v>
                </c:pt>
                <c:pt idx="487">
                  <c:v>1.953125E-3</c:v>
                </c:pt>
                <c:pt idx="488">
                  <c:v>1.953125E-3</c:v>
                </c:pt>
                <c:pt idx="489">
                  <c:v>1.953125E-3</c:v>
                </c:pt>
                <c:pt idx="490">
                  <c:v>1.953125E-3</c:v>
                </c:pt>
                <c:pt idx="491">
                  <c:v>1.953125E-3</c:v>
                </c:pt>
                <c:pt idx="492">
                  <c:v>1.953125E-3</c:v>
                </c:pt>
                <c:pt idx="493">
                  <c:v>1.953125E-3</c:v>
                </c:pt>
                <c:pt idx="494">
                  <c:v>1.953125E-3</c:v>
                </c:pt>
                <c:pt idx="495">
                  <c:v>1.953125E-3</c:v>
                </c:pt>
                <c:pt idx="496">
                  <c:v>1.953125E-3</c:v>
                </c:pt>
                <c:pt idx="497">
                  <c:v>1.953125E-3</c:v>
                </c:pt>
                <c:pt idx="498">
                  <c:v>1.953125E-3</c:v>
                </c:pt>
                <c:pt idx="499">
                  <c:v>1.953125E-3</c:v>
                </c:pt>
                <c:pt idx="500">
                  <c:v>1.953125E-3</c:v>
                </c:pt>
                <c:pt idx="501">
                  <c:v>1.953125E-3</c:v>
                </c:pt>
                <c:pt idx="502">
                  <c:v>1.953125E-3</c:v>
                </c:pt>
                <c:pt idx="503">
                  <c:v>1.953125E-3</c:v>
                </c:pt>
                <c:pt idx="504">
                  <c:v>1.953125E-3</c:v>
                </c:pt>
                <c:pt idx="505">
                  <c:v>1.953125E-3</c:v>
                </c:pt>
                <c:pt idx="506">
                  <c:v>1.953125E-3</c:v>
                </c:pt>
                <c:pt idx="507">
                  <c:v>1.953125E-3</c:v>
                </c:pt>
                <c:pt idx="508">
                  <c:v>1.953125E-3</c:v>
                </c:pt>
                <c:pt idx="509">
                  <c:v>1.953125E-3</c:v>
                </c:pt>
                <c:pt idx="510">
                  <c:v>1.953125E-3</c:v>
                </c:pt>
                <c:pt idx="511">
                  <c:v>1.953125E-3</c:v>
                </c:pt>
                <c:pt idx="512">
                  <c:v>1.953125E-3</c:v>
                </c:pt>
                <c:pt idx="513">
                  <c:v>1.953125E-3</c:v>
                </c:pt>
                <c:pt idx="514">
                  <c:v>1.953125E-3</c:v>
                </c:pt>
                <c:pt idx="515">
                  <c:v>1.953125E-3</c:v>
                </c:pt>
                <c:pt idx="516">
                  <c:v>1.953125E-3</c:v>
                </c:pt>
                <c:pt idx="517">
                  <c:v>1.953125E-3</c:v>
                </c:pt>
                <c:pt idx="518">
                  <c:v>1.953125E-3</c:v>
                </c:pt>
                <c:pt idx="519">
                  <c:v>1.953125E-3</c:v>
                </c:pt>
                <c:pt idx="520">
                  <c:v>1.953125E-3</c:v>
                </c:pt>
                <c:pt idx="521">
                  <c:v>1.953125E-3</c:v>
                </c:pt>
                <c:pt idx="522">
                  <c:v>1.953125E-3</c:v>
                </c:pt>
                <c:pt idx="523">
                  <c:v>1.953125E-3</c:v>
                </c:pt>
                <c:pt idx="524">
                  <c:v>1.953125E-3</c:v>
                </c:pt>
                <c:pt idx="525">
                  <c:v>1.953125E-3</c:v>
                </c:pt>
                <c:pt idx="526">
                  <c:v>1.953125E-3</c:v>
                </c:pt>
                <c:pt idx="527">
                  <c:v>1.953125E-3</c:v>
                </c:pt>
                <c:pt idx="528">
                  <c:v>1.953125E-3</c:v>
                </c:pt>
                <c:pt idx="529">
                  <c:v>1.953125E-3</c:v>
                </c:pt>
                <c:pt idx="530">
                  <c:v>1.953125E-3</c:v>
                </c:pt>
                <c:pt idx="531">
                  <c:v>1.953125E-3</c:v>
                </c:pt>
                <c:pt idx="532">
                  <c:v>1.953125E-3</c:v>
                </c:pt>
                <c:pt idx="533">
                  <c:v>1.953125E-3</c:v>
                </c:pt>
                <c:pt idx="534">
                  <c:v>1.953125E-3</c:v>
                </c:pt>
                <c:pt idx="535">
                  <c:v>1.953125E-3</c:v>
                </c:pt>
                <c:pt idx="536">
                  <c:v>1.953125E-3</c:v>
                </c:pt>
                <c:pt idx="537">
                  <c:v>1.953125E-3</c:v>
                </c:pt>
                <c:pt idx="538">
                  <c:v>1.953125E-3</c:v>
                </c:pt>
                <c:pt idx="539">
                  <c:v>1.953125E-3</c:v>
                </c:pt>
                <c:pt idx="540">
                  <c:v>1.953125E-3</c:v>
                </c:pt>
                <c:pt idx="541">
                  <c:v>1.953125E-3</c:v>
                </c:pt>
                <c:pt idx="542">
                  <c:v>1.953125E-3</c:v>
                </c:pt>
                <c:pt idx="543">
                  <c:v>1.953125E-3</c:v>
                </c:pt>
                <c:pt idx="544">
                  <c:v>1.953125E-3</c:v>
                </c:pt>
                <c:pt idx="545">
                  <c:v>1.953125E-3</c:v>
                </c:pt>
                <c:pt idx="546">
                  <c:v>1.953125E-3</c:v>
                </c:pt>
                <c:pt idx="547">
                  <c:v>1.953125E-3</c:v>
                </c:pt>
                <c:pt idx="548">
                  <c:v>1.953125E-3</c:v>
                </c:pt>
                <c:pt idx="549">
                  <c:v>1.953125E-3</c:v>
                </c:pt>
                <c:pt idx="550">
                  <c:v>1.953125E-3</c:v>
                </c:pt>
                <c:pt idx="551">
                  <c:v>1.953125E-3</c:v>
                </c:pt>
                <c:pt idx="552">
                  <c:v>1.953125E-3</c:v>
                </c:pt>
                <c:pt idx="553">
                  <c:v>1.953125E-3</c:v>
                </c:pt>
                <c:pt idx="554">
                  <c:v>1.953125E-3</c:v>
                </c:pt>
                <c:pt idx="555">
                  <c:v>1.953125E-3</c:v>
                </c:pt>
                <c:pt idx="556">
                  <c:v>1.953125E-3</c:v>
                </c:pt>
                <c:pt idx="557">
                  <c:v>1.953125E-3</c:v>
                </c:pt>
                <c:pt idx="558">
                  <c:v>1.953125E-3</c:v>
                </c:pt>
                <c:pt idx="559">
                  <c:v>1.953125E-3</c:v>
                </c:pt>
                <c:pt idx="560">
                  <c:v>1.953125E-3</c:v>
                </c:pt>
                <c:pt idx="561">
                  <c:v>1.953125E-3</c:v>
                </c:pt>
                <c:pt idx="562">
                  <c:v>1.953125E-3</c:v>
                </c:pt>
                <c:pt idx="563">
                  <c:v>1.953125E-3</c:v>
                </c:pt>
                <c:pt idx="564">
                  <c:v>1.953125E-3</c:v>
                </c:pt>
                <c:pt idx="565">
                  <c:v>1.953125E-3</c:v>
                </c:pt>
                <c:pt idx="566">
                  <c:v>1.953125E-3</c:v>
                </c:pt>
                <c:pt idx="567">
                  <c:v>1.953125E-3</c:v>
                </c:pt>
                <c:pt idx="568">
                  <c:v>1.953125E-3</c:v>
                </c:pt>
                <c:pt idx="569">
                  <c:v>1.953125E-3</c:v>
                </c:pt>
                <c:pt idx="570">
                  <c:v>1.953125E-3</c:v>
                </c:pt>
                <c:pt idx="571">
                  <c:v>1.953125E-3</c:v>
                </c:pt>
                <c:pt idx="572">
                  <c:v>1.953125E-3</c:v>
                </c:pt>
                <c:pt idx="573">
                  <c:v>1.953125E-3</c:v>
                </c:pt>
                <c:pt idx="574">
                  <c:v>1.953125E-3</c:v>
                </c:pt>
                <c:pt idx="575">
                  <c:v>1.953125E-3</c:v>
                </c:pt>
                <c:pt idx="576">
                  <c:v>1.953125E-3</c:v>
                </c:pt>
                <c:pt idx="577">
                  <c:v>1.953125E-3</c:v>
                </c:pt>
                <c:pt idx="578">
                  <c:v>1.953125E-3</c:v>
                </c:pt>
                <c:pt idx="579">
                  <c:v>1.953125E-3</c:v>
                </c:pt>
                <c:pt idx="580">
                  <c:v>1.953125E-3</c:v>
                </c:pt>
                <c:pt idx="581">
                  <c:v>1.953125E-3</c:v>
                </c:pt>
                <c:pt idx="582">
                  <c:v>1.953125E-3</c:v>
                </c:pt>
                <c:pt idx="583">
                  <c:v>1.953125E-3</c:v>
                </c:pt>
                <c:pt idx="584">
                  <c:v>1.953125E-3</c:v>
                </c:pt>
                <c:pt idx="585">
                  <c:v>1.953125E-3</c:v>
                </c:pt>
                <c:pt idx="586">
                  <c:v>1.953125E-3</c:v>
                </c:pt>
                <c:pt idx="587">
                  <c:v>1.953125E-3</c:v>
                </c:pt>
                <c:pt idx="588">
                  <c:v>1.953125E-3</c:v>
                </c:pt>
                <c:pt idx="589">
                  <c:v>1.953125E-3</c:v>
                </c:pt>
                <c:pt idx="590">
                  <c:v>1.953125E-3</c:v>
                </c:pt>
                <c:pt idx="591">
                  <c:v>1.953125E-3</c:v>
                </c:pt>
                <c:pt idx="592">
                  <c:v>1.953125E-3</c:v>
                </c:pt>
                <c:pt idx="593">
                  <c:v>1.953125E-3</c:v>
                </c:pt>
                <c:pt idx="594">
                  <c:v>1.953125E-3</c:v>
                </c:pt>
                <c:pt idx="595">
                  <c:v>1.953125E-3</c:v>
                </c:pt>
                <c:pt idx="596">
                  <c:v>1.953125E-3</c:v>
                </c:pt>
                <c:pt idx="597">
                  <c:v>1.953125E-3</c:v>
                </c:pt>
                <c:pt idx="598">
                  <c:v>1.953125E-3</c:v>
                </c:pt>
                <c:pt idx="599">
                  <c:v>1.953125E-3</c:v>
                </c:pt>
                <c:pt idx="600">
                  <c:v>1.953125E-3</c:v>
                </c:pt>
                <c:pt idx="601">
                  <c:v>1.953125E-3</c:v>
                </c:pt>
                <c:pt idx="602">
                  <c:v>1.953125E-3</c:v>
                </c:pt>
                <c:pt idx="603">
                  <c:v>1.953125E-3</c:v>
                </c:pt>
                <c:pt idx="604">
                  <c:v>1.953125E-3</c:v>
                </c:pt>
                <c:pt idx="605">
                  <c:v>1.953125E-3</c:v>
                </c:pt>
                <c:pt idx="606">
                  <c:v>1.953125E-3</c:v>
                </c:pt>
                <c:pt idx="607">
                  <c:v>1.953125E-3</c:v>
                </c:pt>
                <c:pt idx="608">
                  <c:v>1.953125E-3</c:v>
                </c:pt>
                <c:pt idx="609">
                  <c:v>1.953125E-3</c:v>
                </c:pt>
                <c:pt idx="610">
                  <c:v>1.953125E-3</c:v>
                </c:pt>
                <c:pt idx="611">
                  <c:v>1.953125E-3</c:v>
                </c:pt>
                <c:pt idx="612">
                  <c:v>1.953125E-3</c:v>
                </c:pt>
                <c:pt idx="613">
                  <c:v>1.953125E-3</c:v>
                </c:pt>
                <c:pt idx="614">
                  <c:v>1.953125E-3</c:v>
                </c:pt>
                <c:pt idx="615">
                  <c:v>1.953125E-3</c:v>
                </c:pt>
                <c:pt idx="616">
                  <c:v>1.953125E-3</c:v>
                </c:pt>
                <c:pt idx="617">
                  <c:v>1.953125E-3</c:v>
                </c:pt>
                <c:pt idx="618">
                  <c:v>1.953125E-3</c:v>
                </c:pt>
                <c:pt idx="619">
                  <c:v>1.953125E-3</c:v>
                </c:pt>
                <c:pt idx="620">
                  <c:v>1.953125E-3</c:v>
                </c:pt>
                <c:pt idx="621">
                  <c:v>1.953125E-3</c:v>
                </c:pt>
                <c:pt idx="622">
                  <c:v>1.953125E-3</c:v>
                </c:pt>
                <c:pt idx="623">
                  <c:v>1.953125E-3</c:v>
                </c:pt>
                <c:pt idx="624">
                  <c:v>1.953125E-3</c:v>
                </c:pt>
                <c:pt idx="625">
                  <c:v>1.953125E-3</c:v>
                </c:pt>
                <c:pt idx="626">
                  <c:v>1.953125E-3</c:v>
                </c:pt>
                <c:pt idx="627">
                  <c:v>1.953125E-3</c:v>
                </c:pt>
                <c:pt idx="628">
                  <c:v>1.953125E-3</c:v>
                </c:pt>
                <c:pt idx="629">
                  <c:v>1.953125E-3</c:v>
                </c:pt>
                <c:pt idx="630">
                  <c:v>1.953125E-3</c:v>
                </c:pt>
                <c:pt idx="631">
                  <c:v>1.953125E-3</c:v>
                </c:pt>
                <c:pt idx="632">
                  <c:v>1.953125E-3</c:v>
                </c:pt>
                <c:pt idx="633">
                  <c:v>1.953125E-3</c:v>
                </c:pt>
                <c:pt idx="634">
                  <c:v>1.953125E-3</c:v>
                </c:pt>
                <c:pt idx="635">
                  <c:v>1.9531258104912527E-3</c:v>
                </c:pt>
                <c:pt idx="636">
                  <c:v>1.9532583128279743E-3</c:v>
                </c:pt>
                <c:pt idx="637">
                  <c:v>1.9539082526186715E-3</c:v>
                </c:pt>
                <c:pt idx="638">
                  <c:v>1.9554567180700192E-3</c:v>
                </c:pt>
                <c:pt idx="639">
                  <c:v>1.958245207821693E-3</c:v>
                </c:pt>
                <c:pt idx="640">
                  <c:v>1.9625769658645231E-3</c:v>
                </c:pt>
                <c:pt idx="641">
                  <c:v>1.9687183164586466E-3</c:v>
                </c:pt>
                <c:pt idx="642">
                  <c:v>1.9768999990516607E-3</c:v>
                </c:pt>
                <c:pt idx="643">
                  <c:v>1.9873185031967742E-3</c:v>
                </c:pt>
                <c:pt idx="644">
                  <c:v>2.000137403470961E-3</c:v>
                </c:pt>
                <c:pt idx="645">
                  <c:v>2.0154886943931118E-3</c:v>
                </c:pt>
                <c:pt idx="646">
                  <c:v>2.033474125342188E-3</c:v>
                </c:pt>
                <c:pt idx="647">
                  <c:v>2.0541665354753729E-3</c:v>
                </c:pt>
                <c:pt idx="648">
                  <c:v>2.0776111886462241E-3</c:v>
                </c:pt>
                <c:pt idx="649">
                  <c:v>2.103827108322829E-3</c:v>
                </c:pt>
                <c:pt idx="650">
                  <c:v>2.1328084125059525E-3</c:v>
                </c:pt>
                <c:pt idx="651">
                  <c:v>2.164525648647195E-3</c:v>
                </c:pt>
                <c:pt idx="652">
                  <c:v>2.1989271285671398E-3</c:v>
                </c:pt>
                <c:pt idx="653">
                  <c:v>2.2359402633735101E-3</c:v>
                </c:pt>
                <c:pt idx="654">
                  <c:v>2.2754728983793182E-3</c:v>
                </c:pt>
                <c:pt idx="655">
                  <c:v>2.3174146480210204E-3</c:v>
                </c:pt>
                <c:pt idx="656">
                  <c:v>2.3616382307766687E-3</c:v>
                </c:pt>
                <c:pt idx="657">
                  <c:v>2.4080008040840628E-3</c:v>
                </c:pt>
                <c:pt idx="658">
                  <c:v>2.4563452992589041E-3</c:v>
                </c:pt>
                <c:pt idx="659">
                  <c:v>2.5065017564129466E-3</c:v>
                </c:pt>
                <c:pt idx="660">
                  <c:v>2.5582886593721508E-3</c:v>
                </c:pt>
                <c:pt idx="661">
                  <c:v>2.6115142705948353E-3</c:v>
                </c:pt>
                <c:pt idx="662">
                  <c:v>2.6659779660898313E-3</c:v>
                </c:pt>
                <c:pt idx="663">
                  <c:v>2.721471570334632E-3</c:v>
                </c:pt>
                <c:pt idx="664">
                  <c:v>2.7777806911935478E-3</c:v>
                </c:pt>
                <c:pt idx="665">
                  <c:v>2.8346860548358584E-3</c:v>
                </c:pt>
                <c:pt idx="666">
                  <c:v>2.8919648406539626E-3</c:v>
                </c:pt>
                <c:pt idx="667">
                  <c:v>2.9493920161815373E-3</c:v>
                </c:pt>
                <c:pt idx="668">
                  <c:v>3.0067416720116836E-3</c:v>
                </c:pt>
                <c:pt idx="669">
                  <c:v>3.0637883567150828E-3</c:v>
                </c:pt>
                <c:pt idx="670">
                  <c:v>3.120308411758148E-3</c:v>
                </c:pt>
                <c:pt idx="671">
                  <c:v>3.1761118484597188E-3</c:v>
                </c:pt>
                <c:pt idx="672">
                  <c:v>3.231274756189062E-3</c:v>
                </c:pt>
                <c:pt idx="673">
                  <c:v>3.2859860302307505E-3</c:v>
                </c:pt>
                <c:pt idx="674">
                  <c:v>3.3404028697801985E-3</c:v>
                </c:pt>
                <c:pt idx="675">
                  <c:v>3.3947547200484157E-3</c:v>
                </c:pt>
                <c:pt idx="676">
                  <c:v>3.4495143106792166E-3</c:v>
                </c:pt>
                <c:pt idx="677">
                  <c:v>3.5051406022756763E-3</c:v>
                </c:pt>
                <c:pt idx="678">
                  <c:v>3.562030417231259E-3</c:v>
                </c:pt>
                <c:pt idx="679">
                  <c:v>3.6205224444842768E-3</c:v>
                </c:pt>
                <c:pt idx="680">
                  <c:v>3.6809012442723479E-3</c:v>
                </c:pt>
                <c:pt idx="681">
                  <c:v>3.7434012528868512E-3</c:v>
                </c:pt>
                <c:pt idx="682">
                  <c:v>3.8082107874273896E-3</c:v>
                </c:pt>
                <c:pt idx="683">
                  <c:v>3.8754760505562411E-3</c:v>
                </c:pt>
                <c:pt idx="684">
                  <c:v>3.9453251965949543E-3</c:v>
                </c:pt>
                <c:pt idx="685">
                  <c:v>4.0180955631607734E-3</c:v>
                </c:pt>
                <c:pt idx="686">
                  <c:v>4.0942321213082635E-3</c:v>
                </c:pt>
                <c:pt idx="687">
                  <c:v>4.1741167453367197E-3</c:v>
                </c:pt>
                <c:pt idx="688">
                  <c:v>4.2580701972485596E-3</c:v>
                </c:pt>
                <c:pt idx="689">
                  <c:v>4.3463574664219431E-3</c:v>
                </c:pt>
                <c:pt idx="690">
                  <c:v>4.4391931092833707E-3</c:v>
                </c:pt>
                <c:pt idx="691">
                  <c:v>4.5367515960802983E-3</c:v>
                </c:pt>
                <c:pt idx="692">
                  <c:v>4.6393503505904208E-3</c:v>
                </c:pt>
                <c:pt idx="693">
                  <c:v>4.7474830098681109E-3</c:v>
                </c:pt>
                <c:pt idx="694">
                  <c:v>4.8615894507770029E-3</c:v>
                </c:pt>
                <c:pt idx="695">
                  <c:v>4.9820464732513456E-3</c:v>
                </c:pt>
                <c:pt idx="696">
                  <c:v>5.109174474886756E-3</c:v>
                </c:pt>
                <c:pt idx="697">
                  <c:v>5.2432441255309886E-3</c:v>
                </c:pt>
                <c:pt idx="698">
                  <c:v>5.3844830418746919E-3</c:v>
                </c:pt>
                <c:pt idx="699">
                  <c:v>5.5330747995765229E-3</c:v>
                </c:pt>
                <c:pt idx="700">
                  <c:v>5.6889586969679148E-3</c:v>
                </c:pt>
                <c:pt idx="701">
                  <c:v>5.8517905915738038E-3</c:v>
                </c:pt>
                <c:pt idx="702">
                  <c:v>6.0211552445927456E-3</c:v>
                </c:pt>
                <c:pt idx="703">
                  <c:v>6.1967199376499514E-3</c:v>
                </c:pt>
                <c:pt idx="704">
                  <c:v>6.3783509585461327E-3</c:v>
                </c:pt>
                <c:pt idx="705">
                  <c:v>6.5658612994994921E-3</c:v>
                </c:pt>
                <c:pt idx="706">
                  <c:v>6.758984894530258E-3</c:v>
                </c:pt>
                <c:pt idx="707">
                  <c:v>6.9573832940514561E-3</c:v>
                </c:pt>
                <c:pt idx="708">
                  <c:v>7.1606523394596678E-3</c:v>
                </c:pt>
                <c:pt idx="709">
                  <c:v>7.368328837725791E-3</c:v>
                </c:pt>
                <c:pt idx="710">
                  <c:v>7.5798975722958283E-3</c:v>
                </c:pt>
                <c:pt idx="711">
                  <c:v>7.7949689411740183E-3</c:v>
                </c:pt>
                <c:pt idx="712">
                  <c:v>8.0136588293074525E-3</c:v>
                </c:pt>
                <c:pt idx="713">
                  <c:v>8.2361113774306622E-3</c:v>
                </c:pt>
                <c:pt idx="714">
                  <c:v>8.4623654478998885E-3</c:v>
                </c:pt>
                <c:pt idx="715">
                  <c:v>8.6923639251094437E-3</c:v>
                </c:pt>
                <c:pt idx="716">
                  <c:v>8.925963059918789E-3</c:v>
                </c:pt>
                <c:pt idx="717">
                  <c:v>9.1629418140795945E-3</c:v>
                </c:pt>
                <c:pt idx="718">
                  <c:v>9.4030568723484122E-3</c:v>
                </c:pt>
                <c:pt idx="719">
                  <c:v>9.6462816970454661E-3</c:v>
                </c:pt>
                <c:pt idx="720">
                  <c:v>9.8926152455753747E-3</c:v>
                </c:pt>
                <c:pt idx="721">
                  <c:v>1.0141976727115301E-2</c:v>
                </c:pt>
                <c:pt idx="722">
                  <c:v>1.0394216036371915E-2</c:v>
                </c:pt>
                <c:pt idx="723">
                  <c:v>1.0649142964426064E-2</c:v>
                </c:pt>
                <c:pt idx="724">
                  <c:v>1.0906758989151472E-2</c:v>
                </c:pt>
                <c:pt idx="725">
                  <c:v>1.1167171408924955E-2</c:v>
                </c:pt>
                <c:pt idx="726">
                  <c:v>1.1430424409021081E-2</c:v>
                </c:pt>
                <c:pt idx="727">
                  <c:v>1.1696507600462806E-2</c:v>
                </c:pt>
                <c:pt idx="728">
                  <c:v>1.1965484359877447E-2</c:v>
                </c:pt>
                <c:pt idx="729">
                  <c:v>1.2237650569141022E-2</c:v>
                </c:pt>
                <c:pt idx="730">
                  <c:v>1.2513285682926912E-2</c:v>
                </c:pt>
                <c:pt idx="731">
                  <c:v>1.2792622761395936E-2</c:v>
                </c:pt>
                <c:pt idx="732">
                  <c:v>1.307596682146034E-2</c:v>
                </c:pt>
                <c:pt idx="733">
                  <c:v>1.3363872824244139E-2</c:v>
                </c:pt>
                <c:pt idx="734">
                  <c:v>1.3656898852498911E-2</c:v>
                </c:pt>
                <c:pt idx="735">
                  <c:v>1.3955495664456889E-2</c:v>
                </c:pt>
                <c:pt idx="736">
                  <c:v>1.4259773184467152E-2</c:v>
                </c:pt>
                <c:pt idx="737">
                  <c:v>1.4569717762314603E-2</c:v>
                </c:pt>
                <c:pt idx="738">
                  <c:v>1.4885278044868517E-2</c:v>
                </c:pt>
                <c:pt idx="739">
                  <c:v>1.520619914756245E-2</c:v>
                </c:pt>
                <c:pt idx="740">
                  <c:v>1.5531934828988741E-2</c:v>
                </c:pt>
                <c:pt idx="741">
                  <c:v>1.5861881410303307E-2</c:v>
                </c:pt>
                <c:pt idx="742">
                  <c:v>1.6195408868661769E-2</c:v>
                </c:pt>
                <c:pt idx="743">
                  <c:v>1.6531872851482846E-2</c:v>
                </c:pt>
                <c:pt idx="744">
                  <c:v>1.6870636085405934E-2</c:v>
                </c:pt>
                <c:pt idx="745">
                  <c:v>1.7211338413764345E-2</c:v>
                </c:pt>
                <c:pt idx="746">
                  <c:v>1.7554105470588784E-2</c:v>
                </c:pt>
                <c:pt idx="747">
                  <c:v>1.7899252541954121E-2</c:v>
                </c:pt>
                <c:pt idx="748">
                  <c:v>1.824729414048902E-2</c:v>
                </c:pt>
                <c:pt idx="749">
                  <c:v>1.8598822968262374E-2</c:v>
                </c:pt>
                <c:pt idx="750">
                  <c:v>1.8954584119834757E-2</c:v>
                </c:pt>
                <c:pt idx="751">
                  <c:v>1.9315195502601693E-2</c:v>
                </c:pt>
                <c:pt idx="752">
                  <c:v>1.9681138636032741E-2</c:v>
                </c:pt>
                <c:pt idx="753">
                  <c:v>2.0052781818479162E-2</c:v>
                </c:pt>
                <c:pt idx="754">
                  <c:v>2.0430580172264068E-2</c:v>
                </c:pt>
                <c:pt idx="755">
                  <c:v>2.0815088249899891E-2</c:v>
                </c:pt>
                <c:pt idx="756">
                  <c:v>2.1206499617170409E-2</c:v>
                </c:pt>
                <c:pt idx="757">
                  <c:v>2.1604808651946233E-2</c:v>
                </c:pt>
                <c:pt idx="758">
                  <c:v>2.2010163889452757E-2</c:v>
                </c:pt>
                <c:pt idx="759">
                  <c:v>2.242262948584775E-2</c:v>
                </c:pt>
                <c:pt idx="760">
                  <c:v>2.2842165963773454E-2</c:v>
                </c:pt>
                <c:pt idx="761">
                  <c:v>2.3268866488650713E-2</c:v>
                </c:pt>
                <c:pt idx="762">
                  <c:v>2.3702892646666494E-2</c:v>
                </c:pt>
                <c:pt idx="763">
                  <c:v>2.4144306357131828E-2</c:v>
                </c:pt>
                <c:pt idx="764">
                  <c:v>2.4593085184596457E-2</c:v>
                </c:pt>
                <c:pt idx="765">
                  <c:v>2.5049142371004005E-2</c:v>
                </c:pt>
                <c:pt idx="766">
                  <c:v>2.5512422312168614E-2</c:v>
                </c:pt>
                <c:pt idx="767">
                  <c:v>2.5982900003143988E-2</c:v>
                </c:pt>
                <c:pt idx="768">
                  <c:v>2.646031830587425E-2</c:v>
                </c:pt>
                <c:pt idx="769">
                  <c:v>2.6944341790941809E-2</c:v>
                </c:pt>
                <c:pt idx="770">
                  <c:v>2.7434586448263992E-2</c:v>
                </c:pt>
                <c:pt idx="771">
                  <c:v>2.7930639710865266E-2</c:v>
                </c:pt>
                <c:pt idx="772">
                  <c:v>2.8432080478649598E-2</c:v>
                </c:pt>
                <c:pt idx="773">
                  <c:v>2.8938527235378153E-2</c:v>
                </c:pt>
                <c:pt idx="774">
                  <c:v>2.9450196666168226E-2</c:v>
                </c:pt>
                <c:pt idx="775">
                  <c:v>2.9967923380028162E-2</c:v>
                </c:pt>
                <c:pt idx="776">
                  <c:v>3.049205811575853E-2</c:v>
                </c:pt>
                <c:pt idx="777">
                  <c:v>3.1022738035373858E-2</c:v>
                </c:pt>
                <c:pt idx="778">
                  <c:v>3.1559967849270391E-2</c:v>
                </c:pt>
                <c:pt idx="779">
                  <c:v>3.2103642509834752E-2</c:v>
                </c:pt>
                <c:pt idx="780">
                  <c:v>3.2653569905052485E-2</c:v>
                </c:pt>
                <c:pt idx="781">
                  <c:v>3.3209493485623687E-2</c:v>
                </c:pt>
                <c:pt idx="782">
                  <c:v>3.3771013540641985E-2</c:v>
                </c:pt>
                <c:pt idx="783">
                  <c:v>3.4337391958338952E-2</c:v>
                </c:pt>
                <c:pt idx="784">
                  <c:v>3.4908026816948615E-2</c:v>
                </c:pt>
                <c:pt idx="785">
                  <c:v>3.548281103236757E-2</c:v>
                </c:pt>
                <c:pt idx="786">
                  <c:v>3.6061659947948022E-2</c:v>
                </c:pt>
                <c:pt idx="787">
                  <c:v>3.6644382057077318E-2</c:v>
                </c:pt>
                <c:pt idx="788">
                  <c:v>3.723044979953323E-2</c:v>
                </c:pt>
                <c:pt idx="789">
                  <c:v>3.7819382423143304E-2</c:v>
                </c:pt>
                <c:pt idx="790">
                  <c:v>3.8410860528696571E-2</c:v>
                </c:pt>
                <c:pt idx="791">
                  <c:v>3.9004525070813145E-2</c:v>
                </c:pt>
                <c:pt idx="792">
                  <c:v>3.9599939115784431E-2</c:v>
                </c:pt>
                <c:pt idx="793">
                  <c:v>4.0196863601630085E-2</c:v>
                </c:pt>
                <c:pt idx="794">
                  <c:v>4.0795545983483783E-2</c:v>
                </c:pt>
                <c:pt idx="795">
                  <c:v>4.1396207110631598E-2</c:v>
                </c:pt>
                <c:pt idx="796">
                  <c:v>4.1998822387571584E-2</c:v>
                </c:pt>
                <c:pt idx="797">
                  <c:v>4.2603333649703687E-2</c:v>
                </c:pt>
                <c:pt idx="798">
                  <c:v>4.3209964932174112E-2</c:v>
                </c:pt>
                <c:pt idx="799">
                  <c:v>4.3818912245040094E-2</c:v>
                </c:pt>
                <c:pt idx="800">
                  <c:v>4.4430421819530677E-2</c:v>
                </c:pt>
                <c:pt idx="801">
                  <c:v>4.5045203103026302E-2</c:v>
                </c:pt>
                <c:pt idx="802">
                  <c:v>4.5663997890025364E-2</c:v>
                </c:pt>
                <c:pt idx="803">
                  <c:v>4.6287667623795582E-2</c:v>
                </c:pt>
                <c:pt idx="804">
                  <c:v>4.6917279410621723E-2</c:v>
                </c:pt>
                <c:pt idx="805">
                  <c:v>4.7554085568427724E-2</c:v>
                </c:pt>
                <c:pt idx="806">
                  <c:v>4.8199426701826663E-2</c:v>
                </c:pt>
                <c:pt idx="807">
                  <c:v>4.8855055260778602E-2</c:v>
                </c:pt>
                <c:pt idx="808">
                  <c:v>4.9523119529112376E-2</c:v>
                </c:pt>
                <c:pt idx="809">
                  <c:v>5.0205406680963363E-2</c:v>
                </c:pt>
                <c:pt idx="810">
                  <c:v>5.0903126612512957E-2</c:v>
                </c:pt>
                <c:pt idx="811">
                  <c:v>5.1617428563362211E-2</c:v>
                </c:pt>
                <c:pt idx="812">
                  <c:v>5.2349583191562438E-2</c:v>
                </c:pt>
                <c:pt idx="813">
                  <c:v>5.3100486441697931E-2</c:v>
                </c:pt>
                <c:pt idx="814">
                  <c:v>5.3870956928595705E-2</c:v>
                </c:pt>
                <c:pt idx="815">
                  <c:v>5.4661856131467096E-2</c:v>
                </c:pt>
                <c:pt idx="816">
                  <c:v>5.5474052235363946E-2</c:v>
                </c:pt>
                <c:pt idx="817">
                  <c:v>5.6308590504756451E-2</c:v>
                </c:pt>
                <c:pt idx="818">
                  <c:v>5.7166062225112654E-2</c:v>
                </c:pt>
                <c:pt idx="819">
                  <c:v>5.804659766365592E-2</c:v>
                </c:pt>
                <c:pt idx="820">
                  <c:v>5.8950059395159425E-2</c:v>
                </c:pt>
                <c:pt idx="821">
                  <c:v>5.9875931813936731E-2</c:v>
                </c:pt>
                <c:pt idx="822">
                  <c:v>6.0823582093468609E-2</c:v>
                </c:pt>
                <c:pt idx="823">
                  <c:v>6.1792772537150507E-2</c:v>
                </c:pt>
                <c:pt idx="824">
                  <c:v>6.278326979787556E-2</c:v>
                </c:pt>
                <c:pt idx="825">
                  <c:v>6.3794575672888473E-2</c:v>
                </c:pt>
                <c:pt idx="826">
                  <c:v>6.4825936998422359E-2</c:v>
                </c:pt>
                <c:pt idx="827">
                  <c:v>6.587636416881347E-2</c:v>
                </c:pt>
                <c:pt idx="828">
                  <c:v>6.6944673268399216E-2</c:v>
                </c:pt>
                <c:pt idx="829">
                  <c:v>6.8029663499454107E-2</c:v>
                </c:pt>
                <c:pt idx="830">
                  <c:v>6.9130238977803252E-2</c:v>
                </c:pt>
                <c:pt idx="831">
                  <c:v>7.0245470157138779E-2</c:v>
                </c:pt>
                <c:pt idx="832">
                  <c:v>7.1375089883769477E-2</c:v>
                </c:pt>
                <c:pt idx="833">
                  <c:v>7.2518783827330541E-2</c:v>
                </c:pt>
                <c:pt idx="834">
                  <c:v>7.3676049050870135E-2</c:v>
                </c:pt>
                <c:pt idx="835">
                  <c:v>7.4846291052301867E-2</c:v>
                </c:pt>
                <c:pt idx="836">
                  <c:v>7.6029097851312788E-2</c:v>
                </c:pt>
                <c:pt idx="837">
                  <c:v>7.7224160157643482E-2</c:v>
                </c:pt>
                <c:pt idx="838">
                  <c:v>7.8431233703452119E-2</c:v>
                </c:pt>
                <c:pt idx="839">
                  <c:v>7.9649648504176954E-2</c:v>
                </c:pt>
                <c:pt idx="840">
                  <c:v>8.0878907608583309E-2</c:v>
                </c:pt>
                <c:pt idx="841">
                  <c:v>8.2118599400285319E-2</c:v>
                </c:pt>
                <c:pt idx="842">
                  <c:v>8.3368307112596102E-2</c:v>
                </c:pt>
                <c:pt idx="843">
                  <c:v>8.4627394141776599E-2</c:v>
                </c:pt>
                <c:pt idx="844">
                  <c:v>8.5895150640170587E-2</c:v>
                </c:pt>
                <c:pt idx="845">
                  <c:v>8.7170963811367214E-2</c:v>
                </c:pt>
                <c:pt idx="846">
                  <c:v>8.845413054564509E-2</c:v>
                </c:pt>
                <c:pt idx="847">
                  <c:v>8.974423773472931E-2</c:v>
                </c:pt>
                <c:pt idx="848">
                  <c:v>9.1040901116962766E-2</c:v>
                </c:pt>
                <c:pt idx="849">
                  <c:v>9.234368125828317E-2</c:v>
                </c:pt>
                <c:pt idx="850">
                  <c:v>9.3652361993624658E-2</c:v>
                </c:pt>
                <c:pt idx="851">
                  <c:v>9.4966839421308735E-2</c:v>
                </c:pt>
                <c:pt idx="852">
                  <c:v>9.6287000533453307E-2</c:v>
                </c:pt>
                <c:pt idx="853">
                  <c:v>9.7612960901506729E-2</c:v>
                </c:pt>
                <c:pt idx="854">
                  <c:v>9.8945216129945696E-2</c:v>
                </c:pt>
                <c:pt idx="855">
                  <c:v>0.10028517853158664</c:v>
                </c:pt>
                <c:pt idx="856">
                  <c:v>0.10163434799033461</c:v>
                </c:pt>
                <c:pt idx="857">
                  <c:v>0.10299424164210386</c:v>
                </c:pt>
                <c:pt idx="858">
                  <c:v>0.10436662204936456</c:v>
                </c:pt>
                <c:pt idx="859">
                  <c:v>0.10575348744686969</c:v>
                </c:pt>
                <c:pt idx="860">
                  <c:v>0.10715685090722006</c:v>
                </c:pt>
                <c:pt idx="861">
                  <c:v>0.10857884483263312</c:v>
                </c:pt>
                <c:pt idx="862">
                  <c:v>0.11002147549417139</c:v>
                </c:pt>
                <c:pt idx="863">
                  <c:v>0.11148710473527552</c:v>
                </c:pt>
                <c:pt idx="864">
                  <c:v>0.11297810967279455</c:v>
                </c:pt>
                <c:pt idx="865">
                  <c:v>0.11449670604176176</c:v>
                </c:pt>
                <c:pt idx="866">
                  <c:v>0.11604529473325587</c:v>
                </c:pt>
                <c:pt idx="867">
                  <c:v>0.11762612907559788</c:v>
                </c:pt>
                <c:pt idx="868">
                  <c:v>0.11924111478766342</c:v>
                </c:pt>
                <c:pt idx="869">
                  <c:v>0.12089158525677737</c:v>
                </c:pt>
                <c:pt idx="870">
                  <c:v>0.12257835255526256</c:v>
                </c:pt>
                <c:pt idx="871">
                  <c:v>0.12430162499286887</c:v>
                </c:pt>
                <c:pt idx="872">
                  <c:v>0.12606107429191651</c:v>
                </c:pt>
                <c:pt idx="873">
                  <c:v>0.12785692536629475</c:v>
                </c:pt>
                <c:pt idx="874">
                  <c:v>0.12968986586506989</c:v>
                </c:pt>
                <c:pt idx="875">
                  <c:v>0.13156090726929626</c:v>
                </c:pt>
                <c:pt idx="876">
                  <c:v>0.13347081279277631</c:v>
                </c:pt>
                <c:pt idx="877">
                  <c:v>0.13542000352273564</c:v>
                </c:pt>
                <c:pt idx="878">
                  <c:v>0.13740892249707251</c:v>
                </c:pt>
                <c:pt idx="879">
                  <c:v>0.13943778974488943</c:v>
                </c:pt>
                <c:pt idx="880">
                  <c:v>0.14150668915389289</c:v>
                </c:pt>
                <c:pt idx="881">
                  <c:v>0.14361538105079813</c:v>
                </c:pt>
                <c:pt idx="882">
                  <c:v>0.14576377158890205</c:v>
                </c:pt>
                <c:pt idx="883">
                  <c:v>0.14795251534266463</c:v>
                </c:pt>
                <c:pt idx="884">
                  <c:v>0.15018189639801857</c:v>
                </c:pt>
                <c:pt idx="885">
                  <c:v>0.15245203006809671</c:v>
                </c:pt>
                <c:pt idx="886">
                  <c:v>0.15476343055126437</c:v>
                </c:pt>
                <c:pt idx="887">
                  <c:v>0.15711661239229524</c:v>
                </c:pt>
                <c:pt idx="888">
                  <c:v>0.15951224973109501</c:v>
                </c:pt>
                <c:pt idx="889">
                  <c:v>0.16195093482099385</c:v>
                </c:pt>
                <c:pt idx="890">
                  <c:v>0.164432847485322</c:v>
                </c:pt>
                <c:pt idx="891">
                  <c:v>0.16695778995146446</c:v>
                </c:pt>
                <c:pt idx="892">
                  <c:v>0.16952532006473434</c:v>
                </c:pt>
                <c:pt idx="893">
                  <c:v>0.17213488019464709</c:v>
                </c:pt>
                <c:pt idx="894">
                  <c:v>0.17478549170215832</c:v>
                </c:pt>
                <c:pt idx="895">
                  <c:v>0.17747551580838117</c:v>
                </c:pt>
                <c:pt idx="896">
                  <c:v>0.18020256913246169</c:v>
                </c:pt>
                <c:pt idx="897">
                  <c:v>0.18296448838726739</c:v>
                </c:pt>
                <c:pt idx="898">
                  <c:v>0.18575942929087272</c:v>
                </c:pt>
                <c:pt idx="899">
                  <c:v>0.18858583028174228</c:v>
                </c:pt>
                <c:pt idx="900">
                  <c:v>0.19144227669411765</c:v>
                </c:pt>
                <c:pt idx="901">
                  <c:v>0.19432739039867578</c:v>
                </c:pt>
                <c:pt idx="902">
                  <c:v>0.19723931826184793</c:v>
                </c:pt>
                <c:pt idx="903">
                  <c:v>0.20017639557495329</c:v>
                </c:pt>
                <c:pt idx="904">
                  <c:v>0.20313690603258072</c:v>
                </c:pt>
                <c:pt idx="905">
                  <c:v>0.20611928227389345</c:v>
                </c:pt>
                <c:pt idx="906">
                  <c:v>0.20912222982231451</c:v>
                </c:pt>
                <c:pt idx="907">
                  <c:v>0.21214504415721144</c:v>
                </c:pt>
                <c:pt idx="908">
                  <c:v>0.2151875532370934</c:v>
                </c:pt>
                <c:pt idx="909">
                  <c:v>0.21824971211481639</c:v>
                </c:pt>
                <c:pt idx="910">
                  <c:v>0.22133222307699246</c:v>
                </c:pt>
                <c:pt idx="911">
                  <c:v>0.22443674895613108</c:v>
                </c:pt>
                <c:pt idx="912">
                  <c:v>0.22756608877304346</c:v>
                </c:pt>
                <c:pt idx="913">
                  <c:v>0.23072279770100895</c:v>
                </c:pt>
                <c:pt idx="914">
                  <c:v>0.23390927765261812</c:v>
                </c:pt>
                <c:pt idx="915">
                  <c:v>0.23712766358815471</c:v>
                </c:pt>
                <c:pt idx="916">
                  <c:v>0.24038018957288998</c:v>
                </c:pt>
                <c:pt idx="917">
                  <c:v>0.24366979041529405</c:v>
                </c:pt>
                <c:pt idx="918">
                  <c:v>0.24699917825074752</c:v>
                </c:pt>
                <c:pt idx="919">
                  <c:v>0.2503698652803637</c:v>
                </c:pt>
                <c:pt idx="920">
                  <c:v>0.25378285779689874</c:v>
                </c:pt>
                <c:pt idx="921">
                  <c:v>0.25723899766506142</c:v>
                </c:pt>
                <c:pt idx="922">
                  <c:v>0.2607387949639054</c:v>
                </c:pt>
                <c:pt idx="923">
                  <c:v>0.26428296574822746</c:v>
                </c:pt>
                <c:pt idx="924">
                  <c:v>0.26787206018877502</c:v>
                </c:pt>
                <c:pt idx="925">
                  <c:v>0.27150631865491026</c:v>
                </c:pt>
                <c:pt idx="926">
                  <c:v>0.27518587646648907</c:v>
                </c:pt>
                <c:pt idx="927">
                  <c:v>0.27891010504856761</c:v>
                </c:pt>
                <c:pt idx="928">
                  <c:v>0.28267790029682965</c:v>
                </c:pt>
                <c:pt idx="929">
                  <c:v>0.28648753462190862</c:v>
                </c:pt>
                <c:pt idx="930">
                  <c:v>0.29033728005313053</c:v>
                </c:pt>
                <c:pt idx="931">
                  <c:v>0.29422556343271367</c:v>
                </c:pt>
                <c:pt idx="932">
                  <c:v>0.29815071100575485</c:v>
                </c:pt>
                <c:pt idx="933">
                  <c:v>0.30211147912687381</c:v>
                </c:pt>
                <c:pt idx="934">
                  <c:v>0.30610723595637318</c:v>
                </c:pt>
                <c:pt idx="935">
                  <c:v>0.31013768513127976</c:v>
                </c:pt>
                <c:pt idx="936">
                  <c:v>0.31420275479901738</c:v>
                </c:pt>
                <c:pt idx="937">
                  <c:v>0.31830240146980365</c:v>
                </c:pt>
                <c:pt idx="938">
                  <c:v>0.32243718359661316</c:v>
                </c:pt>
                <c:pt idx="939">
                  <c:v>0.32660769797992711</c:v>
                </c:pt>
                <c:pt idx="940">
                  <c:v>0.33081494986924459</c:v>
                </c:pt>
                <c:pt idx="941">
                  <c:v>0.33505956023816574</c:v>
                </c:pt>
                <c:pt idx="942">
                  <c:v>0.33934067394215783</c:v>
                </c:pt>
                <c:pt idx="943">
                  <c:v>0.3436566814324496</c:v>
                </c:pt>
                <c:pt idx="944">
                  <c:v>0.34800542623416453</c:v>
                </c:pt>
                <c:pt idx="945">
                  <c:v>0.35238440368625612</c:v>
                </c:pt>
                <c:pt idx="946">
                  <c:v>0.35679045951401689</c:v>
                </c:pt>
                <c:pt idx="947">
                  <c:v>0.36122041202867439</c:v>
                </c:pt>
                <c:pt idx="948">
                  <c:v>0.36567186125344214</c:v>
                </c:pt>
                <c:pt idx="949">
                  <c:v>0.37014217039337571</c:v>
                </c:pt>
                <c:pt idx="950">
                  <c:v>0.37462780039746585</c:v>
                </c:pt>
                <c:pt idx="951">
                  <c:v>0.37912480296566065</c:v>
                </c:pt>
                <c:pt idx="952">
                  <c:v>0.38362911669324123</c:v>
                </c:pt>
                <c:pt idx="953">
                  <c:v>0.38813798712480851</c:v>
                </c:pt>
                <c:pt idx="954">
                  <c:v>0.39264928183105635</c:v>
                </c:pt>
                <c:pt idx="955">
                  <c:v>0.39716125164477434</c:v>
                </c:pt>
                <c:pt idx="956">
                  <c:v>0.40167224270271978</c:v>
                </c:pt>
                <c:pt idx="957">
                  <c:v>0.40618058841284083</c:v>
                </c:pt>
                <c:pt idx="958">
                  <c:v>0.41068493215522789</c:v>
                </c:pt>
                <c:pt idx="959">
                  <c:v>0.41518436779057671</c:v>
                </c:pt>
                <c:pt idx="960">
                  <c:v>0.41967892738795659</c:v>
                </c:pt>
                <c:pt idx="961">
                  <c:v>0.42416900149156667</c:v>
                </c:pt>
                <c:pt idx="962">
                  <c:v>0.42865597357070417</c:v>
                </c:pt>
                <c:pt idx="963">
                  <c:v>0.43314170493497695</c:v>
                </c:pt>
                <c:pt idx="964">
                  <c:v>0.43762789664725649</c:v>
                </c:pt>
                <c:pt idx="965">
                  <c:v>0.4421167077772955</c:v>
                </c:pt>
                <c:pt idx="966">
                  <c:v>0.44661004838595841</c:v>
                </c:pt>
                <c:pt idx="967">
                  <c:v>0.45110927221246766</c:v>
                </c:pt>
                <c:pt idx="968">
                  <c:v>0.45561572564196634</c:v>
                </c:pt>
                <c:pt idx="969">
                  <c:v>0.46013126367652618</c:v>
                </c:pt>
                <c:pt idx="970">
                  <c:v>0.46465750620104657</c:v>
                </c:pt>
                <c:pt idx="971">
                  <c:v>0.46919536160963776</c:v>
                </c:pt>
                <c:pt idx="972">
                  <c:v>0.47374632432256547</c:v>
                </c:pt>
                <c:pt idx="973">
                  <c:v>0.47831245502714681</c:v>
                </c:pt>
                <c:pt idx="974">
                  <c:v>0.48289603976086493</c:v>
                </c:pt>
                <c:pt idx="975">
                  <c:v>0.4874988566620419</c:v>
                </c:pt>
                <c:pt idx="976">
                  <c:v>0.49212155655704587</c:v>
                </c:pt>
                <c:pt idx="977">
                  <c:v>0.49676407383399102</c:v>
                </c:pt>
                <c:pt idx="978">
                  <c:v>0.50142597932790256</c:v>
                </c:pt>
                <c:pt idx="979">
                  <c:v>0.50610680449061252</c:v>
                </c:pt>
                <c:pt idx="980">
                  <c:v>0.51080505765932738</c:v>
                </c:pt>
                <c:pt idx="981">
                  <c:v>0.51551785486385526</c:v>
                </c:pt>
                <c:pt idx="982">
                  <c:v>0.52024215236339499</c:v>
                </c:pt>
                <c:pt idx="983">
                  <c:v>0.52497508526601677</c:v>
                </c:pt>
                <c:pt idx="984">
                  <c:v>0.5297136415336603</c:v>
                </c:pt>
                <c:pt idx="985">
                  <c:v>0.53445488936758567</c:v>
                </c:pt>
                <c:pt idx="986">
                  <c:v>0.53919592531364491</c:v>
                </c:pt>
                <c:pt idx="987">
                  <c:v>0.54393332403962125</c:v>
                </c:pt>
                <c:pt idx="988">
                  <c:v>0.54866332902899806</c:v>
                </c:pt>
                <c:pt idx="989">
                  <c:v>0.55338208996134519</c:v>
                </c:pt>
                <c:pt idx="990">
                  <c:v>0.55808547703602962</c:v>
                </c:pt>
                <c:pt idx="991">
                  <c:v>0.5627698107632858</c:v>
                </c:pt>
                <c:pt idx="992">
                  <c:v>0.5674317394641416</c:v>
                </c:pt>
                <c:pt idx="993">
                  <c:v>0.57206805447086373</c:v>
                </c:pt>
                <c:pt idx="994">
                  <c:v>0.57667518645912852</c:v>
                </c:pt>
                <c:pt idx="995">
                  <c:v>0.58124935024009061</c:v>
                </c:pt>
                <c:pt idx="996">
                  <c:v>0.58578760937802288</c:v>
                </c:pt>
                <c:pt idx="997">
                  <c:v>0.59028773067946128</c:v>
                </c:pt>
                <c:pt idx="998">
                  <c:v>0.59474792854262748</c:v>
                </c:pt>
                <c:pt idx="999">
                  <c:v>0.59916688250089123</c:v>
                </c:pt>
                <c:pt idx="1000">
                  <c:v>0.60354370170077121</c:v>
                </c:pt>
                <c:pt idx="1001">
                  <c:v>0.6078771057654756</c:v>
                </c:pt>
                <c:pt idx="1002">
                  <c:v>0.61216500945484809</c:v>
                </c:pt>
                <c:pt idx="1003">
                  <c:v>0.6164045780109374</c:v>
                </c:pt>
                <c:pt idx="1004">
                  <c:v>0.62059248989231908</c:v>
                </c:pt>
                <c:pt idx="1005">
                  <c:v>0.62472610255276018</c:v>
                </c:pt>
                <c:pt idx="1006">
                  <c:v>0.62880387535743032</c:v>
                </c:pt>
                <c:pt idx="1007">
                  <c:v>0.63282561478801325</c:v>
                </c:pt>
                <c:pt idx="1008">
                  <c:v>0.63679161245710159</c:v>
                </c:pt>
                <c:pt idx="1009">
                  <c:v>0.64070256423229799</c:v>
                </c:pt>
                <c:pt idx="1010">
                  <c:v>0.64455995697167934</c:v>
                </c:pt>
                <c:pt idx="1011">
                  <c:v>0.64836554984726591</c:v>
                </c:pt>
                <c:pt idx="1012">
                  <c:v>0.65212150953098313</c:v>
                </c:pt>
                <c:pt idx="1013">
                  <c:v>0.65583043230082805</c:v>
                </c:pt>
                <c:pt idx="1014">
                  <c:v>0.65949530995634631</c:v>
                </c:pt>
                <c:pt idx="1015">
                  <c:v>0.66311966035687442</c:v>
                </c:pt>
                <c:pt idx="1016">
                  <c:v>0.66670695555751947</c:v>
                </c:pt>
                <c:pt idx="1017">
                  <c:v>0.67025940859036026</c:v>
                </c:pt>
                <c:pt idx="1018">
                  <c:v>0.67377887377019086</c:v>
                </c:pt>
                <c:pt idx="1019">
                  <c:v>0.67726765887670715</c:v>
                </c:pt>
                <c:pt idx="1020">
                  <c:v>0.68072897296600521</c:v>
                </c:pt>
                <c:pt idx="1021">
                  <c:v>0.6841658763262447</c:v>
                </c:pt>
                <c:pt idx="1022">
                  <c:v>0.68758100959749924</c:v>
                </c:pt>
                <c:pt idx="1023">
                  <c:v>0.69097698903352334</c:v>
                </c:pt>
                <c:pt idx="1024">
                  <c:v>0.69435641486013022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52-4C80-A541-EB6F430D4D3F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Estimation_1516!$H:$H</c:f>
              <c:strCache>
                <c:ptCount val="1025"/>
                <c:pt idx="1">
                  <c:v>x</c:v>
                </c:pt>
                <c:pt idx="2">
                  <c:v>-0,09755494</c:v>
                </c:pt>
                <c:pt idx="3">
                  <c:v>-0,09745494</c:v>
                </c:pt>
                <c:pt idx="4">
                  <c:v>-0,09735494</c:v>
                </c:pt>
                <c:pt idx="5">
                  <c:v>-0,09725494</c:v>
                </c:pt>
                <c:pt idx="6">
                  <c:v>-0,09715494</c:v>
                </c:pt>
                <c:pt idx="7">
                  <c:v>-0,09705494</c:v>
                </c:pt>
                <c:pt idx="8">
                  <c:v>-0,09695494</c:v>
                </c:pt>
                <c:pt idx="9">
                  <c:v>-0,09685494</c:v>
                </c:pt>
                <c:pt idx="10">
                  <c:v>-0,09675494</c:v>
                </c:pt>
                <c:pt idx="11">
                  <c:v>-0,09665494</c:v>
                </c:pt>
                <c:pt idx="12">
                  <c:v>-0,09655494</c:v>
                </c:pt>
                <c:pt idx="13">
                  <c:v>-0,09645494</c:v>
                </c:pt>
                <c:pt idx="14">
                  <c:v>-0,09635494</c:v>
                </c:pt>
                <c:pt idx="15">
                  <c:v>-0,09625494</c:v>
                </c:pt>
                <c:pt idx="16">
                  <c:v>-0,09615494</c:v>
                </c:pt>
                <c:pt idx="17">
                  <c:v>-0,09605494</c:v>
                </c:pt>
                <c:pt idx="18">
                  <c:v>-0,09595494</c:v>
                </c:pt>
                <c:pt idx="19">
                  <c:v>-0,09585494</c:v>
                </c:pt>
                <c:pt idx="20">
                  <c:v>-0,09575494</c:v>
                </c:pt>
                <c:pt idx="21">
                  <c:v>-0,09565494</c:v>
                </c:pt>
                <c:pt idx="22">
                  <c:v>-0,09555494</c:v>
                </c:pt>
                <c:pt idx="23">
                  <c:v>-0,09545494</c:v>
                </c:pt>
                <c:pt idx="24">
                  <c:v>-0,09535494</c:v>
                </c:pt>
                <c:pt idx="25">
                  <c:v>-0,09525494</c:v>
                </c:pt>
                <c:pt idx="26">
                  <c:v>-0,09515494</c:v>
                </c:pt>
                <c:pt idx="27">
                  <c:v>-0,09505494</c:v>
                </c:pt>
                <c:pt idx="28">
                  <c:v>-0,09495494</c:v>
                </c:pt>
                <c:pt idx="29">
                  <c:v>-0,09485494</c:v>
                </c:pt>
                <c:pt idx="30">
                  <c:v>-0,09475494</c:v>
                </c:pt>
                <c:pt idx="31">
                  <c:v>-0,09465494</c:v>
                </c:pt>
                <c:pt idx="32">
                  <c:v>-0,09455494</c:v>
                </c:pt>
                <c:pt idx="33">
                  <c:v>-0,09445494</c:v>
                </c:pt>
                <c:pt idx="34">
                  <c:v>-0,09435494</c:v>
                </c:pt>
                <c:pt idx="35">
                  <c:v>-0,09425494</c:v>
                </c:pt>
                <c:pt idx="36">
                  <c:v>-0,09415494</c:v>
                </c:pt>
                <c:pt idx="37">
                  <c:v>-0,09405494</c:v>
                </c:pt>
                <c:pt idx="38">
                  <c:v>-0,09395494</c:v>
                </c:pt>
                <c:pt idx="39">
                  <c:v>-0,09385494</c:v>
                </c:pt>
                <c:pt idx="40">
                  <c:v>-0,09375494</c:v>
                </c:pt>
                <c:pt idx="41">
                  <c:v>-0,09365494</c:v>
                </c:pt>
                <c:pt idx="42">
                  <c:v>-0,09355494</c:v>
                </c:pt>
                <c:pt idx="43">
                  <c:v>-0,09345494</c:v>
                </c:pt>
                <c:pt idx="44">
                  <c:v>-0,09335494</c:v>
                </c:pt>
                <c:pt idx="45">
                  <c:v>-0,09325494</c:v>
                </c:pt>
                <c:pt idx="46">
                  <c:v>-0,09315494</c:v>
                </c:pt>
                <c:pt idx="47">
                  <c:v>-0,09305494</c:v>
                </c:pt>
                <c:pt idx="48">
                  <c:v>-0,09295494</c:v>
                </c:pt>
                <c:pt idx="49">
                  <c:v>-0,09285494</c:v>
                </c:pt>
                <c:pt idx="50">
                  <c:v>-0,09275494</c:v>
                </c:pt>
                <c:pt idx="51">
                  <c:v>-0,09265494</c:v>
                </c:pt>
                <c:pt idx="52">
                  <c:v>-0,09255494</c:v>
                </c:pt>
                <c:pt idx="53">
                  <c:v>-0,09245494</c:v>
                </c:pt>
                <c:pt idx="54">
                  <c:v>-0,09235494</c:v>
                </c:pt>
                <c:pt idx="55">
                  <c:v>-0,09225494</c:v>
                </c:pt>
                <c:pt idx="56">
                  <c:v>-0,09215494</c:v>
                </c:pt>
                <c:pt idx="57">
                  <c:v>-0,09205494</c:v>
                </c:pt>
                <c:pt idx="58">
                  <c:v>-0,09195494</c:v>
                </c:pt>
                <c:pt idx="59">
                  <c:v>-0,09185494</c:v>
                </c:pt>
                <c:pt idx="60">
                  <c:v>-0,09175494</c:v>
                </c:pt>
                <c:pt idx="61">
                  <c:v>-0,09165494</c:v>
                </c:pt>
                <c:pt idx="62">
                  <c:v>-0,09155494</c:v>
                </c:pt>
                <c:pt idx="63">
                  <c:v>-0,09145494</c:v>
                </c:pt>
                <c:pt idx="64">
                  <c:v>-0,09135494</c:v>
                </c:pt>
                <c:pt idx="65">
                  <c:v>-0,09125494</c:v>
                </c:pt>
                <c:pt idx="66">
                  <c:v>-0,09115494</c:v>
                </c:pt>
                <c:pt idx="67">
                  <c:v>-0,09105494</c:v>
                </c:pt>
                <c:pt idx="68">
                  <c:v>-0,09095494</c:v>
                </c:pt>
                <c:pt idx="69">
                  <c:v>-0,09085494</c:v>
                </c:pt>
                <c:pt idx="70">
                  <c:v>-0,09075494</c:v>
                </c:pt>
                <c:pt idx="71">
                  <c:v>-0,09065494</c:v>
                </c:pt>
                <c:pt idx="72">
                  <c:v>-0,09055494</c:v>
                </c:pt>
                <c:pt idx="73">
                  <c:v>-0,09045494</c:v>
                </c:pt>
                <c:pt idx="74">
                  <c:v>-0,09035494</c:v>
                </c:pt>
                <c:pt idx="75">
                  <c:v>-0,09025494</c:v>
                </c:pt>
                <c:pt idx="76">
                  <c:v>-0,09015494</c:v>
                </c:pt>
                <c:pt idx="77">
                  <c:v>-0,09005494</c:v>
                </c:pt>
                <c:pt idx="78">
                  <c:v>-0,08995494</c:v>
                </c:pt>
                <c:pt idx="79">
                  <c:v>-0,08985494</c:v>
                </c:pt>
                <c:pt idx="80">
                  <c:v>-0,08975494</c:v>
                </c:pt>
                <c:pt idx="81">
                  <c:v>-0,08965494</c:v>
                </c:pt>
                <c:pt idx="82">
                  <c:v>-0,08955494</c:v>
                </c:pt>
                <c:pt idx="83">
                  <c:v>-0,08945494</c:v>
                </c:pt>
                <c:pt idx="84">
                  <c:v>-0,08935494</c:v>
                </c:pt>
                <c:pt idx="85">
                  <c:v>-0,08925494</c:v>
                </c:pt>
                <c:pt idx="86">
                  <c:v>-0,08915494</c:v>
                </c:pt>
                <c:pt idx="87">
                  <c:v>-0,08905494</c:v>
                </c:pt>
                <c:pt idx="88">
                  <c:v>-0,08895494</c:v>
                </c:pt>
                <c:pt idx="89">
                  <c:v>-0,08885494</c:v>
                </c:pt>
                <c:pt idx="90">
                  <c:v>-0,08875494</c:v>
                </c:pt>
                <c:pt idx="91">
                  <c:v>-0,08865494</c:v>
                </c:pt>
                <c:pt idx="92">
                  <c:v>-0,08855494</c:v>
                </c:pt>
                <c:pt idx="93">
                  <c:v>-0,08845494</c:v>
                </c:pt>
                <c:pt idx="94">
                  <c:v>-0,08835494</c:v>
                </c:pt>
                <c:pt idx="95">
                  <c:v>-0,08825494</c:v>
                </c:pt>
                <c:pt idx="96">
                  <c:v>-0,08815494</c:v>
                </c:pt>
                <c:pt idx="97">
                  <c:v>-0,08805494</c:v>
                </c:pt>
                <c:pt idx="98">
                  <c:v>-0,08795494</c:v>
                </c:pt>
                <c:pt idx="99">
                  <c:v>-0,08785494</c:v>
                </c:pt>
                <c:pt idx="100">
                  <c:v>-0,08775494</c:v>
                </c:pt>
                <c:pt idx="101">
                  <c:v>-0,08765494</c:v>
                </c:pt>
                <c:pt idx="102">
                  <c:v>-0,08755494</c:v>
                </c:pt>
                <c:pt idx="103">
                  <c:v>-0,08745494</c:v>
                </c:pt>
                <c:pt idx="104">
                  <c:v>-0,08735494</c:v>
                </c:pt>
                <c:pt idx="105">
                  <c:v>-0,08725494</c:v>
                </c:pt>
                <c:pt idx="106">
                  <c:v>-0,08715494</c:v>
                </c:pt>
                <c:pt idx="107">
                  <c:v>-0,08705494</c:v>
                </c:pt>
                <c:pt idx="108">
                  <c:v>-0,08695494</c:v>
                </c:pt>
                <c:pt idx="109">
                  <c:v>-0,08685494</c:v>
                </c:pt>
                <c:pt idx="110">
                  <c:v>-0,08675494</c:v>
                </c:pt>
                <c:pt idx="111">
                  <c:v>-0,08665494</c:v>
                </c:pt>
                <c:pt idx="112">
                  <c:v>-0,08655494</c:v>
                </c:pt>
                <c:pt idx="113">
                  <c:v>-0,08645494</c:v>
                </c:pt>
                <c:pt idx="114">
                  <c:v>-0,08635494</c:v>
                </c:pt>
                <c:pt idx="115">
                  <c:v>-0,08625494</c:v>
                </c:pt>
                <c:pt idx="116">
                  <c:v>-0,08615494</c:v>
                </c:pt>
                <c:pt idx="117">
                  <c:v>-0,08605494</c:v>
                </c:pt>
                <c:pt idx="118">
                  <c:v>-0,08595494</c:v>
                </c:pt>
                <c:pt idx="119">
                  <c:v>-0,08585494</c:v>
                </c:pt>
                <c:pt idx="120">
                  <c:v>-0,08575494</c:v>
                </c:pt>
                <c:pt idx="121">
                  <c:v>-0,08565494</c:v>
                </c:pt>
                <c:pt idx="122">
                  <c:v>-0,08555494</c:v>
                </c:pt>
                <c:pt idx="123">
                  <c:v>-0,08545494</c:v>
                </c:pt>
                <c:pt idx="124">
                  <c:v>-0,08535494</c:v>
                </c:pt>
                <c:pt idx="125">
                  <c:v>-0,08525494</c:v>
                </c:pt>
                <c:pt idx="126">
                  <c:v>-0,08515494</c:v>
                </c:pt>
                <c:pt idx="127">
                  <c:v>-0,08505494</c:v>
                </c:pt>
                <c:pt idx="128">
                  <c:v>-0,08495494</c:v>
                </c:pt>
                <c:pt idx="129">
                  <c:v>-0,08485494</c:v>
                </c:pt>
                <c:pt idx="130">
                  <c:v>-0,08475494</c:v>
                </c:pt>
                <c:pt idx="131">
                  <c:v>-0,08465494</c:v>
                </c:pt>
                <c:pt idx="132">
                  <c:v>-0,08455494</c:v>
                </c:pt>
                <c:pt idx="133">
                  <c:v>-0,08445494</c:v>
                </c:pt>
                <c:pt idx="134">
                  <c:v>-0,08435494</c:v>
                </c:pt>
                <c:pt idx="135">
                  <c:v>-0,08425494</c:v>
                </c:pt>
                <c:pt idx="136">
                  <c:v>-0,08415494</c:v>
                </c:pt>
                <c:pt idx="137">
                  <c:v>-0,08405494</c:v>
                </c:pt>
                <c:pt idx="138">
                  <c:v>-0,08395494</c:v>
                </c:pt>
                <c:pt idx="139">
                  <c:v>-0,08385494</c:v>
                </c:pt>
                <c:pt idx="140">
                  <c:v>-0,08375494</c:v>
                </c:pt>
                <c:pt idx="141">
                  <c:v>-0,08365494</c:v>
                </c:pt>
                <c:pt idx="142">
                  <c:v>-0,08355494</c:v>
                </c:pt>
                <c:pt idx="143">
                  <c:v>-0,08345494</c:v>
                </c:pt>
                <c:pt idx="144">
                  <c:v>-0,08335494</c:v>
                </c:pt>
                <c:pt idx="145">
                  <c:v>-0,08325494</c:v>
                </c:pt>
                <c:pt idx="146">
                  <c:v>-0,08315494</c:v>
                </c:pt>
                <c:pt idx="147">
                  <c:v>-0,08305494</c:v>
                </c:pt>
                <c:pt idx="148">
                  <c:v>-0,08295494</c:v>
                </c:pt>
                <c:pt idx="149">
                  <c:v>-0,08285494</c:v>
                </c:pt>
                <c:pt idx="150">
                  <c:v>-0,08275494</c:v>
                </c:pt>
                <c:pt idx="151">
                  <c:v>-0,08265494</c:v>
                </c:pt>
                <c:pt idx="152">
                  <c:v>-0,08255494</c:v>
                </c:pt>
                <c:pt idx="153">
                  <c:v>-0,08245494</c:v>
                </c:pt>
                <c:pt idx="154">
                  <c:v>-0,08235494</c:v>
                </c:pt>
                <c:pt idx="155">
                  <c:v>-0,08225494</c:v>
                </c:pt>
                <c:pt idx="156">
                  <c:v>-0,08215494</c:v>
                </c:pt>
                <c:pt idx="157">
                  <c:v>-0,08205494</c:v>
                </c:pt>
                <c:pt idx="158">
                  <c:v>-0,08195494</c:v>
                </c:pt>
                <c:pt idx="159">
                  <c:v>-0,08185494</c:v>
                </c:pt>
                <c:pt idx="160">
                  <c:v>-0,08175494</c:v>
                </c:pt>
                <c:pt idx="161">
                  <c:v>-0,08165494</c:v>
                </c:pt>
                <c:pt idx="162">
                  <c:v>-0,08155494</c:v>
                </c:pt>
                <c:pt idx="163">
                  <c:v>-0,08145494</c:v>
                </c:pt>
                <c:pt idx="164">
                  <c:v>-0,08135494</c:v>
                </c:pt>
                <c:pt idx="165">
                  <c:v>-0,08125494</c:v>
                </c:pt>
                <c:pt idx="166">
                  <c:v>-0,08115494</c:v>
                </c:pt>
                <c:pt idx="167">
                  <c:v>-0,08105494</c:v>
                </c:pt>
                <c:pt idx="168">
                  <c:v>-0,08095494</c:v>
                </c:pt>
                <c:pt idx="169">
                  <c:v>-0,08085494</c:v>
                </c:pt>
                <c:pt idx="170">
                  <c:v>-0,08075494</c:v>
                </c:pt>
                <c:pt idx="171">
                  <c:v>-0,08065494</c:v>
                </c:pt>
                <c:pt idx="172">
                  <c:v>-0,08055494</c:v>
                </c:pt>
                <c:pt idx="173">
                  <c:v>-0,08045494</c:v>
                </c:pt>
                <c:pt idx="174">
                  <c:v>-0,08035494</c:v>
                </c:pt>
                <c:pt idx="175">
                  <c:v>-0,08025494</c:v>
                </c:pt>
                <c:pt idx="176">
                  <c:v>-0,08015494</c:v>
                </c:pt>
                <c:pt idx="177">
                  <c:v>-0,08005494</c:v>
                </c:pt>
                <c:pt idx="178">
                  <c:v>-0,07995494</c:v>
                </c:pt>
                <c:pt idx="179">
                  <c:v>-0,07985494</c:v>
                </c:pt>
                <c:pt idx="180">
                  <c:v>-0,07975494</c:v>
                </c:pt>
                <c:pt idx="181">
                  <c:v>-0,07965494</c:v>
                </c:pt>
                <c:pt idx="182">
                  <c:v>-0,07955494</c:v>
                </c:pt>
                <c:pt idx="183">
                  <c:v>-0,07945494</c:v>
                </c:pt>
                <c:pt idx="184">
                  <c:v>-0,07935494</c:v>
                </c:pt>
                <c:pt idx="185">
                  <c:v>-0,07925494</c:v>
                </c:pt>
                <c:pt idx="186">
                  <c:v>-0,07915494</c:v>
                </c:pt>
                <c:pt idx="187">
                  <c:v>-0,07905494</c:v>
                </c:pt>
                <c:pt idx="188">
                  <c:v>-0,07895494</c:v>
                </c:pt>
                <c:pt idx="189">
                  <c:v>-0,07885494</c:v>
                </c:pt>
                <c:pt idx="190">
                  <c:v>-0,07875494</c:v>
                </c:pt>
                <c:pt idx="191">
                  <c:v>-0,07865494</c:v>
                </c:pt>
                <c:pt idx="192">
                  <c:v>-0,07855494</c:v>
                </c:pt>
                <c:pt idx="193">
                  <c:v>-0,07845494</c:v>
                </c:pt>
                <c:pt idx="194">
                  <c:v>-0,07835494</c:v>
                </c:pt>
                <c:pt idx="195">
                  <c:v>-0,07825494</c:v>
                </c:pt>
                <c:pt idx="196">
                  <c:v>-0,07815494</c:v>
                </c:pt>
                <c:pt idx="197">
                  <c:v>-0,07805494</c:v>
                </c:pt>
                <c:pt idx="198">
                  <c:v>-0,07795494</c:v>
                </c:pt>
                <c:pt idx="199">
                  <c:v>-0,07785494</c:v>
                </c:pt>
                <c:pt idx="200">
                  <c:v>-0,07775494</c:v>
                </c:pt>
                <c:pt idx="201">
                  <c:v>-0,07765494</c:v>
                </c:pt>
                <c:pt idx="202">
                  <c:v>-0,07755494</c:v>
                </c:pt>
                <c:pt idx="203">
                  <c:v>-0,07745494</c:v>
                </c:pt>
                <c:pt idx="204">
                  <c:v>-0,07735494</c:v>
                </c:pt>
                <c:pt idx="205">
                  <c:v>-0,07725494</c:v>
                </c:pt>
                <c:pt idx="206">
                  <c:v>-0,07715494</c:v>
                </c:pt>
                <c:pt idx="207">
                  <c:v>-0,07705494</c:v>
                </c:pt>
                <c:pt idx="208">
                  <c:v>-0,07695494</c:v>
                </c:pt>
                <c:pt idx="209">
                  <c:v>-0,07685494</c:v>
                </c:pt>
                <c:pt idx="210">
                  <c:v>-0,07675494</c:v>
                </c:pt>
                <c:pt idx="211">
                  <c:v>-0,07665494</c:v>
                </c:pt>
                <c:pt idx="212">
                  <c:v>-0,07655494</c:v>
                </c:pt>
                <c:pt idx="213">
                  <c:v>-0,07645494</c:v>
                </c:pt>
                <c:pt idx="214">
                  <c:v>-0,07635494</c:v>
                </c:pt>
                <c:pt idx="215">
                  <c:v>-0,07625494</c:v>
                </c:pt>
                <c:pt idx="216">
                  <c:v>-0,07615494</c:v>
                </c:pt>
                <c:pt idx="217">
                  <c:v>-0,07605494</c:v>
                </c:pt>
                <c:pt idx="218">
                  <c:v>-0,07595494</c:v>
                </c:pt>
                <c:pt idx="219">
                  <c:v>-0,07585494</c:v>
                </c:pt>
                <c:pt idx="220">
                  <c:v>-0,07575494</c:v>
                </c:pt>
                <c:pt idx="221">
                  <c:v>-0,07565494</c:v>
                </c:pt>
                <c:pt idx="222">
                  <c:v>-0,07555494</c:v>
                </c:pt>
                <c:pt idx="223">
                  <c:v>-0,07545494</c:v>
                </c:pt>
                <c:pt idx="224">
                  <c:v>-0,07535494</c:v>
                </c:pt>
                <c:pt idx="225">
                  <c:v>-0,07525494</c:v>
                </c:pt>
                <c:pt idx="226">
                  <c:v>-0,07515494</c:v>
                </c:pt>
                <c:pt idx="227">
                  <c:v>-0,07505494</c:v>
                </c:pt>
                <c:pt idx="228">
                  <c:v>-0,07495494</c:v>
                </c:pt>
                <c:pt idx="229">
                  <c:v>-0,07485494</c:v>
                </c:pt>
                <c:pt idx="230">
                  <c:v>-0,07475494</c:v>
                </c:pt>
                <c:pt idx="231">
                  <c:v>-0,07465494</c:v>
                </c:pt>
                <c:pt idx="232">
                  <c:v>-0,07455494</c:v>
                </c:pt>
                <c:pt idx="233">
                  <c:v>-0,07445494</c:v>
                </c:pt>
                <c:pt idx="234">
                  <c:v>-0,07435494</c:v>
                </c:pt>
                <c:pt idx="235">
                  <c:v>-0,07425494</c:v>
                </c:pt>
                <c:pt idx="236">
                  <c:v>-0,07415494</c:v>
                </c:pt>
                <c:pt idx="237">
                  <c:v>-0,07405494</c:v>
                </c:pt>
                <c:pt idx="238">
                  <c:v>-0,07395494</c:v>
                </c:pt>
                <c:pt idx="239">
                  <c:v>-0,07385494</c:v>
                </c:pt>
                <c:pt idx="240">
                  <c:v>-0,07375494</c:v>
                </c:pt>
                <c:pt idx="241">
                  <c:v>-0,07365494</c:v>
                </c:pt>
                <c:pt idx="242">
                  <c:v>-0,07355494</c:v>
                </c:pt>
                <c:pt idx="243">
                  <c:v>-0,07345494</c:v>
                </c:pt>
                <c:pt idx="244">
                  <c:v>-0,07335494</c:v>
                </c:pt>
                <c:pt idx="245">
                  <c:v>-0,07325494</c:v>
                </c:pt>
                <c:pt idx="246">
                  <c:v>-0,07315494</c:v>
                </c:pt>
                <c:pt idx="247">
                  <c:v>-0,07305494</c:v>
                </c:pt>
                <c:pt idx="248">
                  <c:v>-0,07295494</c:v>
                </c:pt>
                <c:pt idx="249">
                  <c:v>-0,07285494</c:v>
                </c:pt>
                <c:pt idx="250">
                  <c:v>-0,07275494</c:v>
                </c:pt>
                <c:pt idx="251">
                  <c:v>-0,07265494</c:v>
                </c:pt>
                <c:pt idx="252">
                  <c:v>-0,07255494</c:v>
                </c:pt>
                <c:pt idx="253">
                  <c:v>-0,07245494</c:v>
                </c:pt>
                <c:pt idx="254">
                  <c:v>-0,07235494</c:v>
                </c:pt>
                <c:pt idx="255">
                  <c:v>-0,07225494</c:v>
                </c:pt>
                <c:pt idx="256">
                  <c:v>-0,07215494</c:v>
                </c:pt>
                <c:pt idx="257">
                  <c:v>-0,07205494</c:v>
                </c:pt>
                <c:pt idx="258">
                  <c:v>-0,07195494</c:v>
                </c:pt>
                <c:pt idx="259">
                  <c:v>-0,07185494</c:v>
                </c:pt>
                <c:pt idx="260">
                  <c:v>-0,07175494</c:v>
                </c:pt>
                <c:pt idx="261">
                  <c:v>-0,07165494</c:v>
                </c:pt>
                <c:pt idx="262">
                  <c:v>-0,07155494</c:v>
                </c:pt>
                <c:pt idx="263">
                  <c:v>-0,07145494</c:v>
                </c:pt>
                <c:pt idx="264">
                  <c:v>-0,07135494</c:v>
                </c:pt>
                <c:pt idx="265">
                  <c:v>-0,07125494</c:v>
                </c:pt>
                <c:pt idx="266">
                  <c:v>-0,07115494</c:v>
                </c:pt>
                <c:pt idx="267">
                  <c:v>-0,07105494</c:v>
                </c:pt>
                <c:pt idx="268">
                  <c:v>-0,07095494</c:v>
                </c:pt>
                <c:pt idx="269">
                  <c:v>-0,07085494</c:v>
                </c:pt>
                <c:pt idx="270">
                  <c:v>-0,07075494</c:v>
                </c:pt>
                <c:pt idx="271">
                  <c:v>-0,07065494</c:v>
                </c:pt>
                <c:pt idx="272">
                  <c:v>-0,07055494</c:v>
                </c:pt>
                <c:pt idx="273">
                  <c:v>-0,07045494</c:v>
                </c:pt>
                <c:pt idx="274">
                  <c:v>-0,07035494</c:v>
                </c:pt>
                <c:pt idx="275">
                  <c:v>-0,07025494</c:v>
                </c:pt>
                <c:pt idx="276">
                  <c:v>-0,07015494</c:v>
                </c:pt>
                <c:pt idx="277">
                  <c:v>-0,07005494</c:v>
                </c:pt>
                <c:pt idx="278">
                  <c:v>-0,06995494</c:v>
                </c:pt>
                <c:pt idx="279">
                  <c:v>-0,06985494</c:v>
                </c:pt>
                <c:pt idx="280">
                  <c:v>-0,06975494</c:v>
                </c:pt>
                <c:pt idx="281">
                  <c:v>-0,06965494</c:v>
                </c:pt>
                <c:pt idx="282">
                  <c:v>-0,06955494</c:v>
                </c:pt>
                <c:pt idx="283">
                  <c:v>-0,06945494</c:v>
                </c:pt>
                <c:pt idx="284">
                  <c:v>-0,06935494</c:v>
                </c:pt>
                <c:pt idx="285">
                  <c:v>-0,06925494</c:v>
                </c:pt>
                <c:pt idx="286">
                  <c:v>-0,06915494</c:v>
                </c:pt>
                <c:pt idx="287">
                  <c:v>-0,06905494</c:v>
                </c:pt>
                <c:pt idx="288">
                  <c:v>-0,06895494</c:v>
                </c:pt>
                <c:pt idx="289">
                  <c:v>-0,06885494</c:v>
                </c:pt>
                <c:pt idx="290">
                  <c:v>-0,06875494</c:v>
                </c:pt>
                <c:pt idx="291">
                  <c:v>-0,06865494</c:v>
                </c:pt>
                <c:pt idx="292">
                  <c:v>-0,06855494</c:v>
                </c:pt>
                <c:pt idx="293">
                  <c:v>-0,06845494</c:v>
                </c:pt>
                <c:pt idx="294">
                  <c:v>-0,06835494</c:v>
                </c:pt>
                <c:pt idx="295">
                  <c:v>-0,06825494</c:v>
                </c:pt>
                <c:pt idx="296">
                  <c:v>-0,06815494</c:v>
                </c:pt>
                <c:pt idx="297">
                  <c:v>-0,06805494</c:v>
                </c:pt>
                <c:pt idx="298">
                  <c:v>-0,06795494</c:v>
                </c:pt>
                <c:pt idx="299">
                  <c:v>-0,06785494</c:v>
                </c:pt>
                <c:pt idx="300">
                  <c:v>-0,06775494</c:v>
                </c:pt>
                <c:pt idx="301">
                  <c:v>-0,06765494</c:v>
                </c:pt>
                <c:pt idx="302">
                  <c:v>-0,06755494</c:v>
                </c:pt>
                <c:pt idx="303">
                  <c:v>-0,06745494</c:v>
                </c:pt>
                <c:pt idx="304">
                  <c:v>-0,06735494</c:v>
                </c:pt>
                <c:pt idx="305">
                  <c:v>-0,06725494</c:v>
                </c:pt>
                <c:pt idx="306">
                  <c:v>-0,06715494</c:v>
                </c:pt>
                <c:pt idx="307">
                  <c:v>-0,06705494</c:v>
                </c:pt>
                <c:pt idx="308">
                  <c:v>-0,06695494</c:v>
                </c:pt>
                <c:pt idx="309">
                  <c:v>-0,06685494</c:v>
                </c:pt>
                <c:pt idx="310">
                  <c:v>-0,06675494</c:v>
                </c:pt>
                <c:pt idx="311">
                  <c:v>-0,06665494</c:v>
                </c:pt>
                <c:pt idx="312">
                  <c:v>-0,06655494</c:v>
                </c:pt>
                <c:pt idx="313">
                  <c:v>-0,06645494</c:v>
                </c:pt>
                <c:pt idx="314">
                  <c:v>-0,06635494</c:v>
                </c:pt>
                <c:pt idx="315">
                  <c:v>-0,06625494</c:v>
                </c:pt>
                <c:pt idx="316">
                  <c:v>-0,06615494</c:v>
                </c:pt>
                <c:pt idx="317">
                  <c:v>-0,06605494</c:v>
                </c:pt>
                <c:pt idx="318">
                  <c:v>-0,06595494</c:v>
                </c:pt>
                <c:pt idx="319">
                  <c:v>-0,06585494</c:v>
                </c:pt>
                <c:pt idx="320">
                  <c:v>-0,06575494</c:v>
                </c:pt>
                <c:pt idx="321">
                  <c:v>-0,06565494</c:v>
                </c:pt>
                <c:pt idx="322">
                  <c:v>-0,06555494</c:v>
                </c:pt>
                <c:pt idx="323">
                  <c:v>-0,06545494</c:v>
                </c:pt>
                <c:pt idx="324">
                  <c:v>-0,06535494</c:v>
                </c:pt>
                <c:pt idx="325">
                  <c:v>-0,06525494</c:v>
                </c:pt>
                <c:pt idx="326">
                  <c:v>-0,06515494</c:v>
                </c:pt>
                <c:pt idx="327">
                  <c:v>-0,06505494</c:v>
                </c:pt>
                <c:pt idx="328">
                  <c:v>-0,06495494</c:v>
                </c:pt>
                <c:pt idx="329">
                  <c:v>-0,06485494</c:v>
                </c:pt>
                <c:pt idx="330">
                  <c:v>-0,06475494</c:v>
                </c:pt>
                <c:pt idx="331">
                  <c:v>-0,06465494</c:v>
                </c:pt>
                <c:pt idx="332">
                  <c:v>-0,06455494</c:v>
                </c:pt>
                <c:pt idx="333">
                  <c:v>-0,06445494</c:v>
                </c:pt>
                <c:pt idx="334">
                  <c:v>-0,06435494</c:v>
                </c:pt>
                <c:pt idx="335">
                  <c:v>-0,06425494</c:v>
                </c:pt>
                <c:pt idx="336">
                  <c:v>-0,06415494</c:v>
                </c:pt>
                <c:pt idx="337">
                  <c:v>-0,06405494</c:v>
                </c:pt>
                <c:pt idx="338">
                  <c:v>-0,06395494</c:v>
                </c:pt>
                <c:pt idx="339">
                  <c:v>-0,06385494</c:v>
                </c:pt>
                <c:pt idx="340">
                  <c:v>-0,06375494</c:v>
                </c:pt>
                <c:pt idx="341">
                  <c:v>-0,06365494</c:v>
                </c:pt>
                <c:pt idx="342">
                  <c:v>-0,06355494</c:v>
                </c:pt>
                <c:pt idx="343">
                  <c:v>-0,06345494</c:v>
                </c:pt>
                <c:pt idx="344">
                  <c:v>-0,06335494</c:v>
                </c:pt>
                <c:pt idx="345">
                  <c:v>-0,06325494</c:v>
                </c:pt>
                <c:pt idx="346">
                  <c:v>-0,06315494</c:v>
                </c:pt>
                <c:pt idx="347">
                  <c:v>-0,06305494</c:v>
                </c:pt>
                <c:pt idx="348">
                  <c:v>-0,06295494</c:v>
                </c:pt>
                <c:pt idx="349">
                  <c:v>-0,06285494</c:v>
                </c:pt>
                <c:pt idx="350">
                  <c:v>-0,06275494</c:v>
                </c:pt>
                <c:pt idx="351">
                  <c:v>-0,06265494</c:v>
                </c:pt>
                <c:pt idx="352">
                  <c:v>-0,06255494</c:v>
                </c:pt>
                <c:pt idx="353">
                  <c:v>-0,06245494</c:v>
                </c:pt>
                <c:pt idx="354">
                  <c:v>-0,06235494</c:v>
                </c:pt>
                <c:pt idx="355">
                  <c:v>-0,06225494</c:v>
                </c:pt>
                <c:pt idx="356">
                  <c:v>-0,06215494</c:v>
                </c:pt>
                <c:pt idx="357">
                  <c:v>-0,06205494</c:v>
                </c:pt>
                <c:pt idx="358">
                  <c:v>-0,06195494</c:v>
                </c:pt>
                <c:pt idx="359">
                  <c:v>-0,06185494</c:v>
                </c:pt>
                <c:pt idx="360">
                  <c:v>-0,06175494</c:v>
                </c:pt>
                <c:pt idx="361">
                  <c:v>-0,06165494</c:v>
                </c:pt>
                <c:pt idx="362">
                  <c:v>-0,06155494</c:v>
                </c:pt>
                <c:pt idx="363">
                  <c:v>-0,06145494</c:v>
                </c:pt>
                <c:pt idx="364">
                  <c:v>-0,06135494</c:v>
                </c:pt>
                <c:pt idx="365">
                  <c:v>-0,06125494</c:v>
                </c:pt>
                <c:pt idx="366">
                  <c:v>-0,06115494</c:v>
                </c:pt>
                <c:pt idx="367">
                  <c:v>-0,06105494</c:v>
                </c:pt>
                <c:pt idx="368">
                  <c:v>-0,06095494</c:v>
                </c:pt>
                <c:pt idx="369">
                  <c:v>-0,06085494</c:v>
                </c:pt>
                <c:pt idx="370">
                  <c:v>-0,06075494</c:v>
                </c:pt>
                <c:pt idx="371">
                  <c:v>-0,06065494</c:v>
                </c:pt>
                <c:pt idx="372">
                  <c:v>-0,06055494</c:v>
                </c:pt>
                <c:pt idx="373">
                  <c:v>-0,06045494</c:v>
                </c:pt>
                <c:pt idx="374">
                  <c:v>-0,06035494</c:v>
                </c:pt>
                <c:pt idx="375">
                  <c:v>-0,06025494</c:v>
                </c:pt>
                <c:pt idx="376">
                  <c:v>-0,06015494</c:v>
                </c:pt>
                <c:pt idx="377">
                  <c:v>-0,06005494</c:v>
                </c:pt>
                <c:pt idx="378">
                  <c:v>-0,05995494</c:v>
                </c:pt>
                <c:pt idx="379">
                  <c:v>-0,05985494</c:v>
                </c:pt>
                <c:pt idx="380">
                  <c:v>-0,05975494</c:v>
                </c:pt>
                <c:pt idx="381">
                  <c:v>-0,05965494</c:v>
                </c:pt>
                <c:pt idx="382">
                  <c:v>-0,05955494</c:v>
                </c:pt>
                <c:pt idx="383">
                  <c:v>-0,05945494</c:v>
                </c:pt>
                <c:pt idx="384">
                  <c:v>-0,05935494</c:v>
                </c:pt>
                <c:pt idx="385">
                  <c:v>-0,05925494</c:v>
                </c:pt>
                <c:pt idx="386">
                  <c:v>-0,05915494</c:v>
                </c:pt>
                <c:pt idx="387">
                  <c:v>-0,05905494</c:v>
                </c:pt>
                <c:pt idx="388">
                  <c:v>-0,05895494</c:v>
                </c:pt>
                <c:pt idx="389">
                  <c:v>-0,05885494</c:v>
                </c:pt>
                <c:pt idx="390">
                  <c:v>-0,05875494</c:v>
                </c:pt>
                <c:pt idx="391">
                  <c:v>-0,05865494</c:v>
                </c:pt>
                <c:pt idx="392">
                  <c:v>-0,05855494</c:v>
                </c:pt>
                <c:pt idx="393">
                  <c:v>-0,05845494</c:v>
                </c:pt>
                <c:pt idx="394">
                  <c:v>-0,05835494</c:v>
                </c:pt>
                <c:pt idx="395">
                  <c:v>-0,05825494</c:v>
                </c:pt>
                <c:pt idx="396">
                  <c:v>-0,05815494</c:v>
                </c:pt>
                <c:pt idx="397">
                  <c:v>-0,05805494</c:v>
                </c:pt>
                <c:pt idx="398">
                  <c:v>-0,05795494</c:v>
                </c:pt>
                <c:pt idx="399">
                  <c:v>-0,05785494</c:v>
                </c:pt>
                <c:pt idx="400">
                  <c:v>-0,05775494</c:v>
                </c:pt>
                <c:pt idx="401">
                  <c:v>-0,05765494</c:v>
                </c:pt>
                <c:pt idx="402">
                  <c:v>-0,05755494</c:v>
                </c:pt>
                <c:pt idx="403">
                  <c:v>-0,05745494</c:v>
                </c:pt>
                <c:pt idx="404">
                  <c:v>-0,05735494</c:v>
                </c:pt>
                <c:pt idx="405">
                  <c:v>-0,05725494</c:v>
                </c:pt>
                <c:pt idx="406">
                  <c:v>-0,05715494</c:v>
                </c:pt>
                <c:pt idx="407">
                  <c:v>-0,05705494</c:v>
                </c:pt>
                <c:pt idx="408">
                  <c:v>-0,05695494</c:v>
                </c:pt>
                <c:pt idx="409">
                  <c:v>-0,05685494</c:v>
                </c:pt>
                <c:pt idx="410">
                  <c:v>-0,05675494</c:v>
                </c:pt>
                <c:pt idx="411">
                  <c:v>-0,05665494</c:v>
                </c:pt>
                <c:pt idx="412">
                  <c:v>-0,05655494</c:v>
                </c:pt>
                <c:pt idx="413">
                  <c:v>-0,05645494</c:v>
                </c:pt>
                <c:pt idx="414">
                  <c:v>-0,05635494</c:v>
                </c:pt>
                <c:pt idx="415">
                  <c:v>-0,05625494</c:v>
                </c:pt>
                <c:pt idx="416">
                  <c:v>-0,05615494</c:v>
                </c:pt>
                <c:pt idx="417">
                  <c:v>-0,05605494</c:v>
                </c:pt>
                <c:pt idx="418">
                  <c:v>-0,05595494</c:v>
                </c:pt>
                <c:pt idx="419">
                  <c:v>-0,05585494</c:v>
                </c:pt>
                <c:pt idx="420">
                  <c:v>-0,05575494</c:v>
                </c:pt>
                <c:pt idx="421">
                  <c:v>-0,05565494</c:v>
                </c:pt>
                <c:pt idx="422">
                  <c:v>-0,05555494</c:v>
                </c:pt>
                <c:pt idx="423">
                  <c:v>-0,05545494</c:v>
                </c:pt>
                <c:pt idx="424">
                  <c:v>-0,05535494</c:v>
                </c:pt>
                <c:pt idx="425">
                  <c:v>-0,05525494</c:v>
                </c:pt>
                <c:pt idx="426">
                  <c:v>-0,05515494</c:v>
                </c:pt>
                <c:pt idx="427">
                  <c:v>-0,05505494</c:v>
                </c:pt>
                <c:pt idx="428">
                  <c:v>-0,05495494</c:v>
                </c:pt>
                <c:pt idx="429">
                  <c:v>-0,05485494</c:v>
                </c:pt>
                <c:pt idx="430">
                  <c:v>-0,05475494</c:v>
                </c:pt>
                <c:pt idx="431">
                  <c:v>-0,05465494</c:v>
                </c:pt>
                <c:pt idx="432">
                  <c:v>-0,05455494</c:v>
                </c:pt>
                <c:pt idx="433">
                  <c:v>-0,05445494</c:v>
                </c:pt>
                <c:pt idx="434">
                  <c:v>-0,05435494</c:v>
                </c:pt>
                <c:pt idx="435">
                  <c:v>-0,05425494</c:v>
                </c:pt>
                <c:pt idx="436">
                  <c:v>-0,05415494</c:v>
                </c:pt>
                <c:pt idx="437">
                  <c:v>-0,05405494</c:v>
                </c:pt>
                <c:pt idx="438">
                  <c:v>-0,05395494</c:v>
                </c:pt>
                <c:pt idx="439">
                  <c:v>-0,05385494</c:v>
                </c:pt>
                <c:pt idx="440">
                  <c:v>-0,05375494</c:v>
                </c:pt>
                <c:pt idx="441">
                  <c:v>-0,05365494</c:v>
                </c:pt>
                <c:pt idx="442">
                  <c:v>-0,05355494</c:v>
                </c:pt>
                <c:pt idx="443">
                  <c:v>-0,05345494</c:v>
                </c:pt>
                <c:pt idx="444">
                  <c:v>-0,05335494</c:v>
                </c:pt>
                <c:pt idx="445">
                  <c:v>-0,05325494</c:v>
                </c:pt>
                <c:pt idx="446">
                  <c:v>-0,05315494</c:v>
                </c:pt>
                <c:pt idx="447">
                  <c:v>-0,05305494</c:v>
                </c:pt>
                <c:pt idx="448">
                  <c:v>-0,05295494</c:v>
                </c:pt>
                <c:pt idx="449">
                  <c:v>-0,05285494</c:v>
                </c:pt>
                <c:pt idx="450">
                  <c:v>-0,05275494</c:v>
                </c:pt>
                <c:pt idx="451">
                  <c:v>-0,05265494</c:v>
                </c:pt>
                <c:pt idx="452">
                  <c:v>-0,05255494</c:v>
                </c:pt>
                <c:pt idx="453">
                  <c:v>-0,05245494</c:v>
                </c:pt>
                <c:pt idx="454">
                  <c:v>-0,05235494</c:v>
                </c:pt>
                <c:pt idx="455">
                  <c:v>-0,05225494</c:v>
                </c:pt>
                <c:pt idx="456">
                  <c:v>-0,05215494</c:v>
                </c:pt>
                <c:pt idx="457">
                  <c:v>-0,05205494</c:v>
                </c:pt>
                <c:pt idx="458">
                  <c:v>-0,05195494</c:v>
                </c:pt>
                <c:pt idx="459">
                  <c:v>-0,05185494</c:v>
                </c:pt>
                <c:pt idx="460">
                  <c:v>-0,05175494</c:v>
                </c:pt>
                <c:pt idx="461">
                  <c:v>-0,05165494</c:v>
                </c:pt>
                <c:pt idx="462">
                  <c:v>-0,05155494</c:v>
                </c:pt>
                <c:pt idx="463">
                  <c:v>-0,05145494</c:v>
                </c:pt>
                <c:pt idx="464">
                  <c:v>-0,05135494</c:v>
                </c:pt>
                <c:pt idx="465">
                  <c:v>-0,05125494</c:v>
                </c:pt>
                <c:pt idx="466">
                  <c:v>-0,05115494</c:v>
                </c:pt>
                <c:pt idx="467">
                  <c:v>-0,05105494</c:v>
                </c:pt>
                <c:pt idx="468">
                  <c:v>-0,05095494</c:v>
                </c:pt>
                <c:pt idx="469">
                  <c:v>-0,05085494</c:v>
                </c:pt>
                <c:pt idx="470">
                  <c:v>-0,05075494</c:v>
                </c:pt>
                <c:pt idx="471">
                  <c:v>-0,05065494</c:v>
                </c:pt>
                <c:pt idx="472">
                  <c:v>-0,05055494</c:v>
                </c:pt>
                <c:pt idx="473">
                  <c:v>-0,05045494</c:v>
                </c:pt>
                <c:pt idx="474">
                  <c:v>-0,05035494</c:v>
                </c:pt>
                <c:pt idx="475">
                  <c:v>-0,05025494</c:v>
                </c:pt>
                <c:pt idx="476">
                  <c:v>-0,05015494</c:v>
                </c:pt>
                <c:pt idx="477">
                  <c:v>-0,05005494</c:v>
                </c:pt>
                <c:pt idx="478">
                  <c:v>-0,04995494</c:v>
                </c:pt>
                <c:pt idx="479">
                  <c:v>-0,04985494</c:v>
                </c:pt>
                <c:pt idx="480">
                  <c:v>-0,04975494</c:v>
                </c:pt>
                <c:pt idx="481">
                  <c:v>-0,04965494</c:v>
                </c:pt>
                <c:pt idx="482">
                  <c:v>-0,04955494</c:v>
                </c:pt>
                <c:pt idx="483">
                  <c:v>-0,04945494</c:v>
                </c:pt>
                <c:pt idx="484">
                  <c:v>-0,04935494</c:v>
                </c:pt>
                <c:pt idx="485">
                  <c:v>-0,04925494</c:v>
                </c:pt>
                <c:pt idx="486">
                  <c:v>-0,04915494</c:v>
                </c:pt>
                <c:pt idx="487">
                  <c:v>-0,04905494</c:v>
                </c:pt>
                <c:pt idx="488">
                  <c:v>-0,04895494</c:v>
                </c:pt>
                <c:pt idx="489">
                  <c:v>-0,04885494</c:v>
                </c:pt>
                <c:pt idx="490">
                  <c:v>-0,04875494</c:v>
                </c:pt>
                <c:pt idx="491">
                  <c:v>-0,04865494</c:v>
                </c:pt>
                <c:pt idx="492">
                  <c:v>-0,04855494</c:v>
                </c:pt>
                <c:pt idx="493">
                  <c:v>-0,04845494</c:v>
                </c:pt>
                <c:pt idx="494">
                  <c:v>-0,04835494</c:v>
                </c:pt>
                <c:pt idx="495">
                  <c:v>-0,04825494</c:v>
                </c:pt>
                <c:pt idx="496">
                  <c:v>-0,04815494</c:v>
                </c:pt>
                <c:pt idx="497">
                  <c:v>-0,04805494</c:v>
                </c:pt>
                <c:pt idx="498">
                  <c:v>-0,04795494</c:v>
                </c:pt>
                <c:pt idx="499">
                  <c:v>-0,04785494</c:v>
                </c:pt>
                <c:pt idx="500">
                  <c:v>-0,04775494</c:v>
                </c:pt>
                <c:pt idx="501">
                  <c:v>-0,04765494</c:v>
                </c:pt>
                <c:pt idx="502">
                  <c:v>-0,04755494</c:v>
                </c:pt>
                <c:pt idx="503">
                  <c:v>-0,04745494</c:v>
                </c:pt>
                <c:pt idx="504">
                  <c:v>-0,04735494</c:v>
                </c:pt>
                <c:pt idx="505">
                  <c:v>-0,04725494</c:v>
                </c:pt>
                <c:pt idx="506">
                  <c:v>-0,04715494</c:v>
                </c:pt>
                <c:pt idx="507">
                  <c:v>-0,04705494</c:v>
                </c:pt>
                <c:pt idx="508">
                  <c:v>-0,04695494</c:v>
                </c:pt>
                <c:pt idx="509">
                  <c:v>-0,04685494</c:v>
                </c:pt>
                <c:pt idx="510">
                  <c:v>-0,04675494</c:v>
                </c:pt>
                <c:pt idx="511">
                  <c:v>-0,04665494</c:v>
                </c:pt>
                <c:pt idx="512">
                  <c:v>-0,04655494</c:v>
                </c:pt>
                <c:pt idx="513">
                  <c:v>-0,04645494</c:v>
                </c:pt>
                <c:pt idx="514">
                  <c:v>-0,04635494</c:v>
                </c:pt>
                <c:pt idx="515">
                  <c:v>-0,04625494</c:v>
                </c:pt>
                <c:pt idx="516">
                  <c:v>-0,04615494</c:v>
                </c:pt>
                <c:pt idx="517">
                  <c:v>-0,04605494</c:v>
                </c:pt>
                <c:pt idx="518">
                  <c:v>-0,04595494</c:v>
                </c:pt>
                <c:pt idx="519">
                  <c:v>-0,04585494</c:v>
                </c:pt>
                <c:pt idx="520">
                  <c:v>-0,04575494</c:v>
                </c:pt>
                <c:pt idx="521">
                  <c:v>-0,04565494</c:v>
                </c:pt>
                <c:pt idx="522">
                  <c:v>-0,04555494</c:v>
                </c:pt>
                <c:pt idx="523">
                  <c:v>-0,04545494</c:v>
                </c:pt>
                <c:pt idx="524">
                  <c:v>-0,04535494</c:v>
                </c:pt>
                <c:pt idx="525">
                  <c:v>-0,04525494</c:v>
                </c:pt>
                <c:pt idx="526">
                  <c:v>-0,04515494</c:v>
                </c:pt>
                <c:pt idx="527">
                  <c:v>-0,04505494</c:v>
                </c:pt>
                <c:pt idx="528">
                  <c:v>-0,04495494</c:v>
                </c:pt>
                <c:pt idx="529">
                  <c:v>-0,04485494</c:v>
                </c:pt>
                <c:pt idx="530">
                  <c:v>-0,04475494</c:v>
                </c:pt>
                <c:pt idx="531">
                  <c:v>-0,04465494</c:v>
                </c:pt>
                <c:pt idx="532">
                  <c:v>-0,04455494</c:v>
                </c:pt>
                <c:pt idx="533">
                  <c:v>-0,04445494</c:v>
                </c:pt>
                <c:pt idx="534">
                  <c:v>-0,04435494</c:v>
                </c:pt>
                <c:pt idx="535">
                  <c:v>-0,04425494</c:v>
                </c:pt>
                <c:pt idx="536">
                  <c:v>-0,04415494</c:v>
                </c:pt>
                <c:pt idx="537">
                  <c:v>-0,04405494</c:v>
                </c:pt>
                <c:pt idx="538">
                  <c:v>-0,04395494</c:v>
                </c:pt>
                <c:pt idx="539">
                  <c:v>-0,04385494</c:v>
                </c:pt>
                <c:pt idx="540">
                  <c:v>-0,04375494</c:v>
                </c:pt>
                <c:pt idx="541">
                  <c:v>-0,04365494</c:v>
                </c:pt>
                <c:pt idx="542">
                  <c:v>-0,04355494</c:v>
                </c:pt>
                <c:pt idx="543">
                  <c:v>-0,04345494</c:v>
                </c:pt>
                <c:pt idx="544">
                  <c:v>-0,04335494</c:v>
                </c:pt>
                <c:pt idx="545">
                  <c:v>-0,04325494</c:v>
                </c:pt>
                <c:pt idx="546">
                  <c:v>-0,04315494</c:v>
                </c:pt>
                <c:pt idx="547">
                  <c:v>-0,04305494</c:v>
                </c:pt>
                <c:pt idx="548">
                  <c:v>-0,04295494</c:v>
                </c:pt>
                <c:pt idx="549">
                  <c:v>-0,04285494</c:v>
                </c:pt>
                <c:pt idx="550">
                  <c:v>-0,04275494</c:v>
                </c:pt>
                <c:pt idx="551">
                  <c:v>-0,04265494</c:v>
                </c:pt>
                <c:pt idx="552">
                  <c:v>-0,04255494</c:v>
                </c:pt>
                <c:pt idx="553">
                  <c:v>-0,04245494</c:v>
                </c:pt>
                <c:pt idx="554">
                  <c:v>-0,04235494</c:v>
                </c:pt>
                <c:pt idx="555">
                  <c:v>-0,04225494</c:v>
                </c:pt>
                <c:pt idx="556">
                  <c:v>-0,04215494</c:v>
                </c:pt>
                <c:pt idx="557">
                  <c:v>-0,04205494</c:v>
                </c:pt>
                <c:pt idx="558">
                  <c:v>-0,04195494</c:v>
                </c:pt>
                <c:pt idx="559">
                  <c:v>-0,04185494</c:v>
                </c:pt>
                <c:pt idx="560">
                  <c:v>-0,04175494</c:v>
                </c:pt>
                <c:pt idx="561">
                  <c:v>-0,04165494</c:v>
                </c:pt>
                <c:pt idx="562">
                  <c:v>-0,04155494</c:v>
                </c:pt>
                <c:pt idx="563">
                  <c:v>-0,04145494</c:v>
                </c:pt>
                <c:pt idx="564">
                  <c:v>-0,04135494</c:v>
                </c:pt>
                <c:pt idx="565">
                  <c:v>-0,04125494</c:v>
                </c:pt>
                <c:pt idx="566">
                  <c:v>-0,04115494</c:v>
                </c:pt>
                <c:pt idx="567">
                  <c:v>-0,04105494</c:v>
                </c:pt>
                <c:pt idx="568">
                  <c:v>-0,04095494</c:v>
                </c:pt>
                <c:pt idx="569">
                  <c:v>-0,04085494</c:v>
                </c:pt>
                <c:pt idx="570">
                  <c:v>-0,04075494</c:v>
                </c:pt>
                <c:pt idx="571">
                  <c:v>-0,04065494</c:v>
                </c:pt>
                <c:pt idx="572">
                  <c:v>-0,04055494</c:v>
                </c:pt>
                <c:pt idx="573">
                  <c:v>-0,04045494</c:v>
                </c:pt>
                <c:pt idx="574">
                  <c:v>-0,04035494</c:v>
                </c:pt>
                <c:pt idx="575">
                  <c:v>-0,04025494</c:v>
                </c:pt>
                <c:pt idx="576">
                  <c:v>-0,04015494</c:v>
                </c:pt>
                <c:pt idx="577">
                  <c:v>-0,04005494</c:v>
                </c:pt>
                <c:pt idx="578">
                  <c:v>-0,03995494</c:v>
                </c:pt>
                <c:pt idx="579">
                  <c:v>-0,03985494</c:v>
                </c:pt>
                <c:pt idx="580">
                  <c:v>-0,03975494</c:v>
                </c:pt>
                <c:pt idx="581">
                  <c:v>-0,03965494</c:v>
                </c:pt>
                <c:pt idx="582">
                  <c:v>-0,03955494</c:v>
                </c:pt>
                <c:pt idx="583">
                  <c:v>-0,03945494</c:v>
                </c:pt>
                <c:pt idx="584">
                  <c:v>-0,03935494</c:v>
                </c:pt>
                <c:pt idx="585">
                  <c:v>-0,03925494</c:v>
                </c:pt>
                <c:pt idx="586">
                  <c:v>-0,03915494</c:v>
                </c:pt>
                <c:pt idx="587">
                  <c:v>-0,03905494</c:v>
                </c:pt>
                <c:pt idx="588">
                  <c:v>-0,03895494</c:v>
                </c:pt>
                <c:pt idx="589">
                  <c:v>-0,03885494</c:v>
                </c:pt>
                <c:pt idx="590">
                  <c:v>-0,03875494</c:v>
                </c:pt>
                <c:pt idx="591">
                  <c:v>-0,03865494</c:v>
                </c:pt>
                <c:pt idx="592">
                  <c:v>-0,03855494</c:v>
                </c:pt>
                <c:pt idx="593">
                  <c:v>-0,03845494</c:v>
                </c:pt>
                <c:pt idx="594">
                  <c:v>-0,03835494</c:v>
                </c:pt>
                <c:pt idx="595">
                  <c:v>-0,03825494</c:v>
                </c:pt>
                <c:pt idx="596">
                  <c:v>-0,03815494</c:v>
                </c:pt>
                <c:pt idx="597">
                  <c:v>-0,03805494</c:v>
                </c:pt>
                <c:pt idx="598">
                  <c:v>-0,03795494</c:v>
                </c:pt>
                <c:pt idx="599">
                  <c:v>-0,03785494</c:v>
                </c:pt>
                <c:pt idx="600">
                  <c:v>-0,03775494</c:v>
                </c:pt>
                <c:pt idx="601">
                  <c:v>-0,03765494</c:v>
                </c:pt>
                <c:pt idx="602">
                  <c:v>-0,03755494</c:v>
                </c:pt>
                <c:pt idx="603">
                  <c:v>-0,03745494</c:v>
                </c:pt>
                <c:pt idx="604">
                  <c:v>-0,03735494</c:v>
                </c:pt>
                <c:pt idx="605">
                  <c:v>-0,03725494</c:v>
                </c:pt>
                <c:pt idx="606">
                  <c:v>-0,03715494</c:v>
                </c:pt>
                <c:pt idx="607">
                  <c:v>-0,03705494</c:v>
                </c:pt>
                <c:pt idx="608">
                  <c:v>-0,03695494</c:v>
                </c:pt>
                <c:pt idx="609">
                  <c:v>-0,03685494</c:v>
                </c:pt>
                <c:pt idx="610">
                  <c:v>-0,03675494</c:v>
                </c:pt>
                <c:pt idx="611">
                  <c:v>-0,03665494</c:v>
                </c:pt>
                <c:pt idx="612">
                  <c:v>-0,03655494</c:v>
                </c:pt>
                <c:pt idx="613">
                  <c:v>-0,03645494</c:v>
                </c:pt>
                <c:pt idx="614">
                  <c:v>-0,03635494</c:v>
                </c:pt>
                <c:pt idx="615">
                  <c:v>-0,03625494</c:v>
                </c:pt>
                <c:pt idx="616">
                  <c:v>-0,03615494</c:v>
                </c:pt>
                <c:pt idx="617">
                  <c:v>-0,03605494</c:v>
                </c:pt>
                <c:pt idx="618">
                  <c:v>-0,03595494</c:v>
                </c:pt>
                <c:pt idx="619">
                  <c:v>-0,03585494</c:v>
                </c:pt>
                <c:pt idx="620">
                  <c:v>-0,03575494</c:v>
                </c:pt>
                <c:pt idx="621">
                  <c:v>-0,03565494</c:v>
                </c:pt>
                <c:pt idx="622">
                  <c:v>-0,03555494</c:v>
                </c:pt>
                <c:pt idx="623">
                  <c:v>-0,03545494</c:v>
                </c:pt>
                <c:pt idx="624">
                  <c:v>-0,03535494</c:v>
                </c:pt>
                <c:pt idx="625">
                  <c:v>-0,03525494</c:v>
                </c:pt>
                <c:pt idx="626">
                  <c:v>-0,03515494</c:v>
                </c:pt>
                <c:pt idx="627">
                  <c:v>-0,03505494</c:v>
                </c:pt>
                <c:pt idx="628">
                  <c:v>-0,03495494</c:v>
                </c:pt>
                <c:pt idx="629">
                  <c:v>-0,03485494</c:v>
                </c:pt>
                <c:pt idx="630">
                  <c:v>-0,03475494</c:v>
                </c:pt>
                <c:pt idx="631">
                  <c:v>-0,03465494</c:v>
                </c:pt>
                <c:pt idx="632">
                  <c:v>-0,03455494</c:v>
                </c:pt>
                <c:pt idx="633">
                  <c:v>-0,03445494</c:v>
                </c:pt>
                <c:pt idx="634">
                  <c:v>-0,03435494</c:v>
                </c:pt>
                <c:pt idx="635">
                  <c:v>-0,03425494</c:v>
                </c:pt>
                <c:pt idx="636">
                  <c:v>-0,03415494</c:v>
                </c:pt>
                <c:pt idx="637">
                  <c:v>-0,03405494</c:v>
                </c:pt>
                <c:pt idx="638">
                  <c:v>-0,03395494</c:v>
                </c:pt>
                <c:pt idx="639">
                  <c:v>-0,03385494</c:v>
                </c:pt>
                <c:pt idx="640">
                  <c:v>-0,03375494</c:v>
                </c:pt>
                <c:pt idx="641">
                  <c:v>-0,03365494</c:v>
                </c:pt>
                <c:pt idx="642">
                  <c:v>-0,03355494</c:v>
                </c:pt>
                <c:pt idx="643">
                  <c:v>-0,03345494</c:v>
                </c:pt>
                <c:pt idx="644">
                  <c:v>-0,03335494</c:v>
                </c:pt>
                <c:pt idx="645">
                  <c:v>-0,03325494</c:v>
                </c:pt>
                <c:pt idx="646">
                  <c:v>-0,03315494</c:v>
                </c:pt>
                <c:pt idx="647">
                  <c:v>-0,03305494</c:v>
                </c:pt>
                <c:pt idx="648">
                  <c:v>-0,03295494</c:v>
                </c:pt>
                <c:pt idx="649">
                  <c:v>-0,03285494</c:v>
                </c:pt>
                <c:pt idx="650">
                  <c:v>-0,03275494</c:v>
                </c:pt>
                <c:pt idx="651">
                  <c:v>-0,03265494</c:v>
                </c:pt>
                <c:pt idx="652">
                  <c:v>-0,03255494</c:v>
                </c:pt>
                <c:pt idx="653">
                  <c:v>-0,03245494</c:v>
                </c:pt>
                <c:pt idx="654">
                  <c:v>-0,03235494</c:v>
                </c:pt>
                <c:pt idx="655">
                  <c:v>-0,03225494</c:v>
                </c:pt>
                <c:pt idx="656">
                  <c:v>-0,03215494</c:v>
                </c:pt>
                <c:pt idx="657">
                  <c:v>-0,03205494</c:v>
                </c:pt>
                <c:pt idx="658">
                  <c:v>-0,03195494</c:v>
                </c:pt>
                <c:pt idx="659">
                  <c:v>-0,03185494</c:v>
                </c:pt>
                <c:pt idx="660">
                  <c:v>-0,03175494</c:v>
                </c:pt>
                <c:pt idx="661">
                  <c:v>-0,03165494</c:v>
                </c:pt>
                <c:pt idx="662">
                  <c:v>-0,03155494</c:v>
                </c:pt>
                <c:pt idx="663">
                  <c:v>-0,03145494</c:v>
                </c:pt>
                <c:pt idx="664">
                  <c:v>-0,03135494</c:v>
                </c:pt>
                <c:pt idx="665">
                  <c:v>-0,03125494</c:v>
                </c:pt>
                <c:pt idx="666">
                  <c:v>-0,03115494</c:v>
                </c:pt>
                <c:pt idx="667">
                  <c:v>-0,03105494</c:v>
                </c:pt>
                <c:pt idx="668">
                  <c:v>-0,03095494</c:v>
                </c:pt>
                <c:pt idx="669">
                  <c:v>-0,03085494</c:v>
                </c:pt>
                <c:pt idx="670">
                  <c:v>-0,03075494</c:v>
                </c:pt>
                <c:pt idx="671">
                  <c:v>-0,03065494</c:v>
                </c:pt>
                <c:pt idx="672">
                  <c:v>-0,03055494</c:v>
                </c:pt>
                <c:pt idx="673">
                  <c:v>-0,03045494</c:v>
                </c:pt>
                <c:pt idx="674">
                  <c:v>-0,03035494</c:v>
                </c:pt>
                <c:pt idx="675">
                  <c:v>-0,03025494</c:v>
                </c:pt>
                <c:pt idx="676">
                  <c:v>-0,03015494</c:v>
                </c:pt>
                <c:pt idx="677">
                  <c:v>-0,03005494</c:v>
                </c:pt>
                <c:pt idx="678">
                  <c:v>-0,02995494</c:v>
                </c:pt>
                <c:pt idx="679">
                  <c:v>-0,02985494</c:v>
                </c:pt>
                <c:pt idx="680">
                  <c:v>-0,02975494</c:v>
                </c:pt>
                <c:pt idx="681">
                  <c:v>-0,02965494</c:v>
                </c:pt>
                <c:pt idx="682">
                  <c:v>-0,02955494</c:v>
                </c:pt>
                <c:pt idx="683">
                  <c:v>-0,02945494</c:v>
                </c:pt>
                <c:pt idx="684">
                  <c:v>-0,02935494</c:v>
                </c:pt>
                <c:pt idx="685">
                  <c:v>-0,02925494</c:v>
                </c:pt>
                <c:pt idx="686">
                  <c:v>-0,02915494</c:v>
                </c:pt>
                <c:pt idx="687">
                  <c:v>-0,02905494</c:v>
                </c:pt>
                <c:pt idx="688">
                  <c:v>-0,02895494</c:v>
                </c:pt>
                <c:pt idx="689">
                  <c:v>-0,02885494</c:v>
                </c:pt>
                <c:pt idx="690">
                  <c:v>-0,02875494</c:v>
                </c:pt>
                <c:pt idx="691">
                  <c:v>-0,02865494</c:v>
                </c:pt>
                <c:pt idx="692">
                  <c:v>-0,02855494</c:v>
                </c:pt>
                <c:pt idx="693">
                  <c:v>-0,02845494</c:v>
                </c:pt>
                <c:pt idx="694">
                  <c:v>-0,02835494</c:v>
                </c:pt>
                <c:pt idx="695">
                  <c:v>-0,02825494</c:v>
                </c:pt>
                <c:pt idx="696">
                  <c:v>-0,02815494</c:v>
                </c:pt>
                <c:pt idx="697">
                  <c:v>-0,02805494</c:v>
                </c:pt>
                <c:pt idx="698">
                  <c:v>-0,02795494</c:v>
                </c:pt>
                <c:pt idx="699">
                  <c:v>-0,02785494</c:v>
                </c:pt>
                <c:pt idx="700">
                  <c:v>-0,02775494</c:v>
                </c:pt>
                <c:pt idx="701">
                  <c:v>-0,02765494</c:v>
                </c:pt>
                <c:pt idx="702">
                  <c:v>-0,02755494</c:v>
                </c:pt>
                <c:pt idx="703">
                  <c:v>-0,02745494</c:v>
                </c:pt>
                <c:pt idx="704">
                  <c:v>-0,02735494</c:v>
                </c:pt>
                <c:pt idx="705">
                  <c:v>-0,02725494</c:v>
                </c:pt>
                <c:pt idx="706">
                  <c:v>-0,02715494</c:v>
                </c:pt>
                <c:pt idx="707">
                  <c:v>-0,02705494</c:v>
                </c:pt>
                <c:pt idx="708">
                  <c:v>-0,02695494</c:v>
                </c:pt>
                <c:pt idx="709">
                  <c:v>-0,02685494</c:v>
                </c:pt>
                <c:pt idx="710">
                  <c:v>-0,02675494</c:v>
                </c:pt>
                <c:pt idx="711">
                  <c:v>-0,02665494</c:v>
                </c:pt>
                <c:pt idx="712">
                  <c:v>-0,02655494</c:v>
                </c:pt>
                <c:pt idx="713">
                  <c:v>-0,02645494</c:v>
                </c:pt>
                <c:pt idx="714">
                  <c:v>-0,02635494</c:v>
                </c:pt>
                <c:pt idx="715">
                  <c:v>-0,02625494</c:v>
                </c:pt>
                <c:pt idx="716">
                  <c:v>-0,02615494</c:v>
                </c:pt>
                <c:pt idx="717">
                  <c:v>-0,02605494</c:v>
                </c:pt>
                <c:pt idx="718">
                  <c:v>-0,02595494</c:v>
                </c:pt>
                <c:pt idx="719">
                  <c:v>-0,02585494</c:v>
                </c:pt>
                <c:pt idx="720">
                  <c:v>-0,02575494</c:v>
                </c:pt>
                <c:pt idx="721">
                  <c:v>-0,02565494</c:v>
                </c:pt>
                <c:pt idx="722">
                  <c:v>-0,02555494</c:v>
                </c:pt>
                <c:pt idx="723">
                  <c:v>-0,02545494</c:v>
                </c:pt>
                <c:pt idx="724">
                  <c:v>-0,02535494</c:v>
                </c:pt>
                <c:pt idx="725">
                  <c:v>-0,02525494</c:v>
                </c:pt>
                <c:pt idx="726">
                  <c:v>-0,02515494</c:v>
                </c:pt>
                <c:pt idx="727">
                  <c:v>-0,02505494</c:v>
                </c:pt>
                <c:pt idx="728">
                  <c:v>-0,02495494</c:v>
                </c:pt>
                <c:pt idx="729">
                  <c:v>-0,02485494</c:v>
                </c:pt>
                <c:pt idx="730">
                  <c:v>-0,02475494</c:v>
                </c:pt>
                <c:pt idx="731">
                  <c:v>-0,02465494</c:v>
                </c:pt>
                <c:pt idx="732">
                  <c:v>-0,02455494</c:v>
                </c:pt>
                <c:pt idx="733">
                  <c:v>-0,02445494</c:v>
                </c:pt>
                <c:pt idx="734">
                  <c:v>-0,02435494</c:v>
                </c:pt>
                <c:pt idx="735">
                  <c:v>-0,02425494</c:v>
                </c:pt>
                <c:pt idx="736">
                  <c:v>-0,02415494</c:v>
                </c:pt>
                <c:pt idx="737">
                  <c:v>-0,02405494</c:v>
                </c:pt>
                <c:pt idx="738">
                  <c:v>-0,02395494</c:v>
                </c:pt>
                <c:pt idx="739">
                  <c:v>-0,02385494</c:v>
                </c:pt>
                <c:pt idx="740">
                  <c:v>-0,02375494</c:v>
                </c:pt>
                <c:pt idx="741">
                  <c:v>-0,02365494</c:v>
                </c:pt>
                <c:pt idx="742">
                  <c:v>-0,02355494</c:v>
                </c:pt>
                <c:pt idx="743">
                  <c:v>-0,02345494</c:v>
                </c:pt>
                <c:pt idx="744">
                  <c:v>-0,02335494</c:v>
                </c:pt>
                <c:pt idx="745">
                  <c:v>-0,02325494</c:v>
                </c:pt>
                <c:pt idx="746">
                  <c:v>-0,02315494</c:v>
                </c:pt>
                <c:pt idx="747">
                  <c:v>-0,02305494</c:v>
                </c:pt>
                <c:pt idx="748">
                  <c:v>-0,02295494</c:v>
                </c:pt>
                <c:pt idx="749">
                  <c:v>-0,02285494</c:v>
                </c:pt>
                <c:pt idx="750">
                  <c:v>-0,02275494</c:v>
                </c:pt>
                <c:pt idx="751">
                  <c:v>-0,02265494</c:v>
                </c:pt>
                <c:pt idx="752">
                  <c:v>-0,02255494</c:v>
                </c:pt>
                <c:pt idx="753">
                  <c:v>-0,02245494</c:v>
                </c:pt>
                <c:pt idx="754">
                  <c:v>-0,02235494</c:v>
                </c:pt>
                <c:pt idx="755">
                  <c:v>-0,02225494</c:v>
                </c:pt>
                <c:pt idx="756">
                  <c:v>-0,02215494</c:v>
                </c:pt>
                <c:pt idx="757">
                  <c:v>-0,02205494</c:v>
                </c:pt>
                <c:pt idx="758">
                  <c:v>-0,02195494</c:v>
                </c:pt>
                <c:pt idx="759">
                  <c:v>-0,02185494</c:v>
                </c:pt>
                <c:pt idx="760">
                  <c:v>-0,02175494</c:v>
                </c:pt>
                <c:pt idx="761">
                  <c:v>-0,02165494</c:v>
                </c:pt>
                <c:pt idx="762">
                  <c:v>-0,02155494</c:v>
                </c:pt>
                <c:pt idx="763">
                  <c:v>-0,02145494</c:v>
                </c:pt>
                <c:pt idx="764">
                  <c:v>-0,02135494</c:v>
                </c:pt>
                <c:pt idx="765">
                  <c:v>-0,02125494</c:v>
                </c:pt>
                <c:pt idx="766">
                  <c:v>-0,02115494</c:v>
                </c:pt>
                <c:pt idx="767">
                  <c:v>-0,02105494</c:v>
                </c:pt>
                <c:pt idx="768">
                  <c:v>-0,02095494</c:v>
                </c:pt>
                <c:pt idx="769">
                  <c:v>-0,02085494</c:v>
                </c:pt>
                <c:pt idx="770">
                  <c:v>-0,02075494</c:v>
                </c:pt>
                <c:pt idx="771">
                  <c:v>-0,02065494</c:v>
                </c:pt>
                <c:pt idx="772">
                  <c:v>-0,02055494</c:v>
                </c:pt>
                <c:pt idx="773">
                  <c:v>-0,02045494</c:v>
                </c:pt>
                <c:pt idx="774">
                  <c:v>-0,02035494</c:v>
                </c:pt>
                <c:pt idx="775">
                  <c:v>-0,02025494</c:v>
                </c:pt>
                <c:pt idx="776">
                  <c:v>-0,02015494</c:v>
                </c:pt>
                <c:pt idx="777">
                  <c:v>-0,02005494</c:v>
                </c:pt>
                <c:pt idx="778">
                  <c:v>-0,01995494</c:v>
                </c:pt>
                <c:pt idx="779">
                  <c:v>-0,01985494</c:v>
                </c:pt>
                <c:pt idx="780">
                  <c:v>-0,01975494</c:v>
                </c:pt>
                <c:pt idx="781">
                  <c:v>-0,01965494</c:v>
                </c:pt>
                <c:pt idx="782">
                  <c:v>-0,01955494</c:v>
                </c:pt>
                <c:pt idx="783">
                  <c:v>-0,01945494</c:v>
                </c:pt>
                <c:pt idx="784">
                  <c:v>-0,01935494</c:v>
                </c:pt>
                <c:pt idx="785">
                  <c:v>-0,01925494</c:v>
                </c:pt>
                <c:pt idx="786">
                  <c:v>-0,01915494</c:v>
                </c:pt>
                <c:pt idx="787">
                  <c:v>-0,01905494</c:v>
                </c:pt>
                <c:pt idx="788">
                  <c:v>-0,01895494</c:v>
                </c:pt>
                <c:pt idx="789">
                  <c:v>-0,01885494</c:v>
                </c:pt>
                <c:pt idx="790">
                  <c:v>-0,01875494</c:v>
                </c:pt>
                <c:pt idx="791">
                  <c:v>-0,01865494</c:v>
                </c:pt>
                <c:pt idx="792">
                  <c:v>-0,01855494</c:v>
                </c:pt>
                <c:pt idx="793">
                  <c:v>-0,01845494</c:v>
                </c:pt>
                <c:pt idx="794">
                  <c:v>-0,01835494</c:v>
                </c:pt>
                <c:pt idx="795">
                  <c:v>-0,01825494</c:v>
                </c:pt>
                <c:pt idx="796">
                  <c:v>-0,01815494</c:v>
                </c:pt>
                <c:pt idx="797">
                  <c:v>-0,01805494</c:v>
                </c:pt>
                <c:pt idx="798">
                  <c:v>-0,01795494</c:v>
                </c:pt>
                <c:pt idx="799">
                  <c:v>-0,01785494</c:v>
                </c:pt>
                <c:pt idx="800">
                  <c:v>-0,01775494</c:v>
                </c:pt>
                <c:pt idx="801">
                  <c:v>-0,01765494</c:v>
                </c:pt>
                <c:pt idx="802">
                  <c:v>-0,01755494</c:v>
                </c:pt>
                <c:pt idx="803">
                  <c:v>-0,01745494</c:v>
                </c:pt>
                <c:pt idx="804">
                  <c:v>-0,01735494</c:v>
                </c:pt>
                <c:pt idx="805">
                  <c:v>-0,01725494</c:v>
                </c:pt>
                <c:pt idx="806">
                  <c:v>-0,01715494</c:v>
                </c:pt>
                <c:pt idx="807">
                  <c:v>-0,01705494</c:v>
                </c:pt>
                <c:pt idx="808">
                  <c:v>-0,01695494</c:v>
                </c:pt>
                <c:pt idx="809">
                  <c:v>-0,01685494</c:v>
                </c:pt>
                <c:pt idx="810">
                  <c:v>-0,01675494</c:v>
                </c:pt>
                <c:pt idx="811">
                  <c:v>-0,01665494</c:v>
                </c:pt>
                <c:pt idx="812">
                  <c:v>-0,01655494</c:v>
                </c:pt>
                <c:pt idx="813">
                  <c:v>-0,01645494</c:v>
                </c:pt>
                <c:pt idx="814">
                  <c:v>-0,01635494</c:v>
                </c:pt>
                <c:pt idx="815">
                  <c:v>-0,01625494</c:v>
                </c:pt>
                <c:pt idx="816">
                  <c:v>-0,01615494</c:v>
                </c:pt>
                <c:pt idx="817">
                  <c:v>-0,01605494</c:v>
                </c:pt>
                <c:pt idx="818">
                  <c:v>-0,01595494</c:v>
                </c:pt>
                <c:pt idx="819">
                  <c:v>-0,01585494</c:v>
                </c:pt>
                <c:pt idx="820">
                  <c:v>-0,01575494</c:v>
                </c:pt>
                <c:pt idx="821">
                  <c:v>-0,01565494</c:v>
                </c:pt>
                <c:pt idx="822">
                  <c:v>-0,01555494</c:v>
                </c:pt>
                <c:pt idx="823">
                  <c:v>-0,01545494</c:v>
                </c:pt>
                <c:pt idx="824">
                  <c:v>-0,01535494</c:v>
                </c:pt>
                <c:pt idx="825">
                  <c:v>-0,01525494</c:v>
                </c:pt>
                <c:pt idx="826">
                  <c:v>-0,01515494</c:v>
                </c:pt>
                <c:pt idx="827">
                  <c:v>-0,01505494</c:v>
                </c:pt>
                <c:pt idx="828">
                  <c:v>-0,01495494</c:v>
                </c:pt>
                <c:pt idx="829">
                  <c:v>-0,01485494</c:v>
                </c:pt>
                <c:pt idx="830">
                  <c:v>-0,01475494</c:v>
                </c:pt>
                <c:pt idx="831">
                  <c:v>-0,01465494</c:v>
                </c:pt>
                <c:pt idx="832">
                  <c:v>-0,01455494</c:v>
                </c:pt>
                <c:pt idx="833">
                  <c:v>-0,01445494</c:v>
                </c:pt>
                <c:pt idx="834">
                  <c:v>-0,01435494</c:v>
                </c:pt>
                <c:pt idx="835">
                  <c:v>-0,01425494</c:v>
                </c:pt>
                <c:pt idx="836">
                  <c:v>-0,01415494</c:v>
                </c:pt>
                <c:pt idx="837">
                  <c:v>-0,01405494</c:v>
                </c:pt>
                <c:pt idx="838">
                  <c:v>-0,01395494</c:v>
                </c:pt>
                <c:pt idx="839">
                  <c:v>-0,01385494</c:v>
                </c:pt>
                <c:pt idx="840">
                  <c:v>-0,01375494</c:v>
                </c:pt>
                <c:pt idx="841">
                  <c:v>-0,01365494</c:v>
                </c:pt>
                <c:pt idx="842">
                  <c:v>-0,01355494</c:v>
                </c:pt>
                <c:pt idx="843">
                  <c:v>-0,01345494</c:v>
                </c:pt>
                <c:pt idx="844">
                  <c:v>-0,01335494</c:v>
                </c:pt>
                <c:pt idx="845">
                  <c:v>-0,01325494</c:v>
                </c:pt>
                <c:pt idx="846">
                  <c:v>-0,01315494</c:v>
                </c:pt>
                <c:pt idx="847">
                  <c:v>-0,01305494</c:v>
                </c:pt>
                <c:pt idx="848">
                  <c:v>-0,01295494</c:v>
                </c:pt>
                <c:pt idx="849">
                  <c:v>-0,01285494</c:v>
                </c:pt>
                <c:pt idx="850">
                  <c:v>-0,01275494</c:v>
                </c:pt>
                <c:pt idx="851">
                  <c:v>-0,01265494</c:v>
                </c:pt>
                <c:pt idx="852">
                  <c:v>-0,01255494</c:v>
                </c:pt>
                <c:pt idx="853">
                  <c:v>-0,01245494</c:v>
                </c:pt>
                <c:pt idx="854">
                  <c:v>-0,01235494</c:v>
                </c:pt>
                <c:pt idx="855">
                  <c:v>-0,01225494</c:v>
                </c:pt>
                <c:pt idx="856">
                  <c:v>-0,01215494</c:v>
                </c:pt>
                <c:pt idx="857">
                  <c:v>-0,01205494</c:v>
                </c:pt>
                <c:pt idx="858">
                  <c:v>-0,01195494</c:v>
                </c:pt>
                <c:pt idx="859">
                  <c:v>-0,01185494</c:v>
                </c:pt>
                <c:pt idx="860">
                  <c:v>-0,01175494</c:v>
                </c:pt>
                <c:pt idx="861">
                  <c:v>-0,01165494</c:v>
                </c:pt>
                <c:pt idx="862">
                  <c:v>-0,01155494</c:v>
                </c:pt>
                <c:pt idx="863">
                  <c:v>-0,01145494</c:v>
                </c:pt>
                <c:pt idx="864">
                  <c:v>-0,01135494</c:v>
                </c:pt>
                <c:pt idx="865">
                  <c:v>-0,01125494</c:v>
                </c:pt>
                <c:pt idx="866">
                  <c:v>-0,01115494</c:v>
                </c:pt>
                <c:pt idx="867">
                  <c:v>-0,01105494</c:v>
                </c:pt>
                <c:pt idx="868">
                  <c:v>-0,01095494</c:v>
                </c:pt>
                <c:pt idx="869">
                  <c:v>-0,01085494</c:v>
                </c:pt>
                <c:pt idx="870">
                  <c:v>-0,01075494</c:v>
                </c:pt>
                <c:pt idx="871">
                  <c:v>-0,01065494</c:v>
                </c:pt>
                <c:pt idx="872">
                  <c:v>-0,01055494</c:v>
                </c:pt>
                <c:pt idx="873">
                  <c:v>-0,01045494</c:v>
                </c:pt>
                <c:pt idx="874">
                  <c:v>-0,01035494</c:v>
                </c:pt>
                <c:pt idx="875">
                  <c:v>-0,01025494</c:v>
                </c:pt>
                <c:pt idx="876">
                  <c:v>-0,01015494</c:v>
                </c:pt>
                <c:pt idx="877">
                  <c:v>-0,01005494</c:v>
                </c:pt>
                <c:pt idx="878">
                  <c:v>-0,00995494</c:v>
                </c:pt>
                <c:pt idx="879">
                  <c:v>-0,00985494</c:v>
                </c:pt>
                <c:pt idx="880">
                  <c:v>-0,00975494</c:v>
                </c:pt>
                <c:pt idx="881">
                  <c:v>-0,00965494</c:v>
                </c:pt>
                <c:pt idx="882">
                  <c:v>-0,00955494</c:v>
                </c:pt>
                <c:pt idx="883">
                  <c:v>-0,00945494</c:v>
                </c:pt>
                <c:pt idx="884">
                  <c:v>-0,00935494</c:v>
                </c:pt>
                <c:pt idx="885">
                  <c:v>-0,00925494</c:v>
                </c:pt>
                <c:pt idx="886">
                  <c:v>-0,00915494</c:v>
                </c:pt>
                <c:pt idx="887">
                  <c:v>-0,00905494</c:v>
                </c:pt>
                <c:pt idx="888">
                  <c:v>-0,00895494</c:v>
                </c:pt>
                <c:pt idx="889">
                  <c:v>-0,00885494</c:v>
                </c:pt>
                <c:pt idx="890">
                  <c:v>-0,00875494</c:v>
                </c:pt>
                <c:pt idx="891">
                  <c:v>-0,00865494</c:v>
                </c:pt>
                <c:pt idx="892">
                  <c:v>-0,00855494</c:v>
                </c:pt>
                <c:pt idx="893">
                  <c:v>-0,00845494</c:v>
                </c:pt>
                <c:pt idx="894">
                  <c:v>-0,00835494</c:v>
                </c:pt>
                <c:pt idx="895">
                  <c:v>-0,00825494</c:v>
                </c:pt>
                <c:pt idx="896">
                  <c:v>-0,00815494</c:v>
                </c:pt>
                <c:pt idx="897">
                  <c:v>-0,00805494</c:v>
                </c:pt>
                <c:pt idx="898">
                  <c:v>-0,00795494</c:v>
                </c:pt>
                <c:pt idx="899">
                  <c:v>-0,00785494</c:v>
                </c:pt>
                <c:pt idx="900">
                  <c:v>-0,00775494</c:v>
                </c:pt>
                <c:pt idx="901">
                  <c:v>-0,00765494</c:v>
                </c:pt>
                <c:pt idx="902">
                  <c:v>-0,00755494</c:v>
                </c:pt>
                <c:pt idx="903">
                  <c:v>-0,00745494</c:v>
                </c:pt>
                <c:pt idx="904">
                  <c:v>-0,00735494</c:v>
                </c:pt>
                <c:pt idx="905">
                  <c:v>-0,00725494</c:v>
                </c:pt>
                <c:pt idx="906">
                  <c:v>-0,00715494</c:v>
                </c:pt>
                <c:pt idx="907">
                  <c:v>-0,00705494</c:v>
                </c:pt>
                <c:pt idx="908">
                  <c:v>-0,00695494</c:v>
                </c:pt>
                <c:pt idx="909">
                  <c:v>-0,00685494</c:v>
                </c:pt>
                <c:pt idx="910">
                  <c:v>-0,00675494</c:v>
                </c:pt>
                <c:pt idx="911">
                  <c:v>-0,00665494</c:v>
                </c:pt>
                <c:pt idx="912">
                  <c:v>-0,00655494</c:v>
                </c:pt>
                <c:pt idx="913">
                  <c:v>-0,00645494</c:v>
                </c:pt>
                <c:pt idx="914">
                  <c:v>-0,00635494</c:v>
                </c:pt>
                <c:pt idx="915">
                  <c:v>-0,00625494</c:v>
                </c:pt>
                <c:pt idx="916">
                  <c:v>-0,00615494</c:v>
                </c:pt>
                <c:pt idx="917">
                  <c:v>-0,00605494</c:v>
                </c:pt>
                <c:pt idx="918">
                  <c:v>-0,00595494</c:v>
                </c:pt>
                <c:pt idx="919">
                  <c:v>-0,00585494</c:v>
                </c:pt>
                <c:pt idx="920">
                  <c:v>-0,00575494</c:v>
                </c:pt>
                <c:pt idx="921">
                  <c:v>-0,00565494</c:v>
                </c:pt>
                <c:pt idx="922">
                  <c:v>-0,00555494</c:v>
                </c:pt>
                <c:pt idx="923">
                  <c:v>-0,00545494</c:v>
                </c:pt>
                <c:pt idx="924">
                  <c:v>-0,00535494</c:v>
                </c:pt>
                <c:pt idx="925">
                  <c:v>-0,00525494</c:v>
                </c:pt>
                <c:pt idx="926">
                  <c:v>-0,00515494</c:v>
                </c:pt>
                <c:pt idx="927">
                  <c:v>-0,00505494</c:v>
                </c:pt>
                <c:pt idx="928">
                  <c:v>-0,00495494</c:v>
                </c:pt>
                <c:pt idx="929">
                  <c:v>-0,00485494</c:v>
                </c:pt>
                <c:pt idx="930">
                  <c:v>-0,00475494</c:v>
                </c:pt>
                <c:pt idx="931">
                  <c:v>-0,00465494</c:v>
                </c:pt>
                <c:pt idx="932">
                  <c:v>-0,00455494</c:v>
                </c:pt>
                <c:pt idx="933">
                  <c:v>-0,00445494</c:v>
                </c:pt>
                <c:pt idx="934">
                  <c:v>-0,00435494</c:v>
                </c:pt>
                <c:pt idx="935">
                  <c:v>-0,00425494</c:v>
                </c:pt>
                <c:pt idx="936">
                  <c:v>-0,00415494</c:v>
                </c:pt>
                <c:pt idx="937">
                  <c:v>-0,00405494</c:v>
                </c:pt>
                <c:pt idx="938">
                  <c:v>-0,00395494</c:v>
                </c:pt>
                <c:pt idx="939">
                  <c:v>-0,00385494</c:v>
                </c:pt>
                <c:pt idx="940">
                  <c:v>-0,00375494</c:v>
                </c:pt>
                <c:pt idx="941">
                  <c:v>-0,00365494</c:v>
                </c:pt>
                <c:pt idx="942">
                  <c:v>-0,00355494</c:v>
                </c:pt>
                <c:pt idx="943">
                  <c:v>-0,00345494</c:v>
                </c:pt>
                <c:pt idx="944">
                  <c:v>-0,00335494</c:v>
                </c:pt>
                <c:pt idx="945">
                  <c:v>-0,00325494</c:v>
                </c:pt>
                <c:pt idx="946">
                  <c:v>-0,00315494</c:v>
                </c:pt>
                <c:pt idx="947">
                  <c:v>-0,00305494</c:v>
                </c:pt>
                <c:pt idx="948">
                  <c:v>-0,00295494</c:v>
                </c:pt>
                <c:pt idx="949">
                  <c:v>-0,00285494</c:v>
                </c:pt>
                <c:pt idx="950">
                  <c:v>-0,00275494</c:v>
                </c:pt>
                <c:pt idx="951">
                  <c:v>-0,00265494</c:v>
                </c:pt>
                <c:pt idx="952">
                  <c:v>-0,00255494</c:v>
                </c:pt>
                <c:pt idx="953">
                  <c:v>-0,00245494</c:v>
                </c:pt>
                <c:pt idx="954">
                  <c:v>-0,00235494</c:v>
                </c:pt>
                <c:pt idx="955">
                  <c:v>-0,00225494</c:v>
                </c:pt>
                <c:pt idx="956">
                  <c:v>-0,00215494</c:v>
                </c:pt>
                <c:pt idx="957">
                  <c:v>-0,00205494</c:v>
                </c:pt>
                <c:pt idx="958">
                  <c:v>-0,00195494</c:v>
                </c:pt>
                <c:pt idx="959">
                  <c:v>-0,00185494</c:v>
                </c:pt>
                <c:pt idx="960">
                  <c:v>-0,00175494</c:v>
                </c:pt>
                <c:pt idx="961">
                  <c:v>-0,00165494</c:v>
                </c:pt>
                <c:pt idx="962">
                  <c:v>-0,00155494</c:v>
                </c:pt>
                <c:pt idx="963">
                  <c:v>-0,00145494</c:v>
                </c:pt>
                <c:pt idx="964">
                  <c:v>-0,00135494</c:v>
                </c:pt>
                <c:pt idx="965">
                  <c:v>-0,00125494</c:v>
                </c:pt>
                <c:pt idx="966">
                  <c:v>-0,00115494</c:v>
                </c:pt>
                <c:pt idx="967">
                  <c:v>-0,00105494</c:v>
                </c:pt>
                <c:pt idx="968">
                  <c:v>-0,00095494</c:v>
                </c:pt>
                <c:pt idx="969">
                  <c:v>-0,00085494</c:v>
                </c:pt>
                <c:pt idx="970">
                  <c:v>-0,00075494</c:v>
                </c:pt>
                <c:pt idx="971">
                  <c:v>-0,00065494</c:v>
                </c:pt>
                <c:pt idx="972">
                  <c:v>-0,00055494</c:v>
                </c:pt>
                <c:pt idx="973">
                  <c:v>-0,00045494</c:v>
                </c:pt>
                <c:pt idx="974">
                  <c:v>-0,00035494</c:v>
                </c:pt>
                <c:pt idx="975">
                  <c:v>-0,00025494</c:v>
                </c:pt>
                <c:pt idx="976">
                  <c:v>-0,00015494</c:v>
                </c:pt>
                <c:pt idx="977">
                  <c:v>-5,49399E-05</c:v>
                </c:pt>
                <c:pt idx="978">
                  <c:v>4,50601E-05</c:v>
                </c:pt>
                <c:pt idx="979">
                  <c:v>0,00014506</c:v>
                </c:pt>
                <c:pt idx="980">
                  <c:v>0,00024506</c:v>
                </c:pt>
                <c:pt idx="981">
                  <c:v>0,00034506</c:v>
                </c:pt>
                <c:pt idx="982">
                  <c:v>0,00044506</c:v>
                </c:pt>
                <c:pt idx="983">
                  <c:v>0,00054506</c:v>
                </c:pt>
                <c:pt idx="984">
                  <c:v>0,00064506</c:v>
                </c:pt>
                <c:pt idx="985">
                  <c:v>0,00074506</c:v>
                </c:pt>
                <c:pt idx="986">
                  <c:v>0,00084506</c:v>
                </c:pt>
                <c:pt idx="987">
                  <c:v>0,00094506</c:v>
                </c:pt>
                <c:pt idx="988">
                  <c:v>0,00104506</c:v>
                </c:pt>
                <c:pt idx="989">
                  <c:v>0,00114506</c:v>
                </c:pt>
                <c:pt idx="990">
                  <c:v>0,00124506</c:v>
                </c:pt>
                <c:pt idx="991">
                  <c:v>0,00134506</c:v>
                </c:pt>
                <c:pt idx="992">
                  <c:v>0,00144506</c:v>
                </c:pt>
                <c:pt idx="993">
                  <c:v>0,00154506</c:v>
                </c:pt>
                <c:pt idx="994">
                  <c:v>0,00164506</c:v>
                </c:pt>
                <c:pt idx="995">
                  <c:v>0,00174506</c:v>
                </c:pt>
                <c:pt idx="996">
                  <c:v>0,00184506</c:v>
                </c:pt>
                <c:pt idx="997">
                  <c:v>0,00194506</c:v>
                </c:pt>
                <c:pt idx="998">
                  <c:v>0,00204506</c:v>
                </c:pt>
                <c:pt idx="999">
                  <c:v>0,00214506</c:v>
                </c:pt>
                <c:pt idx="1000">
                  <c:v>0,00224506</c:v>
                </c:pt>
                <c:pt idx="1001">
                  <c:v>0,00234506</c:v>
                </c:pt>
                <c:pt idx="1002">
                  <c:v>0,00244506</c:v>
                </c:pt>
                <c:pt idx="1003">
                  <c:v>0,00254506</c:v>
                </c:pt>
                <c:pt idx="1004">
                  <c:v>0,00264506</c:v>
                </c:pt>
                <c:pt idx="1005">
                  <c:v>0,00274506</c:v>
                </c:pt>
                <c:pt idx="1006">
                  <c:v>0,00284506</c:v>
                </c:pt>
                <c:pt idx="1007">
                  <c:v>0,00294506</c:v>
                </c:pt>
                <c:pt idx="1008">
                  <c:v>0,00304506</c:v>
                </c:pt>
                <c:pt idx="1009">
                  <c:v>0,00314506</c:v>
                </c:pt>
                <c:pt idx="1010">
                  <c:v>0,00324506</c:v>
                </c:pt>
                <c:pt idx="1011">
                  <c:v>0,00334506</c:v>
                </c:pt>
                <c:pt idx="1012">
                  <c:v>0,00344506</c:v>
                </c:pt>
                <c:pt idx="1013">
                  <c:v>0,00354506</c:v>
                </c:pt>
                <c:pt idx="1014">
                  <c:v>0,00364506</c:v>
                </c:pt>
                <c:pt idx="1015">
                  <c:v>0,00374506</c:v>
                </c:pt>
                <c:pt idx="1016">
                  <c:v>0,00384506</c:v>
                </c:pt>
                <c:pt idx="1017">
                  <c:v>0,00394506</c:v>
                </c:pt>
                <c:pt idx="1018">
                  <c:v>0,00404506</c:v>
                </c:pt>
                <c:pt idx="1019">
                  <c:v>0,00414506</c:v>
                </c:pt>
                <c:pt idx="1020">
                  <c:v>0,00424506</c:v>
                </c:pt>
                <c:pt idx="1021">
                  <c:v>0,00434506</c:v>
                </c:pt>
                <c:pt idx="1022">
                  <c:v>0,00444506</c:v>
                </c:pt>
                <c:pt idx="1023">
                  <c:v>0,00454506</c:v>
                </c:pt>
                <c:pt idx="1024">
                  <c:v>0,00464506</c:v>
                </c:pt>
              </c:strCache>
            </c:strRef>
          </c:xVal>
          <c:yVal>
            <c:numRef>
              <c:f>Estimation_1516!$K:$K</c:f>
              <c:numCache>
                <c:formatCode>General</c:formatCode>
                <c:ptCount val="1048576"/>
                <c:pt idx="1">
                  <c:v>0</c:v>
                </c:pt>
                <c:pt idx="2" formatCode="m/d/yyyy">
                  <c:v>0.01</c:v>
                </c:pt>
                <c:pt idx="3" formatCode="m/d/yyyy">
                  <c:v>0.01</c:v>
                </c:pt>
                <c:pt idx="4" formatCode="m/d/yyyy">
                  <c:v>0.01</c:v>
                </c:pt>
                <c:pt idx="5" formatCode="m/d/yyyy">
                  <c:v>0.01</c:v>
                </c:pt>
                <c:pt idx="6" formatCode="m/d/yyyy">
                  <c:v>0.01</c:v>
                </c:pt>
                <c:pt idx="7" formatCode="m/d/yyyy">
                  <c:v>0.01</c:v>
                </c:pt>
                <c:pt idx="8" formatCode="m/d/yyyy">
                  <c:v>0.01</c:v>
                </c:pt>
                <c:pt idx="9" formatCode="m/d/yyyy">
                  <c:v>0.01</c:v>
                </c:pt>
                <c:pt idx="10" formatCode="m/d/yyyy">
                  <c:v>0.01</c:v>
                </c:pt>
                <c:pt idx="11" formatCode="m/d/yyyy">
                  <c:v>0.01</c:v>
                </c:pt>
                <c:pt idx="12" formatCode="m/d/yyyy">
                  <c:v>0.01</c:v>
                </c:pt>
                <c:pt idx="13" formatCode="m/d/yyyy">
                  <c:v>0.01</c:v>
                </c:pt>
                <c:pt idx="14" formatCode="m/d/yyyy">
                  <c:v>0.01</c:v>
                </c:pt>
                <c:pt idx="15" formatCode="m/d/yyyy">
                  <c:v>0.01</c:v>
                </c:pt>
                <c:pt idx="16" formatCode="m/d/yyyy">
                  <c:v>0.01</c:v>
                </c:pt>
                <c:pt idx="17" formatCode="m/d/yyyy">
                  <c:v>0.01</c:v>
                </c:pt>
                <c:pt idx="18" formatCode="m/d/yyyy">
                  <c:v>0.01</c:v>
                </c:pt>
                <c:pt idx="19" formatCode="m/d/yyyy">
                  <c:v>0.01</c:v>
                </c:pt>
                <c:pt idx="20" formatCode="m/d/yyyy">
                  <c:v>0.01</c:v>
                </c:pt>
                <c:pt idx="21" formatCode="m/d/yyyy">
                  <c:v>0.01</c:v>
                </c:pt>
                <c:pt idx="22" formatCode="m/d/yyyy">
                  <c:v>0.01</c:v>
                </c:pt>
                <c:pt idx="23" formatCode="m/d/yyyy">
                  <c:v>0.01</c:v>
                </c:pt>
                <c:pt idx="24" formatCode="m/d/yyyy">
                  <c:v>0.01</c:v>
                </c:pt>
                <c:pt idx="25" formatCode="m/d/yyyy">
                  <c:v>0.01</c:v>
                </c:pt>
                <c:pt idx="26" formatCode="m/d/yyyy">
                  <c:v>0.01</c:v>
                </c:pt>
                <c:pt idx="27" formatCode="m/d/yyyy">
                  <c:v>0.01</c:v>
                </c:pt>
                <c:pt idx="28" formatCode="m/d/yyyy">
                  <c:v>0.01</c:v>
                </c:pt>
                <c:pt idx="29" formatCode="m/d/yyyy">
                  <c:v>0.01</c:v>
                </c:pt>
                <c:pt idx="30" formatCode="m/d/yyyy">
                  <c:v>0.01</c:v>
                </c:pt>
                <c:pt idx="31" formatCode="m/d/yyyy">
                  <c:v>0.01</c:v>
                </c:pt>
                <c:pt idx="32" formatCode="m/d/yyyy">
                  <c:v>0.01</c:v>
                </c:pt>
                <c:pt idx="33" formatCode="m/d/yyyy">
                  <c:v>0.01</c:v>
                </c:pt>
                <c:pt idx="34" formatCode="m/d/yyyy">
                  <c:v>0.01</c:v>
                </c:pt>
                <c:pt idx="35" formatCode="m/d/yyyy">
                  <c:v>0.01</c:v>
                </c:pt>
                <c:pt idx="36" formatCode="m/d/yyyy">
                  <c:v>0.01</c:v>
                </c:pt>
                <c:pt idx="37" formatCode="m/d/yyyy">
                  <c:v>0.01</c:v>
                </c:pt>
                <c:pt idx="38" formatCode="m/d/yyyy">
                  <c:v>0.01</c:v>
                </c:pt>
                <c:pt idx="39" formatCode="m/d/yyyy">
                  <c:v>0.01</c:v>
                </c:pt>
                <c:pt idx="40" formatCode="m/d/yyyy">
                  <c:v>0.01</c:v>
                </c:pt>
                <c:pt idx="41" formatCode="m/d/yyyy">
                  <c:v>0.01</c:v>
                </c:pt>
                <c:pt idx="42" formatCode="m/d/yyyy">
                  <c:v>0.01</c:v>
                </c:pt>
                <c:pt idx="43" formatCode="m/d/yyyy">
                  <c:v>0.01</c:v>
                </c:pt>
                <c:pt idx="44" formatCode="m/d/yyyy">
                  <c:v>0.01</c:v>
                </c:pt>
                <c:pt idx="45" formatCode="m/d/yyyy">
                  <c:v>0.01</c:v>
                </c:pt>
                <c:pt idx="46" formatCode="m/d/yyyy">
                  <c:v>0.01</c:v>
                </c:pt>
                <c:pt idx="47" formatCode="m/d/yyyy">
                  <c:v>0.01</c:v>
                </c:pt>
                <c:pt idx="48" formatCode="m/d/yyyy">
                  <c:v>0.01</c:v>
                </c:pt>
                <c:pt idx="49" formatCode="m/d/yyyy">
                  <c:v>0.01</c:v>
                </c:pt>
                <c:pt idx="50" formatCode="m/d/yyyy">
                  <c:v>0.01</c:v>
                </c:pt>
                <c:pt idx="51" formatCode="m/d/yyyy">
                  <c:v>0.01</c:v>
                </c:pt>
                <c:pt idx="52" formatCode="m/d/yyyy">
                  <c:v>0.01</c:v>
                </c:pt>
                <c:pt idx="53" formatCode="m/d/yyyy">
                  <c:v>0.01</c:v>
                </c:pt>
                <c:pt idx="54" formatCode="m/d/yyyy">
                  <c:v>0.01</c:v>
                </c:pt>
                <c:pt idx="55" formatCode="m/d/yyyy">
                  <c:v>0.01</c:v>
                </c:pt>
                <c:pt idx="56" formatCode="m/d/yyyy">
                  <c:v>0.01</c:v>
                </c:pt>
                <c:pt idx="57" formatCode="m/d/yyyy">
                  <c:v>0.01</c:v>
                </c:pt>
                <c:pt idx="58" formatCode="m/d/yyyy">
                  <c:v>0.01</c:v>
                </c:pt>
                <c:pt idx="59" formatCode="m/d/yyyy">
                  <c:v>0.01</c:v>
                </c:pt>
                <c:pt idx="60" formatCode="m/d/yyyy">
                  <c:v>0.01</c:v>
                </c:pt>
                <c:pt idx="61" formatCode="m/d/yyyy">
                  <c:v>0.01</c:v>
                </c:pt>
                <c:pt idx="62" formatCode="m/d/yyyy">
                  <c:v>0.01</c:v>
                </c:pt>
                <c:pt idx="63" formatCode="m/d/yyyy">
                  <c:v>0.01</c:v>
                </c:pt>
                <c:pt idx="64" formatCode="m/d/yyyy">
                  <c:v>0.01</c:v>
                </c:pt>
                <c:pt idx="65" formatCode="m/d/yyyy">
                  <c:v>0.01</c:v>
                </c:pt>
                <c:pt idx="66" formatCode="m/d/yyyy">
                  <c:v>0.01</c:v>
                </c:pt>
                <c:pt idx="67" formatCode="m/d/yyyy">
                  <c:v>0.01</c:v>
                </c:pt>
                <c:pt idx="68" formatCode="m/d/yyyy">
                  <c:v>0.01</c:v>
                </c:pt>
                <c:pt idx="69" formatCode="m/d/yyyy">
                  <c:v>0.01</c:v>
                </c:pt>
                <c:pt idx="70" formatCode="m/d/yyyy">
                  <c:v>0.01</c:v>
                </c:pt>
                <c:pt idx="71" formatCode="m/d/yyyy">
                  <c:v>0.01</c:v>
                </c:pt>
                <c:pt idx="72" formatCode="m/d/yyyy">
                  <c:v>0.01</c:v>
                </c:pt>
                <c:pt idx="73" formatCode="m/d/yyyy">
                  <c:v>0.01</c:v>
                </c:pt>
                <c:pt idx="74" formatCode="m/d/yyyy">
                  <c:v>0.01</c:v>
                </c:pt>
                <c:pt idx="75" formatCode="m/d/yyyy">
                  <c:v>0.01</c:v>
                </c:pt>
                <c:pt idx="76" formatCode="m/d/yyyy">
                  <c:v>0.01</c:v>
                </c:pt>
                <c:pt idx="77" formatCode="m/d/yyyy">
                  <c:v>0.01</c:v>
                </c:pt>
                <c:pt idx="78" formatCode="m/d/yyyy">
                  <c:v>0.01</c:v>
                </c:pt>
                <c:pt idx="79" formatCode="m/d/yyyy">
                  <c:v>0.01</c:v>
                </c:pt>
                <c:pt idx="80" formatCode="m/d/yyyy">
                  <c:v>0.01</c:v>
                </c:pt>
                <c:pt idx="81" formatCode="m/d/yyyy">
                  <c:v>0.01</c:v>
                </c:pt>
                <c:pt idx="82" formatCode="m/d/yyyy">
                  <c:v>0.01</c:v>
                </c:pt>
                <c:pt idx="83" formatCode="m/d/yyyy">
                  <c:v>0.01</c:v>
                </c:pt>
                <c:pt idx="84" formatCode="m/d/yyyy">
                  <c:v>0.01</c:v>
                </c:pt>
                <c:pt idx="85" formatCode="m/d/yyyy">
                  <c:v>0.01</c:v>
                </c:pt>
                <c:pt idx="86" formatCode="m/d/yyyy">
                  <c:v>0.01</c:v>
                </c:pt>
                <c:pt idx="87" formatCode="m/d/yyyy">
                  <c:v>0.01</c:v>
                </c:pt>
                <c:pt idx="88" formatCode="m/d/yyyy">
                  <c:v>0.01</c:v>
                </c:pt>
                <c:pt idx="89" formatCode="m/d/yyyy">
                  <c:v>0.01</c:v>
                </c:pt>
                <c:pt idx="90" formatCode="m/d/yyyy">
                  <c:v>0.01</c:v>
                </c:pt>
                <c:pt idx="91" formatCode="m/d/yyyy">
                  <c:v>0.01</c:v>
                </c:pt>
                <c:pt idx="92" formatCode="m/d/yyyy">
                  <c:v>0.01</c:v>
                </c:pt>
                <c:pt idx="93" formatCode="m/d/yyyy">
                  <c:v>0.01</c:v>
                </c:pt>
                <c:pt idx="94" formatCode="m/d/yyyy">
                  <c:v>0.01</c:v>
                </c:pt>
                <c:pt idx="95" formatCode="m/d/yyyy">
                  <c:v>0.01</c:v>
                </c:pt>
                <c:pt idx="96" formatCode="m/d/yyyy">
                  <c:v>0.01</c:v>
                </c:pt>
                <c:pt idx="97" formatCode="m/d/yyyy">
                  <c:v>0.01</c:v>
                </c:pt>
                <c:pt idx="98" formatCode="m/d/yyyy">
                  <c:v>0.01</c:v>
                </c:pt>
                <c:pt idx="99" formatCode="m/d/yyyy">
                  <c:v>0.01</c:v>
                </c:pt>
                <c:pt idx="100" formatCode="m/d/yyyy">
                  <c:v>0.01</c:v>
                </c:pt>
                <c:pt idx="101" formatCode="m/d/yyyy">
                  <c:v>0.01</c:v>
                </c:pt>
                <c:pt idx="102" formatCode="m/d/yyyy">
                  <c:v>0.01</c:v>
                </c:pt>
                <c:pt idx="103" formatCode="m/d/yyyy">
                  <c:v>0.01</c:v>
                </c:pt>
                <c:pt idx="104" formatCode="m/d/yyyy">
                  <c:v>0.01</c:v>
                </c:pt>
                <c:pt idx="105" formatCode="m/d/yyyy">
                  <c:v>0.01</c:v>
                </c:pt>
                <c:pt idx="106" formatCode="m/d/yyyy">
                  <c:v>0.01</c:v>
                </c:pt>
                <c:pt idx="107" formatCode="m/d/yyyy">
                  <c:v>0.01</c:v>
                </c:pt>
                <c:pt idx="108" formatCode="m/d/yyyy">
                  <c:v>0.01</c:v>
                </c:pt>
                <c:pt idx="109" formatCode="m/d/yyyy">
                  <c:v>0.01</c:v>
                </c:pt>
                <c:pt idx="110" formatCode="m/d/yyyy">
                  <c:v>0.01</c:v>
                </c:pt>
                <c:pt idx="111" formatCode="m/d/yyyy">
                  <c:v>0.01</c:v>
                </c:pt>
                <c:pt idx="112" formatCode="m/d/yyyy">
                  <c:v>0.01</c:v>
                </c:pt>
                <c:pt idx="113" formatCode="m/d/yyyy">
                  <c:v>0.01</c:v>
                </c:pt>
                <c:pt idx="114" formatCode="m/d/yyyy">
                  <c:v>0.01</c:v>
                </c:pt>
                <c:pt idx="115" formatCode="m/d/yyyy">
                  <c:v>0.01</c:v>
                </c:pt>
                <c:pt idx="116" formatCode="m/d/yyyy">
                  <c:v>0.01</c:v>
                </c:pt>
                <c:pt idx="117" formatCode="m/d/yyyy">
                  <c:v>0.01</c:v>
                </c:pt>
                <c:pt idx="118" formatCode="m/d/yyyy">
                  <c:v>0.01</c:v>
                </c:pt>
                <c:pt idx="119" formatCode="m/d/yyyy">
                  <c:v>0.01</c:v>
                </c:pt>
                <c:pt idx="120" formatCode="m/d/yyyy">
                  <c:v>0.01</c:v>
                </c:pt>
                <c:pt idx="121" formatCode="m/d/yyyy">
                  <c:v>0.01</c:v>
                </c:pt>
                <c:pt idx="122" formatCode="m/d/yyyy">
                  <c:v>0.01</c:v>
                </c:pt>
                <c:pt idx="123" formatCode="m/d/yyyy">
                  <c:v>0.01</c:v>
                </c:pt>
                <c:pt idx="124" formatCode="m/d/yyyy">
                  <c:v>0.01</c:v>
                </c:pt>
                <c:pt idx="125" formatCode="m/d/yyyy">
                  <c:v>0.01</c:v>
                </c:pt>
                <c:pt idx="126" formatCode="m/d/yyyy">
                  <c:v>0.01</c:v>
                </c:pt>
                <c:pt idx="127" formatCode="m/d/yyyy">
                  <c:v>0.01</c:v>
                </c:pt>
                <c:pt idx="128" formatCode="m/d/yyyy">
                  <c:v>0.01</c:v>
                </c:pt>
                <c:pt idx="129" formatCode="m/d/yyyy">
                  <c:v>0.01</c:v>
                </c:pt>
                <c:pt idx="130" formatCode="m/d/yyyy">
                  <c:v>0.01</c:v>
                </c:pt>
                <c:pt idx="131" formatCode="m/d/yyyy">
                  <c:v>0.01</c:v>
                </c:pt>
                <c:pt idx="132" formatCode="m/d/yyyy">
                  <c:v>0.01</c:v>
                </c:pt>
                <c:pt idx="133" formatCode="m/d/yyyy">
                  <c:v>0.01</c:v>
                </c:pt>
                <c:pt idx="134" formatCode="m/d/yyyy">
                  <c:v>0.01</c:v>
                </c:pt>
                <c:pt idx="135" formatCode="m/d/yyyy">
                  <c:v>0.01</c:v>
                </c:pt>
                <c:pt idx="136" formatCode="m/d/yyyy">
                  <c:v>0.01</c:v>
                </c:pt>
                <c:pt idx="137" formatCode="m/d/yyyy">
                  <c:v>0.01</c:v>
                </c:pt>
                <c:pt idx="138" formatCode="m/d/yyyy">
                  <c:v>0.01</c:v>
                </c:pt>
                <c:pt idx="139" formatCode="m/d/yyyy">
                  <c:v>0.01</c:v>
                </c:pt>
                <c:pt idx="140" formatCode="m/d/yyyy">
                  <c:v>0.01</c:v>
                </c:pt>
                <c:pt idx="141" formatCode="m/d/yyyy">
                  <c:v>0.01</c:v>
                </c:pt>
                <c:pt idx="142" formatCode="m/d/yyyy">
                  <c:v>0.01</c:v>
                </c:pt>
                <c:pt idx="143" formatCode="m/d/yyyy">
                  <c:v>0.01</c:v>
                </c:pt>
                <c:pt idx="144" formatCode="m/d/yyyy">
                  <c:v>0.01</c:v>
                </c:pt>
                <c:pt idx="145" formatCode="m/d/yyyy">
                  <c:v>0.01</c:v>
                </c:pt>
                <c:pt idx="146" formatCode="m/d/yyyy">
                  <c:v>0.01</c:v>
                </c:pt>
                <c:pt idx="147" formatCode="m/d/yyyy">
                  <c:v>0.01</c:v>
                </c:pt>
                <c:pt idx="148" formatCode="m/d/yyyy">
                  <c:v>0.01</c:v>
                </c:pt>
                <c:pt idx="149" formatCode="m/d/yyyy">
                  <c:v>0.01</c:v>
                </c:pt>
                <c:pt idx="150" formatCode="m/d/yyyy">
                  <c:v>0.01</c:v>
                </c:pt>
                <c:pt idx="151" formatCode="m/d/yyyy">
                  <c:v>0.01</c:v>
                </c:pt>
                <c:pt idx="152" formatCode="m/d/yyyy">
                  <c:v>0.01</c:v>
                </c:pt>
                <c:pt idx="153" formatCode="m/d/yyyy">
                  <c:v>0.01</c:v>
                </c:pt>
                <c:pt idx="154" formatCode="m/d/yyyy">
                  <c:v>0.01</c:v>
                </c:pt>
                <c:pt idx="155" formatCode="m/d/yyyy">
                  <c:v>0.01</c:v>
                </c:pt>
                <c:pt idx="156" formatCode="m/d/yyyy">
                  <c:v>0.01</c:v>
                </c:pt>
                <c:pt idx="157" formatCode="m/d/yyyy">
                  <c:v>0.01</c:v>
                </c:pt>
                <c:pt idx="158" formatCode="m/d/yyyy">
                  <c:v>0.01</c:v>
                </c:pt>
                <c:pt idx="159" formatCode="m/d/yyyy">
                  <c:v>0.01</c:v>
                </c:pt>
                <c:pt idx="160" formatCode="m/d/yyyy">
                  <c:v>0.01</c:v>
                </c:pt>
                <c:pt idx="161" formatCode="m/d/yyyy">
                  <c:v>0.01</c:v>
                </c:pt>
                <c:pt idx="162" formatCode="m/d/yyyy">
                  <c:v>0.01</c:v>
                </c:pt>
                <c:pt idx="163" formatCode="m/d/yyyy">
                  <c:v>0.01</c:v>
                </c:pt>
                <c:pt idx="164" formatCode="m/d/yyyy">
                  <c:v>0.01</c:v>
                </c:pt>
                <c:pt idx="165" formatCode="m/d/yyyy">
                  <c:v>0.01</c:v>
                </c:pt>
                <c:pt idx="166" formatCode="m/d/yyyy">
                  <c:v>0.01</c:v>
                </c:pt>
                <c:pt idx="167" formatCode="m/d/yyyy">
                  <c:v>0.01</c:v>
                </c:pt>
                <c:pt idx="168" formatCode="m/d/yyyy">
                  <c:v>0.01</c:v>
                </c:pt>
                <c:pt idx="169" formatCode="m/d/yyyy">
                  <c:v>0.01</c:v>
                </c:pt>
                <c:pt idx="170" formatCode="m/d/yyyy">
                  <c:v>0.01</c:v>
                </c:pt>
                <c:pt idx="171" formatCode="m/d/yyyy">
                  <c:v>0.01</c:v>
                </c:pt>
                <c:pt idx="172" formatCode="m/d/yyyy">
                  <c:v>0.01</c:v>
                </c:pt>
                <c:pt idx="173" formatCode="m/d/yyyy">
                  <c:v>0.01</c:v>
                </c:pt>
                <c:pt idx="174" formatCode="m/d/yyyy">
                  <c:v>0.01</c:v>
                </c:pt>
                <c:pt idx="175" formatCode="m/d/yyyy">
                  <c:v>0.01</c:v>
                </c:pt>
                <c:pt idx="176" formatCode="m/d/yyyy">
                  <c:v>0.01</c:v>
                </c:pt>
                <c:pt idx="177" formatCode="m/d/yyyy">
                  <c:v>0.01</c:v>
                </c:pt>
                <c:pt idx="178" formatCode="m/d/yyyy">
                  <c:v>0.01</c:v>
                </c:pt>
                <c:pt idx="179" formatCode="m/d/yyyy">
                  <c:v>0.01</c:v>
                </c:pt>
                <c:pt idx="180" formatCode="m/d/yyyy">
                  <c:v>0.01</c:v>
                </c:pt>
                <c:pt idx="181" formatCode="m/d/yyyy">
                  <c:v>0.01</c:v>
                </c:pt>
                <c:pt idx="182" formatCode="m/d/yyyy">
                  <c:v>0.01</c:v>
                </c:pt>
                <c:pt idx="183" formatCode="m/d/yyyy">
                  <c:v>0.01</c:v>
                </c:pt>
                <c:pt idx="184" formatCode="m/d/yyyy">
                  <c:v>0.01</c:v>
                </c:pt>
                <c:pt idx="185" formatCode="m/d/yyyy">
                  <c:v>0.01</c:v>
                </c:pt>
                <c:pt idx="186" formatCode="m/d/yyyy">
                  <c:v>0.01</c:v>
                </c:pt>
                <c:pt idx="187" formatCode="m/d/yyyy">
                  <c:v>0.01</c:v>
                </c:pt>
                <c:pt idx="188" formatCode="m/d/yyyy">
                  <c:v>0.01</c:v>
                </c:pt>
                <c:pt idx="189" formatCode="m/d/yyyy">
                  <c:v>0.01</c:v>
                </c:pt>
                <c:pt idx="190" formatCode="m/d/yyyy">
                  <c:v>0.01</c:v>
                </c:pt>
                <c:pt idx="191" formatCode="m/d/yyyy">
                  <c:v>0.01</c:v>
                </c:pt>
                <c:pt idx="192" formatCode="m/d/yyyy">
                  <c:v>0.01</c:v>
                </c:pt>
                <c:pt idx="193" formatCode="m/d/yyyy">
                  <c:v>0.01</c:v>
                </c:pt>
                <c:pt idx="194" formatCode="m/d/yyyy">
                  <c:v>0.01</c:v>
                </c:pt>
                <c:pt idx="195" formatCode="m/d/yyyy">
                  <c:v>0.01</c:v>
                </c:pt>
                <c:pt idx="196" formatCode="m/d/yyyy">
                  <c:v>0.01</c:v>
                </c:pt>
                <c:pt idx="197" formatCode="m/d/yyyy">
                  <c:v>0.01</c:v>
                </c:pt>
                <c:pt idx="198" formatCode="m/d/yyyy">
                  <c:v>0.01</c:v>
                </c:pt>
                <c:pt idx="199" formatCode="m/d/yyyy">
                  <c:v>0.01</c:v>
                </c:pt>
                <c:pt idx="200" formatCode="m/d/yyyy">
                  <c:v>0.01</c:v>
                </c:pt>
                <c:pt idx="201" formatCode="m/d/yyyy">
                  <c:v>0.01</c:v>
                </c:pt>
                <c:pt idx="202" formatCode="m/d/yyyy">
                  <c:v>0.01</c:v>
                </c:pt>
                <c:pt idx="203" formatCode="m/d/yyyy">
                  <c:v>0.01</c:v>
                </c:pt>
                <c:pt idx="204" formatCode="m/d/yyyy">
                  <c:v>0.01</c:v>
                </c:pt>
                <c:pt idx="205" formatCode="m/d/yyyy">
                  <c:v>0.01</c:v>
                </c:pt>
                <c:pt idx="206" formatCode="m/d/yyyy">
                  <c:v>0.01</c:v>
                </c:pt>
                <c:pt idx="207" formatCode="m/d/yyyy">
                  <c:v>0.01</c:v>
                </c:pt>
                <c:pt idx="208" formatCode="m/d/yyyy">
                  <c:v>0.01</c:v>
                </c:pt>
                <c:pt idx="209" formatCode="m/d/yyyy">
                  <c:v>0.01</c:v>
                </c:pt>
                <c:pt idx="210" formatCode="m/d/yyyy">
                  <c:v>0.01</c:v>
                </c:pt>
                <c:pt idx="211" formatCode="m/d/yyyy">
                  <c:v>0.01</c:v>
                </c:pt>
                <c:pt idx="212" formatCode="m/d/yyyy">
                  <c:v>0.01</c:v>
                </c:pt>
                <c:pt idx="213" formatCode="m/d/yyyy">
                  <c:v>0.01</c:v>
                </c:pt>
                <c:pt idx="214" formatCode="m/d/yyyy">
                  <c:v>0.01</c:v>
                </c:pt>
                <c:pt idx="215" formatCode="m/d/yyyy">
                  <c:v>0.01</c:v>
                </c:pt>
                <c:pt idx="216" formatCode="m/d/yyyy">
                  <c:v>0.01</c:v>
                </c:pt>
                <c:pt idx="217" formatCode="m/d/yyyy">
                  <c:v>0.01</c:v>
                </c:pt>
                <c:pt idx="218" formatCode="m/d/yyyy">
                  <c:v>0.01</c:v>
                </c:pt>
                <c:pt idx="219" formatCode="m/d/yyyy">
                  <c:v>0.01</c:v>
                </c:pt>
                <c:pt idx="220" formatCode="m/d/yyyy">
                  <c:v>0.01</c:v>
                </c:pt>
                <c:pt idx="221" formatCode="m/d/yyyy">
                  <c:v>0.01</c:v>
                </c:pt>
                <c:pt idx="222" formatCode="m/d/yyyy">
                  <c:v>0.01</c:v>
                </c:pt>
                <c:pt idx="223" formatCode="m/d/yyyy">
                  <c:v>0.01</c:v>
                </c:pt>
                <c:pt idx="224" formatCode="m/d/yyyy">
                  <c:v>0.01</c:v>
                </c:pt>
                <c:pt idx="225" formatCode="m/d/yyyy">
                  <c:v>0.01</c:v>
                </c:pt>
                <c:pt idx="226" formatCode="m/d/yyyy">
                  <c:v>0.01</c:v>
                </c:pt>
                <c:pt idx="227" formatCode="m/d/yyyy">
                  <c:v>0.01</c:v>
                </c:pt>
                <c:pt idx="228" formatCode="m/d/yyyy">
                  <c:v>0.01</c:v>
                </c:pt>
                <c:pt idx="229" formatCode="m/d/yyyy">
                  <c:v>0.01</c:v>
                </c:pt>
                <c:pt idx="230" formatCode="m/d/yyyy">
                  <c:v>0.01</c:v>
                </c:pt>
                <c:pt idx="231" formatCode="m/d/yyyy">
                  <c:v>0.01</c:v>
                </c:pt>
                <c:pt idx="232" formatCode="m/d/yyyy">
                  <c:v>0.01</c:v>
                </c:pt>
                <c:pt idx="233" formatCode="m/d/yyyy">
                  <c:v>0.01</c:v>
                </c:pt>
                <c:pt idx="234" formatCode="m/d/yyyy">
                  <c:v>0.01</c:v>
                </c:pt>
                <c:pt idx="235" formatCode="m/d/yyyy">
                  <c:v>0.01</c:v>
                </c:pt>
                <c:pt idx="236" formatCode="m/d/yyyy">
                  <c:v>0.01</c:v>
                </c:pt>
                <c:pt idx="237" formatCode="m/d/yyyy">
                  <c:v>0.01</c:v>
                </c:pt>
                <c:pt idx="238" formatCode="m/d/yyyy">
                  <c:v>0.01</c:v>
                </c:pt>
                <c:pt idx="239" formatCode="m/d/yyyy">
                  <c:v>0.01</c:v>
                </c:pt>
                <c:pt idx="240" formatCode="m/d/yyyy">
                  <c:v>0.01</c:v>
                </c:pt>
                <c:pt idx="241" formatCode="m/d/yyyy">
                  <c:v>0.01</c:v>
                </c:pt>
                <c:pt idx="242" formatCode="m/d/yyyy">
                  <c:v>0.01</c:v>
                </c:pt>
                <c:pt idx="243" formatCode="m/d/yyyy">
                  <c:v>0.01</c:v>
                </c:pt>
                <c:pt idx="244" formatCode="m/d/yyyy">
                  <c:v>0.01</c:v>
                </c:pt>
                <c:pt idx="245" formatCode="m/d/yyyy">
                  <c:v>0.01</c:v>
                </c:pt>
                <c:pt idx="246" formatCode="m/d/yyyy">
                  <c:v>0.01</c:v>
                </c:pt>
                <c:pt idx="247" formatCode="m/d/yyyy">
                  <c:v>0.01</c:v>
                </c:pt>
                <c:pt idx="248" formatCode="m/d/yyyy">
                  <c:v>0.01</c:v>
                </c:pt>
                <c:pt idx="249" formatCode="m/d/yyyy">
                  <c:v>0.01</c:v>
                </c:pt>
                <c:pt idx="250" formatCode="m/d/yyyy">
                  <c:v>0.01</c:v>
                </c:pt>
                <c:pt idx="251" formatCode="m/d/yyyy">
                  <c:v>0.01</c:v>
                </c:pt>
                <c:pt idx="252" formatCode="m/d/yyyy">
                  <c:v>0.01</c:v>
                </c:pt>
                <c:pt idx="253" formatCode="m/d/yyyy">
                  <c:v>0.01</c:v>
                </c:pt>
                <c:pt idx="254" formatCode="m/d/yyyy">
                  <c:v>0.01</c:v>
                </c:pt>
                <c:pt idx="255" formatCode="m/d/yyyy">
                  <c:v>0.01</c:v>
                </c:pt>
                <c:pt idx="256" formatCode="m/d/yyyy">
                  <c:v>0.01</c:v>
                </c:pt>
                <c:pt idx="257" formatCode="m/d/yyyy">
                  <c:v>0.01</c:v>
                </c:pt>
                <c:pt idx="258" formatCode="m/d/yyyy">
                  <c:v>0.01</c:v>
                </c:pt>
                <c:pt idx="259" formatCode="m/d/yyyy">
                  <c:v>0.01</c:v>
                </c:pt>
                <c:pt idx="260" formatCode="m/d/yyyy">
                  <c:v>0.01</c:v>
                </c:pt>
                <c:pt idx="261" formatCode="m/d/yyyy">
                  <c:v>0.01</c:v>
                </c:pt>
                <c:pt idx="262" formatCode="m/d/yyyy">
                  <c:v>0.01</c:v>
                </c:pt>
                <c:pt idx="263" formatCode="m/d/yyyy">
                  <c:v>0.01</c:v>
                </c:pt>
                <c:pt idx="264" formatCode="m/d/yyyy">
                  <c:v>0.01</c:v>
                </c:pt>
                <c:pt idx="265" formatCode="m/d/yyyy">
                  <c:v>0.01</c:v>
                </c:pt>
                <c:pt idx="266" formatCode="m/d/yyyy">
                  <c:v>0.01</c:v>
                </c:pt>
                <c:pt idx="267" formatCode="m/d/yyyy">
                  <c:v>0.01</c:v>
                </c:pt>
                <c:pt idx="268" formatCode="m/d/yyyy">
                  <c:v>0.01</c:v>
                </c:pt>
                <c:pt idx="269" formatCode="m/d/yyyy">
                  <c:v>0.01</c:v>
                </c:pt>
                <c:pt idx="270" formatCode="m/d/yyyy">
                  <c:v>0.01</c:v>
                </c:pt>
                <c:pt idx="271" formatCode="m/d/yyyy">
                  <c:v>0.01</c:v>
                </c:pt>
                <c:pt idx="272" formatCode="m/d/yyyy">
                  <c:v>0.01</c:v>
                </c:pt>
                <c:pt idx="273" formatCode="m/d/yyyy">
                  <c:v>0.01</c:v>
                </c:pt>
                <c:pt idx="274" formatCode="m/d/yyyy">
                  <c:v>0.01</c:v>
                </c:pt>
                <c:pt idx="275" formatCode="m/d/yyyy">
                  <c:v>0.01</c:v>
                </c:pt>
                <c:pt idx="276" formatCode="m/d/yyyy">
                  <c:v>0.01</c:v>
                </c:pt>
                <c:pt idx="277" formatCode="m/d/yyyy">
                  <c:v>0.01</c:v>
                </c:pt>
                <c:pt idx="278" formatCode="m/d/yyyy">
                  <c:v>0.01</c:v>
                </c:pt>
                <c:pt idx="279" formatCode="m/d/yyyy">
                  <c:v>0.01</c:v>
                </c:pt>
                <c:pt idx="280" formatCode="m/d/yyyy">
                  <c:v>0.01</c:v>
                </c:pt>
                <c:pt idx="281" formatCode="m/d/yyyy">
                  <c:v>0.01</c:v>
                </c:pt>
                <c:pt idx="282" formatCode="m/d/yyyy">
                  <c:v>0.01</c:v>
                </c:pt>
                <c:pt idx="283" formatCode="m/d/yyyy">
                  <c:v>0.01</c:v>
                </c:pt>
                <c:pt idx="284" formatCode="m/d/yyyy">
                  <c:v>0.01</c:v>
                </c:pt>
                <c:pt idx="285" formatCode="m/d/yyyy">
                  <c:v>0.01</c:v>
                </c:pt>
                <c:pt idx="286" formatCode="m/d/yyyy">
                  <c:v>0.01</c:v>
                </c:pt>
                <c:pt idx="287" formatCode="m/d/yyyy">
                  <c:v>0.01</c:v>
                </c:pt>
                <c:pt idx="288" formatCode="m/d/yyyy">
                  <c:v>0.01</c:v>
                </c:pt>
                <c:pt idx="289" formatCode="m/d/yyyy">
                  <c:v>0.01</c:v>
                </c:pt>
                <c:pt idx="290" formatCode="m/d/yyyy">
                  <c:v>0.01</c:v>
                </c:pt>
                <c:pt idx="291" formatCode="m/d/yyyy">
                  <c:v>0.01</c:v>
                </c:pt>
                <c:pt idx="292" formatCode="m/d/yyyy">
                  <c:v>0.01</c:v>
                </c:pt>
                <c:pt idx="293" formatCode="m/d/yyyy">
                  <c:v>0.01</c:v>
                </c:pt>
                <c:pt idx="294" formatCode="m/d/yyyy">
                  <c:v>0.01</c:v>
                </c:pt>
                <c:pt idx="295" formatCode="m/d/yyyy">
                  <c:v>0.01</c:v>
                </c:pt>
                <c:pt idx="296" formatCode="m/d/yyyy">
                  <c:v>0.01</c:v>
                </c:pt>
                <c:pt idx="297" formatCode="m/d/yyyy">
                  <c:v>0.01</c:v>
                </c:pt>
                <c:pt idx="298" formatCode="m/d/yyyy">
                  <c:v>0.01</c:v>
                </c:pt>
                <c:pt idx="299" formatCode="m/d/yyyy">
                  <c:v>0.01</c:v>
                </c:pt>
                <c:pt idx="300" formatCode="m/d/yyyy">
                  <c:v>0.01</c:v>
                </c:pt>
                <c:pt idx="301" formatCode="m/d/yyyy">
                  <c:v>0.01</c:v>
                </c:pt>
                <c:pt idx="302" formatCode="m/d/yyyy">
                  <c:v>0.01</c:v>
                </c:pt>
                <c:pt idx="303" formatCode="m/d/yyyy">
                  <c:v>0.01</c:v>
                </c:pt>
                <c:pt idx="304" formatCode="m/d/yyyy">
                  <c:v>0.01</c:v>
                </c:pt>
                <c:pt idx="305" formatCode="m/d/yyyy">
                  <c:v>0.01</c:v>
                </c:pt>
                <c:pt idx="306" formatCode="m/d/yyyy">
                  <c:v>0.01</c:v>
                </c:pt>
                <c:pt idx="307" formatCode="m/d/yyyy">
                  <c:v>0.01</c:v>
                </c:pt>
                <c:pt idx="308" formatCode="m/d/yyyy">
                  <c:v>0.01</c:v>
                </c:pt>
                <c:pt idx="309" formatCode="m/d/yyyy">
                  <c:v>0.01</c:v>
                </c:pt>
                <c:pt idx="310" formatCode="m/d/yyyy">
                  <c:v>0.01</c:v>
                </c:pt>
                <c:pt idx="311" formatCode="m/d/yyyy">
                  <c:v>0.01</c:v>
                </c:pt>
                <c:pt idx="312" formatCode="m/d/yyyy">
                  <c:v>0.01</c:v>
                </c:pt>
                <c:pt idx="313" formatCode="m/d/yyyy">
                  <c:v>0.01</c:v>
                </c:pt>
                <c:pt idx="314" formatCode="m/d/yyyy">
                  <c:v>0.01</c:v>
                </c:pt>
                <c:pt idx="315" formatCode="m/d/yyyy">
                  <c:v>0.01</c:v>
                </c:pt>
                <c:pt idx="316" formatCode="m/d/yyyy">
                  <c:v>0.01</c:v>
                </c:pt>
                <c:pt idx="317" formatCode="m/d/yyyy">
                  <c:v>0.01</c:v>
                </c:pt>
                <c:pt idx="318" formatCode="m/d/yyyy">
                  <c:v>0.01</c:v>
                </c:pt>
                <c:pt idx="319" formatCode="m/d/yyyy">
                  <c:v>0.01</c:v>
                </c:pt>
                <c:pt idx="320" formatCode="m/d/yyyy">
                  <c:v>0.01</c:v>
                </c:pt>
                <c:pt idx="321" formatCode="m/d/yyyy">
                  <c:v>0.01</c:v>
                </c:pt>
                <c:pt idx="322" formatCode="m/d/yyyy">
                  <c:v>0.01</c:v>
                </c:pt>
                <c:pt idx="323" formatCode="m/d/yyyy">
                  <c:v>0.01</c:v>
                </c:pt>
                <c:pt idx="324" formatCode="m/d/yyyy">
                  <c:v>0.01</c:v>
                </c:pt>
                <c:pt idx="325" formatCode="m/d/yyyy">
                  <c:v>0.01</c:v>
                </c:pt>
                <c:pt idx="326" formatCode="m/d/yyyy">
                  <c:v>0.01</c:v>
                </c:pt>
                <c:pt idx="327" formatCode="m/d/yyyy">
                  <c:v>0.01</c:v>
                </c:pt>
                <c:pt idx="328" formatCode="m/d/yyyy">
                  <c:v>0.01</c:v>
                </c:pt>
                <c:pt idx="329" formatCode="m/d/yyyy">
                  <c:v>0.01</c:v>
                </c:pt>
                <c:pt idx="330" formatCode="m/d/yyyy">
                  <c:v>0.01</c:v>
                </c:pt>
                <c:pt idx="331" formatCode="m/d/yyyy">
                  <c:v>0.01</c:v>
                </c:pt>
                <c:pt idx="332" formatCode="m/d/yyyy">
                  <c:v>0.01</c:v>
                </c:pt>
                <c:pt idx="333" formatCode="m/d/yyyy">
                  <c:v>0.01</c:v>
                </c:pt>
                <c:pt idx="334" formatCode="m/d/yyyy">
                  <c:v>0.01</c:v>
                </c:pt>
                <c:pt idx="335" formatCode="m/d/yyyy">
                  <c:v>0.01</c:v>
                </c:pt>
                <c:pt idx="336" formatCode="m/d/yyyy">
                  <c:v>0.01</c:v>
                </c:pt>
                <c:pt idx="337" formatCode="m/d/yyyy">
                  <c:v>0.01</c:v>
                </c:pt>
                <c:pt idx="338" formatCode="m/d/yyyy">
                  <c:v>0.01</c:v>
                </c:pt>
                <c:pt idx="339" formatCode="m/d/yyyy">
                  <c:v>0.01</c:v>
                </c:pt>
                <c:pt idx="340" formatCode="m/d/yyyy">
                  <c:v>0.01</c:v>
                </c:pt>
                <c:pt idx="341" formatCode="m/d/yyyy">
                  <c:v>0.01</c:v>
                </c:pt>
                <c:pt idx="342" formatCode="m/d/yyyy">
                  <c:v>0.01</c:v>
                </c:pt>
                <c:pt idx="343" formatCode="m/d/yyyy">
                  <c:v>0.01</c:v>
                </c:pt>
                <c:pt idx="344" formatCode="m/d/yyyy">
                  <c:v>0.01</c:v>
                </c:pt>
                <c:pt idx="345" formatCode="m/d/yyyy">
                  <c:v>0.01</c:v>
                </c:pt>
                <c:pt idx="346" formatCode="m/d/yyyy">
                  <c:v>0.01</c:v>
                </c:pt>
                <c:pt idx="347" formatCode="m/d/yyyy">
                  <c:v>0.01</c:v>
                </c:pt>
                <c:pt idx="348" formatCode="m/d/yyyy">
                  <c:v>0.01</c:v>
                </c:pt>
                <c:pt idx="349" formatCode="m/d/yyyy">
                  <c:v>0.01</c:v>
                </c:pt>
                <c:pt idx="350" formatCode="m/d/yyyy">
                  <c:v>0.01</c:v>
                </c:pt>
                <c:pt idx="351" formatCode="m/d/yyyy">
                  <c:v>0.01</c:v>
                </c:pt>
                <c:pt idx="352" formatCode="m/d/yyyy">
                  <c:v>0.01</c:v>
                </c:pt>
                <c:pt idx="353" formatCode="m/d/yyyy">
                  <c:v>0.01</c:v>
                </c:pt>
                <c:pt idx="354" formatCode="m/d/yyyy">
                  <c:v>0.01</c:v>
                </c:pt>
                <c:pt idx="355" formatCode="m/d/yyyy">
                  <c:v>0.01</c:v>
                </c:pt>
                <c:pt idx="356" formatCode="m/d/yyyy">
                  <c:v>0.01</c:v>
                </c:pt>
                <c:pt idx="357" formatCode="m/d/yyyy">
                  <c:v>0.01</c:v>
                </c:pt>
                <c:pt idx="358" formatCode="m/d/yyyy">
                  <c:v>0.01</c:v>
                </c:pt>
                <c:pt idx="359" formatCode="m/d/yyyy">
                  <c:v>0.01</c:v>
                </c:pt>
                <c:pt idx="360" formatCode="m/d/yyyy">
                  <c:v>0.01</c:v>
                </c:pt>
                <c:pt idx="361" formatCode="m/d/yyyy">
                  <c:v>0.01</c:v>
                </c:pt>
                <c:pt idx="362" formatCode="m/d/yyyy">
                  <c:v>0.01</c:v>
                </c:pt>
                <c:pt idx="363" formatCode="m/d/yyyy">
                  <c:v>0.01</c:v>
                </c:pt>
                <c:pt idx="364" formatCode="m/d/yyyy">
                  <c:v>0.01</c:v>
                </c:pt>
                <c:pt idx="365" formatCode="m/d/yyyy">
                  <c:v>0.01</c:v>
                </c:pt>
                <c:pt idx="366" formatCode="m/d/yyyy">
                  <c:v>0.01</c:v>
                </c:pt>
                <c:pt idx="367" formatCode="m/d/yyyy">
                  <c:v>0.01</c:v>
                </c:pt>
                <c:pt idx="368" formatCode="m/d/yyyy">
                  <c:v>0.01</c:v>
                </c:pt>
                <c:pt idx="369" formatCode="m/d/yyyy">
                  <c:v>0.01</c:v>
                </c:pt>
                <c:pt idx="370" formatCode="m/d/yyyy">
                  <c:v>0.01</c:v>
                </c:pt>
                <c:pt idx="371" formatCode="m/d/yyyy">
                  <c:v>0.01</c:v>
                </c:pt>
                <c:pt idx="372" formatCode="m/d/yyyy">
                  <c:v>0.01</c:v>
                </c:pt>
                <c:pt idx="373" formatCode="m/d/yyyy">
                  <c:v>0.01</c:v>
                </c:pt>
                <c:pt idx="374" formatCode="m/d/yyyy">
                  <c:v>0.01</c:v>
                </c:pt>
                <c:pt idx="375" formatCode="m/d/yyyy">
                  <c:v>0.01</c:v>
                </c:pt>
                <c:pt idx="376" formatCode="m/d/yyyy">
                  <c:v>0.01</c:v>
                </c:pt>
                <c:pt idx="377" formatCode="m/d/yyyy">
                  <c:v>0.01</c:v>
                </c:pt>
                <c:pt idx="378" formatCode="m/d/yyyy">
                  <c:v>0.01</c:v>
                </c:pt>
                <c:pt idx="379" formatCode="m/d/yyyy">
                  <c:v>0.01</c:v>
                </c:pt>
                <c:pt idx="380" formatCode="m/d/yyyy">
                  <c:v>0.01</c:v>
                </c:pt>
                <c:pt idx="381" formatCode="m/d/yyyy">
                  <c:v>0.01</c:v>
                </c:pt>
                <c:pt idx="382" formatCode="m/d/yyyy">
                  <c:v>0.01</c:v>
                </c:pt>
                <c:pt idx="383" formatCode="m/d/yyyy">
                  <c:v>0.01</c:v>
                </c:pt>
                <c:pt idx="384" formatCode="m/d/yyyy">
                  <c:v>0.01</c:v>
                </c:pt>
                <c:pt idx="385" formatCode="m/d/yyyy">
                  <c:v>0.01</c:v>
                </c:pt>
                <c:pt idx="386" formatCode="m/d/yyyy">
                  <c:v>0.01</c:v>
                </c:pt>
                <c:pt idx="387" formatCode="m/d/yyyy">
                  <c:v>0.01</c:v>
                </c:pt>
                <c:pt idx="388" formatCode="m/d/yyyy">
                  <c:v>0.01</c:v>
                </c:pt>
                <c:pt idx="389" formatCode="m/d/yyyy">
                  <c:v>0.01</c:v>
                </c:pt>
                <c:pt idx="390" formatCode="m/d/yyyy">
                  <c:v>0.01</c:v>
                </c:pt>
                <c:pt idx="391" formatCode="m/d/yyyy">
                  <c:v>0.01</c:v>
                </c:pt>
                <c:pt idx="392" formatCode="m/d/yyyy">
                  <c:v>0.01</c:v>
                </c:pt>
                <c:pt idx="393" formatCode="m/d/yyyy">
                  <c:v>0.01</c:v>
                </c:pt>
                <c:pt idx="394" formatCode="m/d/yyyy">
                  <c:v>0.01</c:v>
                </c:pt>
                <c:pt idx="395" formatCode="m/d/yyyy">
                  <c:v>0.01</c:v>
                </c:pt>
                <c:pt idx="396" formatCode="m/d/yyyy">
                  <c:v>0.01</c:v>
                </c:pt>
                <c:pt idx="397" formatCode="m/d/yyyy">
                  <c:v>0.01</c:v>
                </c:pt>
                <c:pt idx="398" formatCode="m/d/yyyy">
                  <c:v>0.01</c:v>
                </c:pt>
                <c:pt idx="399" formatCode="m/d/yyyy">
                  <c:v>0.01</c:v>
                </c:pt>
                <c:pt idx="400" formatCode="m/d/yyyy">
                  <c:v>0.01</c:v>
                </c:pt>
                <c:pt idx="401" formatCode="m/d/yyyy">
                  <c:v>0.01</c:v>
                </c:pt>
                <c:pt idx="402" formatCode="m/d/yyyy">
                  <c:v>0.01</c:v>
                </c:pt>
                <c:pt idx="403" formatCode="m/d/yyyy">
                  <c:v>0.01</c:v>
                </c:pt>
                <c:pt idx="404" formatCode="m/d/yyyy">
                  <c:v>0.01</c:v>
                </c:pt>
                <c:pt idx="405" formatCode="m/d/yyyy">
                  <c:v>0.01</c:v>
                </c:pt>
                <c:pt idx="406" formatCode="m/d/yyyy">
                  <c:v>0.01</c:v>
                </c:pt>
                <c:pt idx="407" formatCode="m/d/yyyy">
                  <c:v>0.01</c:v>
                </c:pt>
                <c:pt idx="408" formatCode="m/d/yyyy">
                  <c:v>0.01</c:v>
                </c:pt>
                <c:pt idx="409" formatCode="m/d/yyyy">
                  <c:v>0.01</c:v>
                </c:pt>
                <c:pt idx="410" formatCode="m/d/yyyy">
                  <c:v>0.01</c:v>
                </c:pt>
                <c:pt idx="411" formatCode="m/d/yyyy">
                  <c:v>0.01</c:v>
                </c:pt>
                <c:pt idx="412" formatCode="m/d/yyyy">
                  <c:v>0.01</c:v>
                </c:pt>
                <c:pt idx="413" formatCode="m/d/yyyy">
                  <c:v>0.01</c:v>
                </c:pt>
                <c:pt idx="414" formatCode="m/d/yyyy">
                  <c:v>0.01</c:v>
                </c:pt>
                <c:pt idx="415" formatCode="m/d/yyyy">
                  <c:v>0.01</c:v>
                </c:pt>
                <c:pt idx="416" formatCode="m/d/yyyy">
                  <c:v>0.01</c:v>
                </c:pt>
                <c:pt idx="417" formatCode="m/d/yyyy">
                  <c:v>0.01</c:v>
                </c:pt>
                <c:pt idx="418" formatCode="m/d/yyyy">
                  <c:v>0.01</c:v>
                </c:pt>
                <c:pt idx="419" formatCode="m/d/yyyy">
                  <c:v>0.01</c:v>
                </c:pt>
                <c:pt idx="420" formatCode="m/d/yyyy">
                  <c:v>0.01</c:v>
                </c:pt>
                <c:pt idx="421" formatCode="m/d/yyyy">
                  <c:v>0.01</c:v>
                </c:pt>
                <c:pt idx="422" formatCode="m/d/yyyy">
                  <c:v>0.01</c:v>
                </c:pt>
                <c:pt idx="423" formatCode="m/d/yyyy">
                  <c:v>0.01</c:v>
                </c:pt>
                <c:pt idx="424" formatCode="m/d/yyyy">
                  <c:v>0.01</c:v>
                </c:pt>
                <c:pt idx="425" formatCode="m/d/yyyy">
                  <c:v>0.01</c:v>
                </c:pt>
                <c:pt idx="426" formatCode="m/d/yyyy">
                  <c:v>0.01</c:v>
                </c:pt>
                <c:pt idx="427" formatCode="m/d/yyyy">
                  <c:v>0.01</c:v>
                </c:pt>
                <c:pt idx="428" formatCode="m/d/yyyy">
                  <c:v>0.01</c:v>
                </c:pt>
                <c:pt idx="429" formatCode="m/d/yyyy">
                  <c:v>0.01</c:v>
                </c:pt>
                <c:pt idx="430" formatCode="m/d/yyyy">
                  <c:v>0.01</c:v>
                </c:pt>
                <c:pt idx="431" formatCode="m/d/yyyy">
                  <c:v>0.01</c:v>
                </c:pt>
                <c:pt idx="432" formatCode="m/d/yyyy">
                  <c:v>0.01</c:v>
                </c:pt>
                <c:pt idx="433" formatCode="m/d/yyyy">
                  <c:v>0.01</c:v>
                </c:pt>
                <c:pt idx="434" formatCode="m/d/yyyy">
                  <c:v>0.01</c:v>
                </c:pt>
                <c:pt idx="435" formatCode="m/d/yyyy">
                  <c:v>0.01</c:v>
                </c:pt>
                <c:pt idx="436" formatCode="m/d/yyyy">
                  <c:v>0.01</c:v>
                </c:pt>
                <c:pt idx="437" formatCode="m/d/yyyy">
                  <c:v>0.01</c:v>
                </c:pt>
                <c:pt idx="438" formatCode="m/d/yyyy">
                  <c:v>0.01</c:v>
                </c:pt>
                <c:pt idx="439" formatCode="m/d/yyyy">
                  <c:v>0.01</c:v>
                </c:pt>
                <c:pt idx="440" formatCode="m/d/yyyy">
                  <c:v>0.01</c:v>
                </c:pt>
                <c:pt idx="441" formatCode="m/d/yyyy">
                  <c:v>0.01</c:v>
                </c:pt>
                <c:pt idx="442" formatCode="m/d/yyyy">
                  <c:v>0.01</c:v>
                </c:pt>
                <c:pt idx="443" formatCode="m/d/yyyy">
                  <c:v>0.01</c:v>
                </c:pt>
                <c:pt idx="444" formatCode="m/d/yyyy">
                  <c:v>0.01</c:v>
                </c:pt>
                <c:pt idx="445" formatCode="m/d/yyyy">
                  <c:v>0.01</c:v>
                </c:pt>
                <c:pt idx="446" formatCode="m/d/yyyy">
                  <c:v>0.01</c:v>
                </c:pt>
                <c:pt idx="447" formatCode="m/d/yyyy">
                  <c:v>0.01</c:v>
                </c:pt>
                <c:pt idx="448" formatCode="m/d/yyyy">
                  <c:v>0.01</c:v>
                </c:pt>
                <c:pt idx="449" formatCode="m/d/yyyy">
                  <c:v>0.01</c:v>
                </c:pt>
                <c:pt idx="450" formatCode="m/d/yyyy">
                  <c:v>0.01</c:v>
                </c:pt>
                <c:pt idx="451" formatCode="m/d/yyyy">
                  <c:v>0.01</c:v>
                </c:pt>
                <c:pt idx="452" formatCode="m/d/yyyy">
                  <c:v>0.01</c:v>
                </c:pt>
                <c:pt idx="453" formatCode="m/d/yyyy">
                  <c:v>0.01</c:v>
                </c:pt>
                <c:pt idx="454" formatCode="m/d/yyyy">
                  <c:v>0.01</c:v>
                </c:pt>
                <c:pt idx="455" formatCode="m/d/yyyy">
                  <c:v>0.01</c:v>
                </c:pt>
                <c:pt idx="456" formatCode="m/d/yyyy">
                  <c:v>0.01</c:v>
                </c:pt>
                <c:pt idx="457" formatCode="m/d/yyyy">
                  <c:v>0.01</c:v>
                </c:pt>
                <c:pt idx="458" formatCode="m/d/yyyy">
                  <c:v>0.01</c:v>
                </c:pt>
                <c:pt idx="459" formatCode="m/d/yyyy">
                  <c:v>0.01</c:v>
                </c:pt>
                <c:pt idx="460" formatCode="m/d/yyyy">
                  <c:v>0.01</c:v>
                </c:pt>
                <c:pt idx="461" formatCode="m/d/yyyy">
                  <c:v>0.01</c:v>
                </c:pt>
                <c:pt idx="462" formatCode="m/d/yyyy">
                  <c:v>0.01</c:v>
                </c:pt>
                <c:pt idx="463" formatCode="m/d/yyyy">
                  <c:v>0.01</c:v>
                </c:pt>
                <c:pt idx="464" formatCode="m/d/yyyy">
                  <c:v>0.01</c:v>
                </c:pt>
                <c:pt idx="465" formatCode="m/d/yyyy">
                  <c:v>0.01</c:v>
                </c:pt>
                <c:pt idx="466" formatCode="m/d/yyyy">
                  <c:v>0.01</c:v>
                </c:pt>
                <c:pt idx="467" formatCode="m/d/yyyy">
                  <c:v>0.01</c:v>
                </c:pt>
                <c:pt idx="468" formatCode="m/d/yyyy">
                  <c:v>0.01</c:v>
                </c:pt>
                <c:pt idx="469" formatCode="m/d/yyyy">
                  <c:v>0.01</c:v>
                </c:pt>
                <c:pt idx="470" formatCode="m/d/yyyy">
                  <c:v>0.01</c:v>
                </c:pt>
                <c:pt idx="471" formatCode="m/d/yyyy">
                  <c:v>0.01</c:v>
                </c:pt>
                <c:pt idx="472" formatCode="m/d/yyyy">
                  <c:v>0.01</c:v>
                </c:pt>
                <c:pt idx="473" formatCode="m/d/yyyy">
                  <c:v>0.01</c:v>
                </c:pt>
                <c:pt idx="474" formatCode="m/d/yyyy">
                  <c:v>0.01</c:v>
                </c:pt>
                <c:pt idx="475" formatCode="m/d/yyyy">
                  <c:v>0.01</c:v>
                </c:pt>
                <c:pt idx="476" formatCode="m/d/yyyy">
                  <c:v>0.01</c:v>
                </c:pt>
                <c:pt idx="477" formatCode="m/d/yyyy">
                  <c:v>0.01</c:v>
                </c:pt>
                <c:pt idx="478" formatCode="m/d/yyyy">
                  <c:v>0.01</c:v>
                </c:pt>
                <c:pt idx="479" formatCode="m/d/yyyy">
                  <c:v>0.01</c:v>
                </c:pt>
                <c:pt idx="480" formatCode="m/d/yyyy">
                  <c:v>0.01</c:v>
                </c:pt>
                <c:pt idx="481" formatCode="m/d/yyyy">
                  <c:v>0.01</c:v>
                </c:pt>
                <c:pt idx="482" formatCode="m/d/yyyy">
                  <c:v>0.01</c:v>
                </c:pt>
                <c:pt idx="483" formatCode="m/d/yyyy">
                  <c:v>0.01</c:v>
                </c:pt>
                <c:pt idx="484" formatCode="m/d/yyyy">
                  <c:v>0.01</c:v>
                </c:pt>
                <c:pt idx="485" formatCode="m/d/yyyy">
                  <c:v>0.01</c:v>
                </c:pt>
                <c:pt idx="486" formatCode="m/d/yyyy">
                  <c:v>0.01</c:v>
                </c:pt>
                <c:pt idx="487" formatCode="m/d/yyyy">
                  <c:v>0.01</c:v>
                </c:pt>
                <c:pt idx="488" formatCode="m/d/yyyy">
                  <c:v>0.01</c:v>
                </c:pt>
                <c:pt idx="489" formatCode="m/d/yyyy">
                  <c:v>0.01</c:v>
                </c:pt>
                <c:pt idx="490" formatCode="m/d/yyyy">
                  <c:v>0.01</c:v>
                </c:pt>
                <c:pt idx="491" formatCode="m/d/yyyy">
                  <c:v>0.01</c:v>
                </c:pt>
                <c:pt idx="492" formatCode="m/d/yyyy">
                  <c:v>0.01</c:v>
                </c:pt>
                <c:pt idx="493" formatCode="m/d/yyyy">
                  <c:v>0.01</c:v>
                </c:pt>
                <c:pt idx="494" formatCode="m/d/yyyy">
                  <c:v>0.01</c:v>
                </c:pt>
                <c:pt idx="495" formatCode="m/d/yyyy">
                  <c:v>0.01</c:v>
                </c:pt>
                <c:pt idx="496" formatCode="m/d/yyyy">
                  <c:v>0.01</c:v>
                </c:pt>
                <c:pt idx="497" formatCode="m/d/yyyy">
                  <c:v>0.01</c:v>
                </c:pt>
                <c:pt idx="498" formatCode="m/d/yyyy">
                  <c:v>0.01</c:v>
                </c:pt>
                <c:pt idx="499" formatCode="m/d/yyyy">
                  <c:v>0.01</c:v>
                </c:pt>
                <c:pt idx="500" formatCode="m/d/yyyy">
                  <c:v>0.01</c:v>
                </c:pt>
                <c:pt idx="501" formatCode="m/d/yyyy">
                  <c:v>0.01</c:v>
                </c:pt>
                <c:pt idx="502" formatCode="m/d/yyyy">
                  <c:v>0.01</c:v>
                </c:pt>
                <c:pt idx="503" formatCode="m/d/yyyy">
                  <c:v>0.01</c:v>
                </c:pt>
                <c:pt idx="504" formatCode="m/d/yyyy">
                  <c:v>0.01</c:v>
                </c:pt>
                <c:pt idx="505" formatCode="m/d/yyyy">
                  <c:v>0.01</c:v>
                </c:pt>
                <c:pt idx="506" formatCode="m/d/yyyy">
                  <c:v>0.01</c:v>
                </c:pt>
                <c:pt idx="507" formatCode="m/d/yyyy">
                  <c:v>0.01</c:v>
                </c:pt>
                <c:pt idx="508" formatCode="m/d/yyyy">
                  <c:v>0.01</c:v>
                </c:pt>
                <c:pt idx="509" formatCode="m/d/yyyy">
                  <c:v>0.01</c:v>
                </c:pt>
                <c:pt idx="510" formatCode="m/d/yyyy">
                  <c:v>0.01</c:v>
                </c:pt>
                <c:pt idx="511" formatCode="m/d/yyyy">
                  <c:v>0.01</c:v>
                </c:pt>
                <c:pt idx="512" formatCode="m/d/yyyy">
                  <c:v>0.01</c:v>
                </c:pt>
                <c:pt idx="513" formatCode="m/d/yyyy">
                  <c:v>0.01</c:v>
                </c:pt>
                <c:pt idx="514" formatCode="m/d/yyyy">
                  <c:v>0.01</c:v>
                </c:pt>
                <c:pt idx="515" formatCode="m/d/yyyy">
                  <c:v>0.01</c:v>
                </c:pt>
                <c:pt idx="516" formatCode="m/d/yyyy">
                  <c:v>0.01</c:v>
                </c:pt>
                <c:pt idx="517" formatCode="m/d/yyyy">
                  <c:v>0.01</c:v>
                </c:pt>
                <c:pt idx="518" formatCode="m/d/yyyy">
                  <c:v>0.01</c:v>
                </c:pt>
                <c:pt idx="519" formatCode="m/d/yyyy">
                  <c:v>0.01</c:v>
                </c:pt>
                <c:pt idx="520" formatCode="m/d/yyyy">
                  <c:v>0.01</c:v>
                </c:pt>
                <c:pt idx="521" formatCode="m/d/yyyy">
                  <c:v>0.01</c:v>
                </c:pt>
                <c:pt idx="522" formatCode="m/d/yyyy">
                  <c:v>0.01</c:v>
                </c:pt>
                <c:pt idx="523" formatCode="m/d/yyyy">
                  <c:v>0.01</c:v>
                </c:pt>
                <c:pt idx="524" formatCode="m/d/yyyy">
                  <c:v>0.01</c:v>
                </c:pt>
                <c:pt idx="525" formatCode="m/d/yyyy">
                  <c:v>0.01</c:v>
                </c:pt>
                <c:pt idx="526" formatCode="m/d/yyyy">
                  <c:v>0.01</c:v>
                </c:pt>
                <c:pt idx="527" formatCode="m/d/yyyy">
                  <c:v>0.01</c:v>
                </c:pt>
                <c:pt idx="528" formatCode="m/d/yyyy">
                  <c:v>0.01</c:v>
                </c:pt>
                <c:pt idx="529" formatCode="m/d/yyyy">
                  <c:v>0.01</c:v>
                </c:pt>
                <c:pt idx="530" formatCode="m/d/yyyy">
                  <c:v>0.01</c:v>
                </c:pt>
                <c:pt idx="531" formatCode="m/d/yyyy">
                  <c:v>0.01</c:v>
                </c:pt>
                <c:pt idx="532" formatCode="m/d/yyyy">
                  <c:v>0.01</c:v>
                </c:pt>
                <c:pt idx="533" formatCode="m/d/yyyy">
                  <c:v>0.01</c:v>
                </c:pt>
                <c:pt idx="534" formatCode="m/d/yyyy">
                  <c:v>0.01</c:v>
                </c:pt>
                <c:pt idx="535" formatCode="m/d/yyyy">
                  <c:v>0.01</c:v>
                </c:pt>
                <c:pt idx="536" formatCode="m/d/yyyy">
                  <c:v>0.01</c:v>
                </c:pt>
                <c:pt idx="537" formatCode="m/d/yyyy">
                  <c:v>0.01</c:v>
                </c:pt>
                <c:pt idx="538" formatCode="m/d/yyyy">
                  <c:v>0.01</c:v>
                </c:pt>
                <c:pt idx="539" formatCode="m/d/yyyy">
                  <c:v>0.01</c:v>
                </c:pt>
                <c:pt idx="540" formatCode="m/d/yyyy">
                  <c:v>0.01</c:v>
                </c:pt>
                <c:pt idx="541" formatCode="m/d/yyyy">
                  <c:v>0.01</c:v>
                </c:pt>
                <c:pt idx="542" formatCode="m/d/yyyy">
                  <c:v>0.01</c:v>
                </c:pt>
                <c:pt idx="543" formatCode="m/d/yyyy">
                  <c:v>0.01</c:v>
                </c:pt>
                <c:pt idx="544" formatCode="m/d/yyyy">
                  <c:v>0.01</c:v>
                </c:pt>
                <c:pt idx="545" formatCode="m/d/yyyy">
                  <c:v>0.01</c:v>
                </c:pt>
                <c:pt idx="546" formatCode="m/d/yyyy">
                  <c:v>0.01</c:v>
                </c:pt>
                <c:pt idx="547" formatCode="m/d/yyyy">
                  <c:v>0.01</c:v>
                </c:pt>
                <c:pt idx="548" formatCode="m/d/yyyy">
                  <c:v>0.01</c:v>
                </c:pt>
                <c:pt idx="549" formatCode="m/d/yyyy">
                  <c:v>0.01</c:v>
                </c:pt>
                <c:pt idx="550" formatCode="m/d/yyyy">
                  <c:v>0.01</c:v>
                </c:pt>
                <c:pt idx="551" formatCode="m/d/yyyy">
                  <c:v>0.01</c:v>
                </c:pt>
                <c:pt idx="552" formatCode="m/d/yyyy">
                  <c:v>0.01</c:v>
                </c:pt>
                <c:pt idx="553" formatCode="m/d/yyyy">
                  <c:v>0.01</c:v>
                </c:pt>
                <c:pt idx="554" formatCode="m/d/yyyy">
                  <c:v>0.01</c:v>
                </c:pt>
                <c:pt idx="555" formatCode="m/d/yyyy">
                  <c:v>0.01</c:v>
                </c:pt>
                <c:pt idx="556" formatCode="m/d/yyyy">
                  <c:v>0.01</c:v>
                </c:pt>
                <c:pt idx="557" formatCode="m/d/yyyy">
                  <c:v>0.01</c:v>
                </c:pt>
                <c:pt idx="558" formatCode="m/d/yyyy">
                  <c:v>0.01</c:v>
                </c:pt>
                <c:pt idx="559" formatCode="m/d/yyyy">
                  <c:v>0.01</c:v>
                </c:pt>
                <c:pt idx="560" formatCode="m/d/yyyy">
                  <c:v>0.01</c:v>
                </c:pt>
                <c:pt idx="561" formatCode="m/d/yyyy">
                  <c:v>0.01</c:v>
                </c:pt>
                <c:pt idx="562" formatCode="m/d/yyyy">
                  <c:v>0.01</c:v>
                </c:pt>
                <c:pt idx="563" formatCode="m/d/yyyy">
                  <c:v>0.01</c:v>
                </c:pt>
                <c:pt idx="564" formatCode="m/d/yyyy">
                  <c:v>0.01</c:v>
                </c:pt>
                <c:pt idx="565" formatCode="m/d/yyyy">
                  <c:v>0.01</c:v>
                </c:pt>
                <c:pt idx="566" formatCode="m/d/yyyy">
                  <c:v>0.01</c:v>
                </c:pt>
                <c:pt idx="567" formatCode="m/d/yyyy">
                  <c:v>0.01</c:v>
                </c:pt>
                <c:pt idx="568" formatCode="m/d/yyyy">
                  <c:v>0.01</c:v>
                </c:pt>
                <c:pt idx="569" formatCode="m/d/yyyy">
                  <c:v>0.01</c:v>
                </c:pt>
                <c:pt idx="570" formatCode="m/d/yyyy">
                  <c:v>0.01</c:v>
                </c:pt>
                <c:pt idx="571" formatCode="m/d/yyyy">
                  <c:v>0.01</c:v>
                </c:pt>
                <c:pt idx="572" formatCode="m/d/yyyy">
                  <c:v>0.01</c:v>
                </c:pt>
                <c:pt idx="573" formatCode="m/d/yyyy">
                  <c:v>0.01</c:v>
                </c:pt>
                <c:pt idx="574" formatCode="m/d/yyyy">
                  <c:v>0.01</c:v>
                </c:pt>
                <c:pt idx="575" formatCode="m/d/yyyy">
                  <c:v>0.01</c:v>
                </c:pt>
                <c:pt idx="576" formatCode="m/d/yyyy">
                  <c:v>0.01</c:v>
                </c:pt>
                <c:pt idx="577" formatCode="m/d/yyyy">
                  <c:v>0.01</c:v>
                </c:pt>
                <c:pt idx="578" formatCode="m/d/yyyy">
                  <c:v>0.01</c:v>
                </c:pt>
                <c:pt idx="579" formatCode="m/d/yyyy">
                  <c:v>0.01</c:v>
                </c:pt>
                <c:pt idx="580" formatCode="m/d/yyyy">
                  <c:v>0.01</c:v>
                </c:pt>
                <c:pt idx="581" formatCode="m/d/yyyy">
                  <c:v>0.01</c:v>
                </c:pt>
                <c:pt idx="582" formatCode="m/d/yyyy">
                  <c:v>0.01</c:v>
                </c:pt>
                <c:pt idx="583" formatCode="m/d/yyyy">
                  <c:v>0.01</c:v>
                </c:pt>
                <c:pt idx="584" formatCode="m/d/yyyy">
                  <c:v>0.01</c:v>
                </c:pt>
                <c:pt idx="585" formatCode="m/d/yyyy">
                  <c:v>0.01</c:v>
                </c:pt>
                <c:pt idx="586" formatCode="m/d/yyyy">
                  <c:v>0.01</c:v>
                </c:pt>
                <c:pt idx="587" formatCode="m/d/yyyy">
                  <c:v>0.01</c:v>
                </c:pt>
                <c:pt idx="588" formatCode="m/d/yyyy">
                  <c:v>0.01</c:v>
                </c:pt>
                <c:pt idx="589" formatCode="m/d/yyyy">
                  <c:v>0.01</c:v>
                </c:pt>
                <c:pt idx="590" formatCode="m/d/yyyy">
                  <c:v>0.01</c:v>
                </c:pt>
                <c:pt idx="591" formatCode="m/d/yyyy">
                  <c:v>0.01</c:v>
                </c:pt>
                <c:pt idx="592" formatCode="m/d/yyyy">
                  <c:v>0.01</c:v>
                </c:pt>
                <c:pt idx="593" formatCode="m/d/yyyy">
                  <c:v>0.01</c:v>
                </c:pt>
                <c:pt idx="594" formatCode="m/d/yyyy">
                  <c:v>0.01</c:v>
                </c:pt>
                <c:pt idx="595" formatCode="m/d/yyyy">
                  <c:v>0.01</c:v>
                </c:pt>
                <c:pt idx="596" formatCode="m/d/yyyy">
                  <c:v>0.01</c:v>
                </c:pt>
                <c:pt idx="597" formatCode="m/d/yyyy">
                  <c:v>0.01</c:v>
                </c:pt>
                <c:pt idx="598" formatCode="m/d/yyyy">
                  <c:v>0.01</c:v>
                </c:pt>
                <c:pt idx="599" formatCode="m/d/yyyy">
                  <c:v>0.01</c:v>
                </c:pt>
                <c:pt idx="600" formatCode="m/d/yyyy">
                  <c:v>0.01</c:v>
                </c:pt>
                <c:pt idx="601" formatCode="m/d/yyyy">
                  <c:v>0.01</c:v>
                </c:pt>
                <c:pt idx="602" formatCode="m/d/yyyy">
                  <c:v>0.01</c:v>
                </c:pt>
                <c:pt idx="603" formatCode="m/d/yyyy">
                  <c:v>0.01</c:v>
                </c:pt>
                <c:pt idx="604" formatCode="m/d/yyyy">
                  <c:v>0.01</c:v>
                </c:pt>
                <c:pt idx="605" formatCode="m/d/yyyy">
                  <c:v>0.01</c:v>
                </c:pt>
                <c:pt idx="606" formatCode="m/d/yyyy">
                  <c:v>0.01</c:v>
                </c:pt>
                <c:pt idx="607" formatCode="m/d/yyyy">
                  <c:v>0.01</c:v>
                </c:pt>
                <c:pt idx="608" formatCode="m/d/yyyy">
                  <c:v>0.01</c:v>
                </c:pt>
                <c:pt idx="609" formatCode="m/d/yyyy">
                  <c:v>0.01</c:v>
                </c:pt>
                <c:pt idx="610" formatCode="m/d/yyyy">
                  <c:v>0.01</c:v>
                </c:pt>
                <c:pt idx="611" formatCode="m/d/yyyy">
                  <c:v>0.01</c:v>
                </c:pt>
                <c:pt idx="612" formatCode="m/d/yyyy">
                  <c:v>0.01</c:v>
                </c:pt>
                <c:pt idx="613" formatCode="m/d/yyyy">
                  <c:v>0.01</c:v>
                </c:pt>
                <c:pt idx="614" formatCode="m/d/yyyy">
                  <c:v>0.01</c:v>
                </c:pt>
                <c:pt idx="615" formatCode="m/d/yyyy">
                  <c:v>0.01</c:v>
                </c:pt>
                <c:pt idx="616" formatCode="m/d/yyyy">
                  <c:v>0.01</c:v>
                </c:pt>
                <c:pt idx="617" formatCode="m/d/yyyy">
                  <c:v>0.01</c:v>
                </c:pt>
                <c:pt idx="618" formatCode="m/d/yyyy">
                  <c:v>0.01</c:v>
                </c:pt>
                <c:pt idx="619" formatCode="m/d/yyyy">
                  <c:v>0.01</c:v>
                </c:pt>
                <c:pt idx="620" formatCode="m/d/yyyy">
                  <c:v>0.01</c:v>
                </c:pt>
                <c:pt idx="621" formatCode="m/d/yyyy">
                  <c:v>0.01</c:v>
                </c:pt>
                <c:pt idx="622" formatCode="m/d/yyyy">
                  <c:v>0.01</c:v>
                </c:pt>
                <c:pt idx="623" formatCode="m/d/yyyy">
                  <c:v>0.01</c:v>
                </c:pt>
                <c:pt idx="624" formatCode="m/d/yyyy">
                  <c:v>0.01</c:v>
                </c:pt>
                <c:pt idx="625" formatCode="m/d/yyyy">
                  <c:v>0.01</c:v>
                </c:pt>
                <c:pt idx="626" formatCode="m/d/yyyy">
                  <c:v>0.01</c:v>
                </c:pt>
                <c:pt idx="627" formatCode="m/d/yyyy">
                  <c:v>0.01</c:v>
                </c:pt>
                <c:pt idx="628" formatCode="m/d/yyyy">
                  <c:v>0.01</c:v>
                </c:pt>
                <c:pt idx="629" formatCode="m/d/yyyy">
                  <c:v>0.01</c:v>
                </c:pt>
                <c:pt idx="630" formatCode="m/d/yyyy">
                  <c:v>0.01</c:v>
                </c:pt>
                <c:pt idx="631" formatCode="m/d/yyyy">
                  <c:v>0.01</c:v>
                </c:pt>
                <c:pt idx="632" formatCode="m/d/yyyy">
                  <c:v>0.01</c:v>
                </c:pt>
                <c:pt idx="633" formatCode="m/d/yyyy">
                  <c:v>0.01</c:v>
                </c:pt>
                <c:pt idx="634" formatCode="m/d/yyyy">
                  <c:v>0.01</c:v>
                </c:pt>
                <c:pt idx="635" formatCode="m/d/yyyy">
                  <c:v>0.01</c:v>
                </c:pt>
                <c:pt idx="636" formatCode="m/d/yyyy">
                  <c:v>0.01</c:v>
                </c:pt>
                <c:pt idx="637" formatCode="m/d/yyyy">
                  <c:v>0.01</c:v>
                </c:pt>
                <c:pt idx="638" formatCode="m/d/yyyy">
                  <c:v>0.01</c:v>
                </c:pt>
                <c:pt idx="639" formatCode="m/d/yyyy">
                  <c:v>0.01</c:v>
                </c:pt>
                <c:pt idx="640" formatCode="m/d/yyyy">
                  <c:v>0.01</c:v>
                </c:pt>
                <c:pt idx="641" formatCode="m/d/yyyy">
                  <c:v>0.01</c:v>
                </c:pt>
                <c:pt idx="642" formatCode="m/d/yyyy">
                  <c:v>0.01</c:v>
                </c:pt>
                <c:pt idx="643" formatCode="m/d/yyyy">
                  <c:v>0.01</c:v>
                </c:pt>
                <c:pt idx="644" formatCode="m/d/yyyy">
                  <c:v>0.01</c:v>
                </c:pt>
                <c:pt idx="645" formatCode="m/d/yyyy">
                  <c:v>0.01</c:v>
                </c:pt>
                <c:pt idx="646" formatCode="m/d/yyyy">
                  <c:v>0.01</c:v>
                </c:pt>
                <c:pt idx="647" formatCode="m/d/yyyy">
                  <c:v>0.01</c:v>
                </c:pt>
                <c:pt idx="648" formatCode="m/d/yyyy">
                  <c:v>0.01</c:v>
                </c:pt>
                <c:pt idx="649" formatCode="m/d/yyyy">
                  <c:v>0.01</c:v>
                </c:pt>
                <c:pt idx="650" formatCode="m/d/yyyy">
                  <c:v>0.01</c:v>
                </c:pt>
                <c:pt idx="651" formatCode="m/d/yyyy">
                  <c:v>0.01</c:v>
                </c:pt>
                <c:pt idx="652" formatCode="m/d/yyyy">
                  <c:v>0.01</c:v>
                </c:pt>
                <c:pt idx="653" formatCode="m/d/yyyy">
                  <c:v>0.01</c:v>
                </c:pt>
                <c:pt idx="654" formatCode="m/d/yyyy">
                  <c:v>0.01</c:v>
                </c:pt>
                <c:pt idx="655" formatCode="m/d/yyyy">
                  <c:v>0.01</c:v>
                </c:pt>
                <c:pt idx="656" formatCode="m/d/yyyy">
                  <c:v>0.01</c:v>
                </c:pt>
                <c:pt idx="657" formatCode="m/d/yyyy">
                  <c:v>0.01</c:v>
                </c:pt>
                <c:pt idx="658" formatCode="m/d/yyyy">
                  <c:v>0.01</c:v>
                </c:pt>
                <c:pt idx="659" formatCode="m/d/yyyy">
                  <c:v>0.01</c:v>
                </c:pt>
                <c:pt idx="660" formatCode="m/d/yyyy">
                  <c:v>0.01</c:v>
                </c:pt>
                <c:pt idx="661" formatCode="m/d/yyyy">
                  <c:v>0.01</c:v>
                </c:pt>
                <c:pt idx="662" formatCode="m/d/yyyy">
                  <c:v>0.01</c:v>
                </c:pt>
                <c:pt idx="663" formatCode="m/d/yyyy">
                  <c:v>0.01</c:v>
                </c:pt>
                <c:pt idx="664" formatCode="m/d/yyyy">
                  <c:v>0.01</c:v>
                </c:pt>
                <c:pt idx="665" formatCode="m/d/yyyy">
                  <c:v>0.01</c:v>
                </c:pt>
                <c:pt idx="666" formatCode="m/d/yyyy">
                  <c:v>0.01</c:v>
                </c:pt>
                <c:pt idx="667" formatCode="m/d/yyyy">
                  <c:v>0.01</c:v>
                </c:pt>
                <c:pt idx="668" formatCode="m/d/yyyy">
                  <c:v>0.01</c:v>
                </c:pt>
                <c:pt idx="669" formatCode="m/d/yyyy">
                  <c:v>0.01</c:v>
                </c:pt>
                <c:pt idx="670" formatCode="m/d/yyyy">
                  <c:v>0.01</c:v>
                </c:pt>
                <c:pt idx="671" formatCode="m/d/yyyy">
                  <c:v>0.01</c:v>
                </c:pt>
                <c:pt idx="672" formatCode="m/d/yyyy">
                  <c:v>0.01</c:v>
                </c:pt>
                <c:pt idx="673" formatCode="m/d/yyyy">
                  <c:v>0.01</c:v>
                </c:pt>
                <c:pt idx="674" formatCode="m/d/yyyy">
                  <c:v>0.01</c:v>
                </c:pt>
                <c:pt idx="675" formatCode="m/d/yyyy">
                  <c:v>0.01</c:v>
                </c:pt>
                <c:pt idx="676" formatCode="m/d/yyyy">
                  <c:v>0.01</c:v>
                </c:pt>
                <c:pt idx="677" formatCode="m/d/yyyy">
                  <c:v>0.01</c:v>
                </c:pt>
                <c:pt idx="678" formatCode="m/d/yyyy">
                  <c:v>0.01</c:v>
                </c:pt>
                <c:pt idx="679" formatCode="m/d/yyyy">
                  <c:v>0.01</c:v>
                </c:pt>
                <c:pt idx="680" formatCode="m/d/yyyy">
                  <c:v>0.01</c:v>
                </c:pt>
                <c:pt idx="681" formatCode="m/d/yyyy">
                  <c:v>0.01</c:v>
                </c:pt>
                <c:pt idx="682" formatCode="m/d/yyyy">
                  <c:v>0.01</c:v>
                </c:pt>
                <c:pt idx="683" formatCode="m/d/yyyy">
                  <c:v>0.01</c:v>
                </c:pt>
                <c:pt idx="684" formatCode="m/d/yyyy">
                  <c:v>0.01</c:v>
                </c:pt>
                <c:pt idx="685" formatCode="m/d/yyyy">
                  <c:v>0.01</c:v>
                </c:pt>
                <c:pt idx="686" formatCode="m/d/yyyy">
                  <c:v>0.01</c:v>
                </c:pt>
                <c:pt idx="687" formatCode="m/d/yyyy">
                  <c:v>0.01</c:v>
                </c:pt>
                <c:pt idx="688" formatCode="m/d/yyyy">
                  <c:v>0.01</c:v>
                </c:pt>
                <c:pt idx="689" formatCode="m/d/yyyy">
                  <c:v>0.01</c:v>
                </c:pt>
                <c:pt idx="690" formatCode="m/d/yyyy">
                  <c:v>0.01</c:v>
                </c:pt>
                <c:pt idx="691" formatCode="m/d/yyyy">
                  <c:v>0.01</c:v>
                </c:pt>
                <c:pt idx="692" formatCode="m/d/yyyy">
                  <c:v>0.01</c:v>
                </c:pt>
                <c:pt idx="693" formatCode="m/d/yyyy">
                  <c:v>0.01</c:v>
                </c:pt>
                <c:pt idx="694" formatCode="m/d/yyyy">
                  <c:v>0.01</c:v>
                </c:pt>
                <c:pt idx="695" formatCode="m/d/yyyy">
                  <c:v>0.01</c:v>
                </c:pt>
                <c:pt idx="696" formatCode="m/d/yyyy">
                  <c:v>0.01</c:v>
                </c:pt>
                <c:pt idx="697" formatCode="m/d/yyyy">
                  <c:v>0.01</c:v>
                </c:pt>
                <c:pt idx="698" formatCode="m/d/yyyy">
                  <c:v>0.01</c:v>
                </c:pt>
                <c:pt idx="699" formatCode="m/d/yyyy">
                  <c:v>0.01</c:v>
                </c:pt>
                <c:pt idx="700" formatCode="m/d/yyyy">
                  <c:v>0.01</c:v>
                </c:pt>
                <c:pt idx="701" formatCode="m/d/yyyy">
                  <c:v>0.01</c:v>
                </c:pt>
                <c:pt idx="702" formatCode="m/d/yyyy">
                  <c:v>0.01</c:v>
                </c:pt>
                <c:pt idx="703" formatCode="m/d/yyyy">
                  <c:v>0.01</c:v>
                </c:pt>
                <c:pt idx="704" formatCode="m/d/yyyy">
                  <c:v>0.01</c:v>
                </c:pt>
                <c:pt idx="705" formatCode="m/d/yyyy">
                  <c:v>0.01</c:v>
                </c:pt>
                <c:pt idx="706" formatCode="m/d/yyyy">
                  <c:v>0.01</c:v>
                </c:pt>
                <c:pt idx="707" formatCode="m/d/yyyy">
                  <c:v>0.01</c:v>
                </c:pt>
                <c:pt idx="708" formatCode="m/d/yyyy">
                  <c:v>0.01</c:v>
                </c:pt>
                <c:pt idx="709" formatCode="m/d/yyyy">
                  <c:v>0.01</c:v>
                </c:pt>
                <c:pt idx="710" formatCode="m/d/yyyy">
                  <c:v>0.01</c:v>
                </c:pt>
                <c:pt idx="711" formatCode="m/d/yyyy">
                  <c:v>0.01</c:v>
                </c:pt>
                <c:pt idx="712" formatCode="m/d/yyyy">
                  <c:v>0.01</c:v>
                </c:pt>
                <c:pt idx="713" formatCode="m/d/yyyy">
                  <c:v>0.01</c:v>
                </c:pt>
                <c:pt idx="714" formatCode="m/d/yyyy">
                  <c:v>0.01</c:v>
                </c:pt>
                <c:pt idx="715" formatCode="m/d/yyyy">
                  <c:v>0.01</c:v>
                </c:pt>
                <c:pt idx="716" formatCode="m/d/yyyy">
                  <c:v>0.01</c:v>
                </c:pt>
                <c:pt idx="717" formatCode="m/d/yyyy">
                  <c:v>0.01</c:v>
                </c:pt>
                <c:pt idx="718" formatCode="m/d/yyyy">
                  <c:v>0.01</c:v>
                </c:pt>
                <c:pt idx="719" formatCode="m/d/yyyy">
                  <c:v>0.01</c:v>
                </c:pt>
                <c:pt idx="720" formatCode="m/d/yyyy">
                  <c:v>0.01</c:v>
                </c:pt>
                <c:pt idx="721" formatCode="m/d/yyyy">
                  <c:v>0.01</c:v>
                </c:pt>
                <c:pt idx="722" formatCode="m/d/yyyy">
                  <c:v>0.01</c:v>
                </c:pt>
                <c:pt idx="723" formatCode="m/d/yyyy">
                  <c:v>0.01</c:v>
                </c:pt>
                <c:pt idx="724" formatCode="m/d/yyyy">
                  <c:v>0.01</c:v>
                </c:pt>
                <c:pt idx="725" formatCode="m/d/yyyy">
                  <c:v>0.01</c:v>
                </c:pt>
                <c:pt idx="726" formatCode="m/d/yyyy">
                  <c:v>0.01</c:v>
                </c:pt>
                <c:pt idx="727" formatCode="m/d/yyyy">
                  <c:v>0.01</c:v>
                </c:pt>
                <c:pt idx="728" formatCode="m/d/yyyy">
                  <c:v>0.01</c:v>
                </c:pt>
                <c:pt idx="729" formatCode="m/d/yyyy">
                  <c:v>0.01</c:v>
                </c:pt>
                <c:pt idx="730" formatCode="m/d/yyyy">
                  <c:v>0.01</c:v>
                </c:pt>
                <c:pt idx="731" formatCode="m/d/yyyy">
                  <c:v>0.01</c:v>
                </c:pt>
                <c:pt idx="732" formatCode="m/d/yyyy">
                  <c:v>0.01</c:v>
                </c:pt>
                <c:pt idx="733" formatCode="m/d/yyyy">
                  <c:v>0.01</c:v>
                </c:pt>
                <c:pt idx="734" formatCode="m/d/yyyy">
                  <c:v>0.01</c:v>
                </c:pt>
                <c:pt idx="735" formatCode="m/d/yyyy">
                  <c:v>0.01</c:v>
                </c:pt>
                <c:pt idx="736" formatCode="m/d/yyyy">
                  <c:v>0.01</c:v>
                </c:pt>
                <c:pt idx="737" formatCode="m/d/yyyy">
                  <c:v>0.01</c:v>
                </c:pt>
                <c:pt idx="738" formatCode="m/d/yyyy">
                  <c:v>0.01</c:v>
                </c:pt>
                <c:pt idx="739" formatCode="m/d/yyyy">
                  <c:v>0.01</c:v>
                </c:pt>
                <c:pt idx="740" formatCode="m/d/yyyy">
                  <c:v>0.01</c:v>
                </c:pt>
                <c:pt idx="741" formatCode="m/d/yyyy">
                  <c:v>0.01</c:v>
                </c:pt>
                <c:pt idx="742" formatCode="m/d/yyyy">
                  <c:v>0.01</c:v>
                </c:pt>
                <c:pt idx="743" formatCode="m/d/yyyy">
                  <c:v>0.01</c:v>
                </c:pt>
                <c:pt idx="744" formatCode="m/d/yyyy">
                  <c:v>0.01</c:v>
                </c:pt>
                <c:pt idx="745" formatCode="m/d/yyyy">
                  <c:v>0.01</c:v>
                </c:pt>
                <c:pt idx="746" formatCode="m/d/yyyy">
                  <c:v>0.01</c:v>
                </c:pt>
                <c:pt idx="747" formatCode="m/d/yyyy">
                  <c:v>0.01</c:v>
                </c:pt>
                <c:pt idx="748" formatCode="m/d/yyyy">
                  <c:v>0.01</c:v>
                </c:pt>
                <c:pt idx="749" formatCode="m/d/yyyy">
                  <c:v>0.01</c:v>
                </c:pt>
                <c:pt idx="750" formatCode="m/d/yyyy">
                  <c:v>0.01</c:v>
                </c:pt>
                <c:pt idx="751" formatCode="m/d/yyyy">
                  <c:v>0.01</c:v>
                </c:pt>
                <c:pt idx="752" formatCode="m/d/yyyy">
                  <c:v>0.01</c:v>
                </c:pt>
                <c:pt idx="753" formatCode="m/d/yyyy">
                  <c:v>0.01</c:v>
                </c:pt>
                <c:pt idx="754" formatCode="m/d/yyyy">
                  <c:v>0.01</c:v>
                </c:pt>
                <c:pt idx="755" formatCode="m/d/yyyy">
                  <c:v>0.01</c:v>
                </c:pt>
                <c:pt idx="756" formatCode="m/d/yyyy">
                  <c:v>0.01</c:v>
                </c:pt>
                <c:pt idx="757" formatCode="m/d/yyyy">
                  <c:v>0.01</c:v>
                </c:pt>
                <c:pt idx="758" formatCode="m/d/yyyy">
                  <c:v>0.01</c:v>
                </c:pt>
                <c:pt idx="759" formatCode="m/d/yyyy">
                  <c:v>0.01</c:v>
                </c:pt>
                <c:pt idx="760" formatCode="m/d/yyyy">
                  <c:v>0.01</c:v>
                </c:pt>
                <c:pt idx="761" formatCode="m/d/yyyy">
                  <c:v>0.01</c:v>
                </c:pt>
                <c:pt idx="762" formatCode="m/d/yyyy">
                  <c:v>0.01</c:v>
                </c:pt>
                <c:pt idx="763" formatCode="m/d/yyyy">
                  <c:v>0.01</c:v>
                </c:pt>
                <c:pt idx="764" formatCode="m/d/yyyy">
                  <c:v>0.01</c:v>
                </c:pt>
                <c:pt idx="765" formatCode="m/d/yyyy">
                  <c:v>0.01</c:v>
                </c:pt>
                <c:pt idx="766" formatCode="m/d/yyyy">
                  <c:v>0.01</c:v>
                </c:pt>
                <c:pt idx="767" formatCode="m/d/yyyy">
                  <c:v>0.01</c:v>
                </c:pt>
                <c:pt idx="768" formatCode="m/d/yyyy">
                  <c:v>0.01</c:v>
                </c:pt>
                <c:pt idx="769" formatCode="m/d/yyyy">
                  <c:v>0.01</c:v>
                </c:pt>
                <c:pt idx="770" formatCode="m/d/yyyy">
                  <c:v>0.01</c:v>
                </c:pt>
                <c:pt idx="771" formatCode="m/d/yyyy">
                  <c:v>0.01</c:v>
                </c:pt>
                <c:pt idx="772" formatCode="m/d/yyyy">
                  <c:v>0.01</c:v>
                </c:pt>
                <c:pt idx="773" formatCode="m/d/yyyy">
                  <c:v>0.01</c:v>
                </c:pt>
                <c:pt idx="774" formatCode="m/d/yyyy">
                  <c:v>0.01</c:v>
                </c:pt>
                <c:pt idx="775" formatCode="m/d/yyyy">
                  <c:v>0.01</c:v>
                </c:pt>
                <c:pt idx="776" formatCode="m/d/yyyy">
                  <c:v>0.01</c:v>
                </c:pt>
                <c:pt idx="777" formatCode="m/d/yyyy">
                  <c:v>0.01</c:v>
                </c:pt>
                <c:pt idx="778" formatCode="m/d/yyyy">
                  <c:v>0.01</c:v>
                </c:pt>
                <c:pt idx="779" formatCode="m/d/yyyy">
                  <c:v>0.01</c:v>
                </c:pt>
                <c:pt idx="780" formatCode="m/d/yyyy">
                  <c:v>0.01</c:v>
                </c:pt>
                <c:pt idx="781" formatCode="m/d/yyyy">
                  <c:v>0.01</c:v>
                </c:pt>
                <c:pt idx="782" formatCode="m/d/yyyy">
                  <c:v>0.01</c:v>
                </c:pt>
                <c:pt idx="783" formatCode="m/d/yyyy">
                  <c:v>0.01</c:v>
                </c:pt>
                <c:pt idx="784" formatCode="m/d/yyyy">
                  <c:v>0.01</c:v>
                </c:pt>
                <c:pt idx="785" formatCode="m/d/yyyy">
                  <c:v>0.01</c:v>
                </c:pt>
                <c:pt idx="786" formatCode="m/d/yyyy">
                  <c:v>0.01</c:v>
                </c:pt>
                <c:pt idx="787" formatCode="m/d/yyyy">
                  <c:v>0.01</c:v>
                </c:pt>
                <c:pt idx="788" formatCode="m/d/yyyy">
                  <c:v>0.01</c:v>
                </c:pt>
                <c:pt idx="789" formatCode="m/d/yyyy">
                  <c:v>0.01</c:v>
                </c:pt>
                <c:pt idx="790" formatCode="m/d/yyyy">
                  <c:v>0.01</c:v>
                </c:pt>
                <c:pt idx="791" formatCode="m/d/yyyy">
                  <c:v>0.01</c:v>
                </c:pt>
                <c:pt idx="792" formatCode="m/d/yyyy">
                  <c:v>0.01</c:v>
                </c:pt>
                <c:pt idx="793" formatCode="m/d/yyyy">
                  <c:v>0.01</c:v>
                </c:pt>
                <c:pt idx="794" formatCode="m/d/yyyy">
                  <c:v>0.01</c:v>
                </c:pt>
                <c:pt idx="795" formatCode="m/d/yyyy">
                  <c:v>0.01</c:v>
                </c:pt>
                <c:pt idx="796" formatCode="m/d/yyyy">
                  <c:v>0.01</c:v>
                </c:pt>
                <c:pt idx="797" formatCode="m/d/yyyy">
                  <c:v>0.01</c:v>
                </c:pt>
                <c:pt idx="798" formatCode="m/d/yyyy">
                  <c:v>0.01</c:v>
                </c:pt>
                <c:pt idx="799" formatCode="m/d/yyyy">
                  <c:v>0.01</c:v>
                </c:pt>
                <c:pt idx="800" formatCode="m/d/yyyy">
                  <c:v>0.01</c:v>
                </c:pt>
                <c:pt idx="801" formatCode="m/d/yyyy">
                  <c:v>0.01</c:v>
                </c:pt>
                <c:pt idx="802" formatCode="m/d/yyyy">
                  <c:v>0.01</c:v>
                </c:pt>
                <c:pt idx="803" formatCode="m/d/yyyy">
                  <c:v>0.01</c:v>
                </c:pt>
                <c:pt idx="804" formatCode="m/d/yyyy">
                  <c:v>0.01</c:v>
                </c:pt>
                <c:pt idx="805" formatCode="m/d/yyyy">
                  <c:v>0.01</c:v>
                </c:pt>
                <c:pt idx="806" formatCode="m/d/yyyy">
                  <c:v>0.01</c:v>
                </c:pt>
                <c:pt idx="807" formatCode="m/d/yyyy">
                  <c:v>0.01</c:v>
                </c:pt>
                <c:pt idx="808" formatCode="m/d/yyyy">
                  <c:v>0.01</c:v>
                </c:pt>
                <c:pt idx="809" formatCode="m/d/yyyy">
                  <c:v>0.01</c:v>
                </c:pt>
                <c:pt idx="810" formatCode="m/d/yyyy">
                  <c:v>0.01</c:v>
                </c:pt>
                <c:pt idx="811" formatCode="m/d/yyyy">
                  <c:v>0.01</c:v>
                </c:pt>
                <c:pt idx="812" formatCode="m/d/yyyy">
                  <c:v>0.01</c:v>
                </c:pt>
                <c:pt idx="813" formatCode="m/d/yyyy">
                  <c:v>0.01</c:v>
                </c:pt>
                <c:pt idx="814" formatCode="m/d/yyyy">
                  <c:v>0.01</c:v>
                </c:pt>
                <c:pt idx="815" formatCode="m/d/yyyy">
                  <c:v>0.01</c:v>
                </c:pt>
                <c:pt idx="816" formatCode="m/d/yyyy">
                  <c:v>0.01</c:v>
                </c:pt>
                <c:pt idx="817" formatCode="m/d/yyyy">
                  <c:v>0.01</c:v>
                </c:pt>
                <c:pt idx="818" formatCode="m/d/yyyy">
                  <c:v>0.01</c:v>
                </c:pt>
                <c:pt idx="819" formatCode="m/d/yyyy">
                  <c:v>0.01</c:v>
                </c:pt>
                <c:pt idx="820" formatCode="m/d/yyyy">
                  <c:v>0.01</c:v>
                </c:pt>
                <c:pt idx="821" formatCode="m/d/yyyy">
                  <c:v>0.01</c:v>
                </c:pt>
                <c:pt idx="822" formatCode="m/d/yyyy">
                  <c:v>0.01</c:v>
                </c:pt>
                <c:pt idx="823" formatCode="m/d/yyyy">
                  <c:v>0.01</c:v>
                </c:pt>
                <c:pt idx="824" formatCode="m/d/yyyy">
                  <c:v>0.01</c:v>
                </c:pt>
                <c:pt idx="825" formatCode="m/d/yyyy">
                  <c:v>0.01</c:v>
                </c:pt>
                <c:pt idx="826" formatCode="m/d/yyyy">
                  <c:v>0.01</c:v>
                </c:pt>
                <c:pt idx="827" formatCode="m/d/yyyy">
                  <c:v>0.01</c:v>
                </c:pt>
                <c:pt idx="828" formatCode="m/d/yyyy">
                  <c:v>0.01</c:v>
                </c:pt>
                <c:pt idx="829" formatCode="m/d/yyyy">
                  <c:v>0.01</c:v>
                </c:pt>
                <c:pt idx="830" formatCode="m/d/yyyy">
                  <c:v>0.01</c:v>
                </c:pt>
                <c:pt idx="831" formatCode="m/d/yyyy">
                  <c:v>0.01</c:v>
                </c:pt>
                <c:pt idx="832" formatCode="m/d/yyyy">
                  <c:v>0.01</c:v>
                </c:pt>
                <c:pt idx="833" formatCode="m/d/yyyy">
                  <c:v>0.01</c:v>
                </c:pt>
                <c:pt idx="834" formatCode="m/d/yyyy">
                  <c:v>0.01</c:v>
                </c:pt>
                <c:pt idx="835" formatCode="m/d/yyyy">
                  <c:v>0.01</c:v>
                </c:pt>
                <c:pt idx="836" formatCode="m/d/yyyy">
                  <c:v>0.01</c:v>
                </c:pt>
                <c:pt idx="837" formatCode="m/d/yyyy">
                  <c:v>0.01</c:v>
                </c:pt>
                <c:pt idx="838" formatCode="m/d/yyyy">
                  <c:v>0.01</c:v>
                </c:pt>
                <c:pt idx="839" formatCode="m/d/yyyy">
                  <c:v>0.01</c:v>
                </c:pt>
                <c:pt idx="840" formatCode="m/d/yyyy">
                  <c:v>0.01</c:v>
                </c:pt>
                <c:pt idx="841" formatCode="m/d/yyyy">
                  <c:v>0.01</c:v>
                </c:pt>
                <c:pt idx="842" formatCode="m/d/yyyy">
                  <c:v>0.01</c:v>
                </c:pt>
                <c:pt idx="843" formatCode="m/d/yyyy">
                  <c:v>0.01</c:v>
                </c:pt>
                <c:pt idx="844" formatCode="m/d/yyyy">
                  <c:v>0.01</c:v>
                </c:pt>
                <c:pt idx="845" formatCode="m/d/yyyy">
                  <c:v>0.01</c:v>
                </c:pt>
                <c:pt idx="846" formatCode="m/d/yyyy">
                  <c:v>0.01</c:v>
                </c:pt>
                <c:pt idx="847" formatCode="m/d/yyyy">
                  <c:v>0.01</c:v>
                </c:pt>
                <c:pt idx="848" formatCode="m/d/yyyy">
                  <c:v>0.01</c:v>
                </c:pt>
                <c:pt idx="849" formatCode="m/d/yyyy">
                  <c:v>0.01</c:v>
                </c:pt>
                <c:pt idx="850" formatCode="m/d/yyyy">
                  <c:v>0.01</c:v>
                </c:pt>
                <c:pt idx="851" formatCode="m/d/yyyy">
                  <c:v>0.01</c:v>
                </c:pt>
                <c:pt idx="852" formatCode="m/d/yyyy">
                  <c:v>0.01</c:v>
                </c:pt>
                <c:pt idx="853" formatCode="m/d/yyyy">
                  <c:v>0.01</c:v>
                </c:pt>
                <c:pt idx="854" formatCode="m/d/yyyy">
                  <c:v>0.01</c:v>
                </c:pt>
                <c:pt idx="855" formatCode="m/d/yyyy">
                  <c:v>0.01</c:v>
                </c:pt>
                <c:pt idx="856" formatCode="m/d/yyyy">
                  <c:v>0.01</c:v>
                </c:pt>
                <c:pt idx="857" formatCode="m/d/yyyy">
                  <c:v>0.01</c:v>
                </c:pt>
                <c:pt idx="858" formatCode="m/d/yyyy">
                  <c:v>0.01</c:v>
                </c:pt>
                <c:pt idx="859" formatCode="m/d/yyyy">
                  <c:v>0.01</c:v>
                </c:pt>
                <c:pt idx="860" formatCode="m/d/yyyy">
                  <c:v>0.01</c:v>
                </c:pt>
                <c:pt idx="861" formatCode="m/d/yyyy">
                  <c:v>0.01</c:v>
                </c:pt>
                <c:pt idx="862" formatCode="m/d/yyyy">
                  <c:v>0.01</c:v>
                </c:pt>
                <c:pt idx="863" formatCode="m/d/yyyy">
                  <c:v>0.01</c:v>
                </c:pt>
                <c:pt idx="864" formatCode="m/d/yyyy">
                  <c:v>0.01</c:v>
                </c:pt>
                <c:pt idx="865" formatCode="m/d/yyyy">
                  <c:v>0.01</c:v>
                </c:pt>
                <c:pt idx="866" formatCode="m/d/yyyy">
                  <c:v>0.01</c:v>
                </c:pt>
                <c:pt idx="867" formatCode="m/d/yyyy">
                  <c:v>0.01</c:v>
                </c:pt>
                <c:pt idx="868" formatCode="m/d/yyyy">
                  <c:v>0.01</c:v>
                </c:pt>
                <c:pt idx="869" formatCode="m/d/yyyy">
                  <c:v>0.01</c:v>
                </c:pt>
                <c:pt idx="870" formatCode="m/d/yyyy">
                  <c:v>0.01</c:v>
                </c:pt>
                <c:pt idx="871" formatCode="m/d/yyyy">
                  <c:v>0.01</c:v>
                </c:pt>
                <c:pt idx="872" formatCode="m/d/yyyy">
                  <c:v>0.01</c:v>
                </c:pt>
                <c:pt idx="873" formatCode="m/d/yyyy">
                  <c:v>0.01</c:v>
                </c:pt>
                <c:pt idx="874" formatCode="m/d/yyyy">
                  <c:v>0.01</c:v>
                </c:pt>
                <c:pt idx="875" formatCode="m/d/yyyy">
                  <c:v>0.01</c:v>
                </c:pt>
                <c:pt idx="876" formatCode="m/d/yyyy">
                  <c:v>0.01</c:v>
                </c:pt>
                <c:pt idx="877" formatCode="m/d/yyyy">
                  <c:v>0.01</c:v>
                </c:pt>
                <c:pt idx="878" formatCode="m/d/yyyy">
                  <c:v>0.01</c:v>
                </c:pt>
                <c:pt idx="879" formatCode="m/d/yyyy">
                  <c:v>0.01</c:v>
                </c:pt>
                <c:pt idx="880" formatCode="m/d/yyyy">
                  <c:v>0.01</c:v>
                </c:pt>
                <c:pt idx="881" formatCode="m/d/yyyy">
                  <c:v>0.01</c:v>
                </c:pt>
                <c:pt idx="882" formatCode="m/d/yyyy">
                  <c:v>0.01</c:v>
                </c:pt>
                <c:pt idx="883" formatCode="m/d/yyyy">
                  <c:v>0.01</c:v>
                </c:pt>
                <c:pt idx="884" formatCode="m/d/yyyy">
                  <c:v>0.01</c:v>
                </c:pt>
                <c:pt idx="885" formatCode="m/d/yyyy">
                  <c:v>0.01</c:v>
                </c:pt>
                <c:pt idx="886" formatCode="m/d/yyyy">
                  <c:v>0.01</c:v>
                </c:pt>
                <c:pt idx="887" formatCode="m/d/yyyy">
                  <c:v>0.01</c:v>
                </c:pt>
                <c:pt idx="888" formatCode="m/d/yyyy">
                  <c:v>0.01</c:v>
                </c:pt>
                <c:pt idx="889" formatCode="m/d/yyyy">
                  <c:v>0.01</c:v>
                </c:pt>
                <c:pt idx="890" formatCode="m/d/yyyy">
                  <c:v>0.01</c:v>
                </c:pt>
                <c:pt idx="891" formatCode="m/d/yyyy">
                  <c:v>0.01</c:v>
                </c:pt>
                <c:pt idx="892" formatCode="m/d/yyyy">
                  <c:v>0.01</c:v>
                </c:pt>
                <c:pt idx="893" formatCode="m/d/yyyy">
                  <c:v>0.01</c:v>
                </c:pt>
                <c:pt idx="894" formatCode="m/d/yyyy">
                  <c:v>0.01</c:v>
                </c:pt>
                <c:pt idx="895" formatCode="m/d/yyyy">
                  <c:v>0.01</c:v>
                </c:pt>
                <c:pt idx="896" formatCode="m/d/yyyy">
                  <c:v>0.01</c:v>
                </c:pt>
                <c:pt idx="897" formatCode="m/d/yyyy">
                  <c:v>0.01</c:v>
                </c:pt>
                <c:pt idx="898" formatCode="m/d/yyyy">
                  <c:v>0.01</c:v>
                </c:pt>
                <c:pt idx="899" formatCode="m/d/yyyy">
                  <c:v>0.01</c:v>
                </c:pt>
                <c:pt idx="900" formatCode="m/d/yyyy">
                  <c:v>0.01</c:v>
                </c:pt>
                <c:pt idx="901" formatCode="m/d/yyyy">
                  <c:v>0.01</c:v>
                </c:pt>
                <c:pt idx="902" formatCode="m/d/yyyy">
                  <c:v>0.01</c:v>
                </c:pt>
                <c:pt idx="903" formatCode="m/d/yyyy">
                  <c:v>0.01</c:v>
                </c:pt>
                <c:pt idx="904" formatCode="m/d/yyyy">
                  <c:v>0.01</c:v>
                </c:pt>
                <c:pt idx="905" formatCode="m/d/yyyy">
                  <c:v>0.01</c:v>
                </c:pt>
                <c:pt idx="906" formatCode="m/d/yyyy">
                  <c:v>0.01</c:v>
                </c:pt>
                <c:pt idx="907" formatCode="m/d/yyyy">
                  <c:v>0.01</c:v>
                </c:pt>
                <c:pt idx="908" formatCode="m/d/yyyy">
                  <c:v>0.01</c:v>
                </c:pt>
                <c:pt idx="909" formatCode="m/d/yyyy">
                  <c:v>0.01</c:v>
                </c:pt>
                <c:pt idx="910" formatCode="m/d/yyyy">
                  <c:v>0.01</c:v>
                </c:pt>
                <c:pt idx="911" formatCode="m/d/yyyy">
                  <c:v>0.01</c:v>
                </c:pt>
                <c:pt idx="912" formatCode="m/d/yyyy">
                  <c:v>0.01</c:v>
                </c:pt>
                <c:pt idx="913" formatCode="m/d/yyyy">
                  <c:v>0.01</c:v>
                </c:pt>
                <c:pt idx="914" formatCode="m/d/yyyy">
                  <c:v>0.01</c:v>
                </c:pt>
                <c:pt idx="915" formatCode="m/d/yyyy">
                  <c:v>0.01</c:v>
                </c:pt>
                <c:pt idx="916" formatCode="m/d/yyyy">
                  <c:v>0.01</c:v>
                </c:pt>
                <c:pt idx="917" formatCode="m/d/yyyy">
                  <c:v>0.01</c:v>
                </c:pt>
                <c:pt idx="918" formatCode="m/d/yyyy">
                  <c:v>0.01</c:v>
                </c:pt>
                <c:pt idx="919" formatCode="m/d/yyyy">
                  <c:v>0.01</c:v>
                </c:pt>
                <c:pt idx="920" formatCode="m/d/yyyy">
                  <c:v>0.01</c:v>
                </c:pt>
                <c:pt idx="921" formatCode="m/d/yyyy">
                  <c:v>0.01</c:v>
                </c:pt>
                <c:pt idx="922" formatCode="m/d/yyyy">
                  <c:v>0.01</c:v>
                </c:pt>
                <c:pt idx="923" formatCode="m/d/yyyy">
                  <c:v>0.01</c:v>
                </c:pt>
                <c:pt idx="924" formatCode="m/d/yyyy">
                  <c:v>0.01</c:v>
                </c:pt>
                <c:pt idx="925" formatCode="m/d/yyyy">
                  <c:v>0.01</c:v>
                </c:pt>
                <c:pt idx="926" formatCode="m/d/yyyy">
                  <c:v>0.01</c:v>
                </c:pt>
                <c:pt idx="927" formatCode="m/d/yyyy">
                  <c:v>0.01</c:v>
                </c:pt>
                <c:pt idx="928" formatCode="m/d/yyyy">
                  <c:v>0.01</c:v>
                </c:pt>
                <c:pt idx="929" formatCode="m/d/yyyy">
                  <c:v>0.01</c:v>
                </c:pt>
                <c:pt idx="930" formatCode="m/d/yyyy">
                  <c:v>0.01</c:v>
                </c:pt>
                <c:pt idx="931" formatCode="m/d/yyyy">
                  <c:v>0.01</c:v>
                </c:pt>
                <c:pt idx="932" formatCode="m/d/yyyy">
                  <c:v>0.01</c:v>
                </c:pt>
                <c:pt idx="933" formatCode="m/d/yyyy">
                  <c:v>0.01</c:v>
                </c:pt>
                <c:pt idx="934" formatCode="m/d/yyyy">
                  <c:v>0.01</c:v>
                </c:pt>
                <c:pt idx="935" formatCode="m/d/yyyy">
                  <c:v>0.01</c:v>
                </c:pt>
                <c:pt idx="936" formatCode="m/d/yyyy">
                  <c:v>0.01</c:v>
                </c:pt>
                <c:pt idx="937" formatCode="m/d/yyyy">
                  <c:v>0.01</c:v>
                </c:pt>
                <c:pt idx="938" formatCode="m/d/yyyy">
                  <c:v>0.01</c:v>
                </c:pt>
                <c:pt idx="939" formatCode="m/d/yyyy">
                  <c:v>0.01</c:v>
                </c:pt>
                <c:pt idx="940" formatCode="m/d/yyyy">
                  <c:v>0.01</c:v>
                </c:pt>
                <c:pt idx="941" formatCode="m/d/yyyy">
                  <c:v>0.01</c:v>
                </c:pt>
                <c:pt idx="942" formatCode="m/d/yyyy">
                  <c:v>0.01</c:v>
                </c:pt>
                <c:pt idx="943" formatCode="m/d/yyyy">
                  <c:v>0.01</c:v>
                </c:pt>
                <c:pt idx="944" formatCode="m/d/yyyy">
                  <c:v>0.01</c:v>
                </c:pt>
                <c:pt idx="945" formatCode="m/d/yyyy">
                  <c:v>0.01</c:v>
                </c:pt>
                <c:pt idx="946" formatCode="m/d/yyyy">
                  <c:v>0.01</c:v>
                </c:pt>
                <c:pt idx="947" formatCode="m/d/yyyy">
                  <c:v>0.01</c:v>
                </c:pt>
                <c:pt idx="948" formatCode="m/d/yyyy">
                  <c:v>0.01</c:v>
                </c:pt>
                <c:pt idx="949" formatCode="m/d/yyyy">
                  <c:v>0.01</c:v>
                </c:pt>
                <c:pt idx="950" formatCode="m/d/yyyy">
                  <c:v>0.01</c:v>
                </c:pt>
                <c:pt idx="951" formatCode="m/d/yyyy">
                  <c:v>0.01</c:v>
                </c:pt>
                <c:pt idx="952" formatCode="m/d/yyyy">
                  <c:v>0.01</c:v>
                </c:pt>
                <c:pt idx="953" formatCode="m/d/yyyy">
                  <c:v>0.01</c:v>
                </c:pt>
                <c:pt idx="954" formatCode="m/d/yyyy">
                  <c:v>0.01</c:v>
                </c:pt>
                <c:pt idx="955" formatCode="m/d/yyyy">
                  <c:v>0.01</c:v>
                </c:pt>
                <c:pt idx="956" formatCode="m/d/yyyy">
                  <c:v>0.01</c:v>
                </c:pt>
                <c:pt idx="957" formatCode="m/d/yyyy">
                  <c:v>0.01</c:v>
                </c:pt>
                <c:pt idx="958" formatCode="m/d/yyyy">
                  <c:v>0.01</c:v>
                </c:pt>
                <c:pt idx="959" formatCode="m/d/yyyy">
                  <c:v>0.01</c:v>
                </c:pt>
                <c:pt idx="960" formatCode="m/d/yyyy">
                  <c:v>0.01</c:v>
                </c:pt>
                <c:pt idx="961" formatCode="m/d/yyyy">
                  <c:v>0.01</c:v>
                </c:pt>
                <c:pt idx="962" formatCode="m/d/yyyy">
                  <c:v>0.01</c:v>
                </c:pt>
                <c:pt idx="963" formatCode="m/d/yyyy">
                  <c:v>0.01</c:v>
                </c:pt>
                <c:pt idx="964" formatCode="m/d/yyyy">
                  <c:v>0.01</c:v>
                </c:pt>
                <c:pt idx="965" formatCode="m/d/yyyy">
                  <c:v>0.01</c:v>
                </c:pt>
                <c:pt idx="966" formatCode="m/d/yyyy">
                  <c:v>0.01</c:v>
                </c:pt>
                <c:pt idx="967" formatCode="m/d/yyyy">
                  <c:v>0.01</c:v>
                </c:pt>
                <c:pt idx="968" formatCode="m/d/yyyy">
                  <c:v>0.01</c:v>
                </c:pt>
                <c:pt idx="969" formatCode="m/d/yyyy">
                  <c:v>0.01</c:v>
                </c:pt>
                <c:pt idx="970" formatCode="m/d/yyyy">
                  <c:v>0.01</c:v>
                </c:pt>
                <c:pt idx="971" formatCode="m/d/yyyy">
                  <c:v>0.01</c:v>
                </c:pt>
                <c:pt idx="972" formatCode="m/d/yyyy">
                  <c:v>0.01</c:v>
                </c:pt>
                <c:pt idx="973" formatCode="m/d/yyyy">
                  <c:v>0.01</c:v>
                </c:pt>
                <c:pt idx="974" formatCode="m/d/yyyy">
                  <c:v>0.01</c:v>
                </c:pt>
                <c:pt idx="975" formatCode="m/d/yyyy">
                  <c:v>0.01</c:v>
                </c:pt>
                <c:pt idx="976" formatCode="m/d/yyyy">
                  <c:v>0.01</c:v>
                </c:pt>
                <c:pt idx="977" formatCode="m/d/yyyy">
                  <c:v>0.01</c:v>
                </c:pt>
                <c:pt idx="978" formatCode="m/d/yyyy">
                  <c:v>0.01</c:v>
                </c:pt>
                <c:pt idx="979" formatCode="m/d/yyyy">
                  <c:v>0.01</c:v>
                </c:pt>
                <c:pt idx="980" formatCode="m/d/yyyy">
                  <c:v>0.01</c:v>
                </c:pt>
                <c:pt idx="981" formatCode="m/d/yyyy">
                  <c:v>0.01</c:v>
                </c:pt>
                <c:pt idx="982" formatCode="m/d/yyyy">
                  <c:v>0.01</c:v>
                </c:pt>
                <c:pt idx="983" formatCode="m/d/yyyy">
                  <c:v>0.01</c:v>
                </c:pt>
                <c:pt idx="984" formatCode="m/d/yyyy">
                  <c:v>0.01</c:v>
                </c:pt>
                <c:pt idx="985" formatCode="m/d/yyyy">
                  <c:v>0.01</c:v>
                </c:pt>
                <c:pt idx="986" formatCode="m/d/yyyy">
                  <c:v>0.01</c:v>
                </c:pt>
                <c:pt idx="987" formatCode="m/d/yyyy">
                  <c:v>0.01</c:v>
                </c:pt>
                <c:pt idx="988" formatCode="m/d/yyyy">
                  <c:v>0.01</c:v>
                </c:pt>
                <c:pt idx="989" formatCode="m/d/yyyy">
                  <c:v>0.01</c:v>
                </c:pt>
                <c:pt idx="990" formatCode="m/d/yyyy">
                  <c:v>0.01</c:v>
                </c:pt>
                <c:pt idx="991" formatCode="m/d/yyyy">
                  <c:v>0.01</c:v>
                </c:pt>
                <c:pt idx="992" formatCode="m/d/yyyy">
                  <c:v>0.01</c:v>
                </c:pt>
                <c:pt idx="993" formatCode="m/d/yyyy">
                  <c:v>0.01</c:v>
                </c:pt>
                <c:pt idx="994" formatCode="m/d/yyyy">
                  <c:v>0.01</c:v>
                </c:pt>
                <c:pt idx="995" formatCode="m/d/yyyy">
                  <c:v>0.01</c:v>
                </c:pt>
                <c:pt idx="996" formatCode="m/d/yyyy">
                  <c:v>0.01</c:v>
                </c:pt>
                <c:pt idx="997" formatCode="m/d/yyyy">
                  <c:v>0.01</c:v>
                </c:pt>
                <c:pt idx="998" formatCode="m/d/yyyy">
                  <c:v>0.01</c:v>
                </c:pt>
                <c:pt idx="999" formatCode="m/d/yyyy">
                  <c:v>0.01</c:v>
                </c:pt>
                <c:pt idx="1000" formatCode="m/d/yyyy">
                  <c:v>0.01</c:v>
                </c:pt>
                <c:pt idx="1001" formatCode="m/d/yyyy">
                  <c:v>0.01</c:v>
                </c:pt>
                <c:pt idx="1002" formatCode="m/d/yyyy">
                  <c:v>0.01</c:v>
                </c:pt>
                <c:pt idx="1003" formatCode="m/d/yyyy">
                  <c:v>0.01</c:v>
                </c:pt>
                <c:pt idx="1004" formatCode="m/d/yyyy">
                  <c:v>0.01</c:v>
                </c:pt>
                <c:pt idx="1005" formatCode="m/d/yyyy">
                  <c:v>0.01</c:v>
                </c:pt>
                <c:pt idx="1006" formatCode="m/d/yyyy">
                  <c:v>0.01</c:v>
                </c:pt>
                <c:pt idx="1007" formatCode="m/d/yyyy">
                  <c:v>0.01</c:v>
                </c:pt>
                <c:pt idx="1008" formatCode="m/d/yyyy">
                  <c:v>0.01</c:v>
                </c:pt>
                <c:pt idx="1009" formatCode="m/d/yyyy">
                  <c:v>0.01</c:v>
                </c:pt>
                <c:pt idx="1010" formatCode="m/d/yyyy">
                  <c:v>0.01</c:v>
                </c:pt>
                <c:pt idx="1011" formatCode="m/d/yyyy">
                  <c:v>0.01</c:v>
                </c:pt>
                <c:pt idx="1012" formatCode="m/d/yyyy">
                  <c:v>0.01</c:v>
                </c:pt>
                <c:pt idx="1013" formatCode="m/d/yyyy">
                  <c:v>0.01</c:v>
                </c:pt>
                <c:pt idx="1014" formatCode="m/d/yyyy">
                  <c:v>0.01</c:v>
                </c:pt>
                <c:pt idx="1015" formatCode="m/d/yyyy">
                  <c:v>0.01</c:v>
                </c:pt>
                <c:pt idx="1016" formatCode="m/d/yyyy">
                  <c:v>0.01</c:v>
                </c:pt>
                <c:pt idx="1017" formatCode="m/d/yyyy">
                  <c:v>0.01</c:v>
                </c:pt>
                <c:pt idx="1018" formatCode="m/d/yyyy">
                  <c:v>0.01</c:v>
                </c:pt>
                <c:pt idx="1019" formatCode="m/d/yyyy">
                  <c:v>0.01</c:v>
                </c:pt>
                <c:pt idx="1020" formatCode="m/d/yyyy">
                  <c:v>0.01</c:v>
                </c:pt>
                <c:pt idx="1021" formatCode="m/d/yyyy">
                  <c:v>0.01</c:v>
                </c:pt>
                <c:pt idx="1022" formatCode="m/d/yyyy">
                  <c:v>0.01</c:v>
                </c:pt>
                <c:pt idx="1023" formatCode="m/d/yyyy">
                  <c:v>0.01</c:v>
                </c:pt>
                <c:pt idx="1024" formatCode="m/d/yyyy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52-4C80-A541-EB6F430D4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549423"/>
        <c:axId val="518542223"/>
      </c:scatterChart>
      <c:valAx>
        <c:axId val="51854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2223"/>
        <c:crosses val="autoZero"/>
        <c:crossBetween val="midCat"/>
      </c:valAx>
      <c:valAx>
        <c:axId val="5185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549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194552</xdr:colOff>
      <xdr:row>1</xdr:row>
      <xdr:rowOff>90237</xdr:rowOff>
    </xdr:from>
    <xdr:to>
      <xdr:col>18</xdr:col>
      <xdr:colOff>320842</xdr:colOff>
      <xdr:row>21</xdr:row>
      <xdr:rowOff>130343</xdr:rowOff>
    </xdr:to>
    <xdr:graphicFrame macro="">
      <xdr:nvGraphicFramePr>
        <xdr:cNvPr id="3" name="Graphique 1">
          <a:extLst>
            <a:ext uri="{FF2B5EF4-FFF2-40B4-BE49-F238E27FC236}">
              <a16:creationId xmlns:a16="http://schemas.microsoft.com/office/drawing/2014/main" id="{DA2645DF-CFEF-33C1-8DA4-F8532D499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8CB6-5C0E-4623-B3F0-49756EB7685D}">
  <dimension ref="B2:AF1025"/>
  <sheetViews>
    <sheetView zoomScale="79" zoomScaleNormal="78" workbookViewId="0">
      <selection activeCell="I18" sqref="I18"/>
    </sheetView>
  </sheetViews>
  <sheetFormatPr baseColWidth="10" defaultColWidth="15.44140625" defaultRowHeight="14.4" customHeight="1"/>
  <cols>
    <col min="1" max="3" width="15.44140625" style="6"/>
    <col min="4" max="4" width="15.44140625" style="8"/>
    <col min="5" max="12" width="15.44140625" style="6"/>
    <col min="13" max="13" width="15.44140625" style="6" customWidth="1"/>
    <col min="14" max="20" width="15.44140625" style="6"/>
    <col min="21" max="26" width="15.44140625" style="20"/>
    <col min="27" max="28" width="15.44140625" style="6"/>
    <col min="29" max="29" width="15.44140625" style="20"/>
    <col min="30" max="31" width="15.44140625" style="6"/>
    <col min="32" max="32" width="15.44140625" style="20"/>
    <col min="33" max="16384" width="15.44140625" style="6"/>
  </cols>
  <sheetData>
    <row r="2" spans="2:12" ht="14.4" customHeight="1">
      <c r="D2" s="17" t="s">
        <v>0</v>
      </c>
      <c r="E2" s="18" t="s">
        <v>1</v>
      </c>
      <c r="F2" s="18" t="s">
        <v>2</v>
      </c>
      <c r="G2" s="18" t="s">
        <v>8</v>
      </c>
      <c r="H2" s="18" t="s">
        <v>7</v>
      </c>
      <c r="K2" s="19" t="s">
        <v>3</v>
      </c>
      <c r="L2" s="19" t="s">
        <v>5</v>
      </c>
    </row>
    <row r="3" spans="2:12" ht="14.4" customHeight="1">
      <c r="B3" s="21" t="s">
        <v>3</v>
      </c>
      <c r="D3" s="4">
        <v>42006</v>
      </c>
      <c r="E3" s="5">
        <v>5.6210000000000004</v>
      </c>
      <c r="F3" s="5"/>
      <c r="G3" s="3" cm="1">
        <f t="array" ref="G3">SUMPRODUCT(IF(((H3-$F$4:$F$515)/$B$10)&lt;=-1,0,IF(((H3-$F$4:$F$515)/$B$10)&gt;=1,1,(15/16)*(((H3-$F$4:$F$515)/$B$10)-(2/3)*((H3-$F$4:$F$515)/$B$10)^3+(1/5)*((H3-$F$4:$F$515)/$B$10)^5+8/15))))/COUNT($F$4:$F$515)</f>
        <v>0</v>
      </c>
      <c r="H3" s="5">
        <f>MIN(F4:F515)-5*$B$10</f>
        <v>-9.7554939878500821E-2</v>
      </c>
      <c r="K3" s="4">
        <v>0.01</v>
      </c>
      <c r="L3" s="5">
        <f>$B$7</f>
        <v>-1.6954939878499008E-2</v>
      </c>
    </row>
    <row r="4" spans="2:12" ht="14.4" customHeight="1">
      <c r="B4" s="1">
        <v>0.05</v>
      </c>
      <c r="D4" s="14">
        <v>42009</v>
      </c>
      <c r="E4" s="15">
        <v>5.4240000000000004</v>
      </c>
      <c r="F4" s="15">
        <f>LOG(E4/E3)</f>
        <v>-1.5493904433930837E-2</v>
      </c>
      <c r="G4" s="16" cm="1">
        <f t="array" ref="G4">SUMPRODUCT(IF(((H4-$F$4:$F$515)/$B$10)&lt;=-1,0,IF(((H4-$F$4:$F$515)/$B$10)&gt;=1,1,(15/16)*(((H4-$F$4:$F$515)/$B$10)-(2/3)*((H4-$F$4:$F$515)/$B$10)^3+(1/5)*((H4-$F$4:$F$515)/$B$10)^5+8/15))))/COUNT($F$4:$F$515)</f>
        <v>0</v>
      </c>
      <c r="H4" s="15">
        <f>H3+0.0001</f>
        <v>-9.7454939878500818E-2</v>
      </c>
      <c r="K4" s="14">
        <v>0.01</v>
      </c>
      <c r="L4" s="15">
        <f t="shared" ref="L4:L67" si="0">$B$7</f>
        <v>-1.6954939878499008E-2</v>
      </c>
    </row>
    <row r="5" spans="2:12" ht="14.4" customHeight="1">
      <c r="D5" s="4">
        <v>42010</v>
      </c>
      <c r="E5" s="5">
        <v>5.3289999999999997</v>
      </c>
      <c r="F5" s="5">
        <f t="shared" ref="F5:F68" si="1">LOG(E5/E4)</f>
        <v>-7.6739606180952144E-3</v>
      </c>
      <c r="G5" s="3" cm="1">
        <f t="array" ref="G5">SUMPRODUCT(IF(((H5-$F$4:$F$515)/$B$10)&lt;=-1,0,IF(((H5-$F$4:$F$515)/$B$10)&gt;=1,1,(15/16)*(((H5-$F$4:$F$515)/$B$10)-(2/3)*((H5-$F$4:$F$515)/$B$10)^3+(1/5)*((H5-$F$4:$F$515)/$B$10)^5+8/15))))/COUNT($F$4:$F$515)</f>
        <v>0</v>
      </c>
      <c r="H5" s="5">
        <f t="shared" ref="H5:H68" si="2">H4+0.0001</f>
        <v>-9.7354939878500815E-2</v>
      </c>
      <c r="K5" s="4">
        <v>0.01</v>
      </c>
      <c r="L5" s="5">
        <f t="shared" si="0"/>
        <v>-1.6954939878499008E-2</v>
      </c>
    </row>
    <row r="6" spans="2:12" ht="14.4" customHeight="1">
      <c r="B6" s="21" t="s">
        <v>5</v>
      </c>
      <c r="D6" s="14">
        <v>42011</v>
      </c>
      <c r="E6" s="15">
        <v>5.2240000000000002</v>
      </c>
      <c r="F6" s="15">
        <f t="shared" si="1"/>
        <v>-8.6425519738942604E-3</v>
      </c>
      <c r="G6" s="16" cm="1">
        <f t="array" ref="G6">SUMPRODUCT(IF(((H6-$F$4:$F$515)/$B$10)&lt;=-1,0,IF(((H6-$F$4:$F$515)/$B$10)&gt;=1,1,(15/16)*(((H6-$F$4:$F$515)/$B$10)-(2/3)*((H6-$F$4:$F$515)/$B$10)^3+(1/5)*((H6-$F$4:$F$515)/$B$10)^5+8/15))))/COUNT($F$4:$F$515)</f>
        <v>0</v>
      </c>
      <c r="H6" s="15">
        <f t="shared" si="2"/>
        <v>-9.7254939878500812E-2</v>
      </c>
      <c r="K6" s="14">
        <v>0.01</v>
      </c>
      <c r="L6" s="15">
        <f t="shared" si="0"/>
        <v>-1.6954939878499008E-2</v>
      </c>
    </row>
    <row r="7" spans="2:12" ht="14.4" customHeight="1">
      <c r="B7" s="1">
        <f>INDEX(H:H,MATCH($B$4,G:G,1))</f>
        <v>-1.6954939878499008E-2</v>
      </c>
      <c r="D7" s="4">
        <v>42012</v>
      </c>
      <c r="E7" s="5">
        <v>5.4530000000000003</v>
      </c>
      <c r="F7" s="5">
        <f t="shared" si="1"/>
        <v>1.863232941980375E-2</v>
      </c>
      <c r="G7" s="3" cm="1">
        <f t="array" ref="G7">SUMPRODUCT(IF(((H7-$F$4:$F$515)/$B$10)&lt;=-1,0,IF(((H7-$F$4:$F$515)/$B$10)&gt;=1,1,(15/16)*(((H7-$F$4:$F$515)/$B$10)-(2/3)*((H7-$F$4:$F$515)/$B$10)^3+(1/5)*((H7-$F$4:$F$515)/$B$10)^5+8/15))))/COUNT($F$4:$F$515)</f>
        <v>0</v>
      </c>
      <c r="H7" s="5">
        <f t="shared" si="2"/>
        <v>-9.7154939878500809E-2</v>
      </c>
      <c r="K7" s="4">
        <v>0.01</v>
      </c>
      <c r="L7" s="5">
        <f t="shared" si="0"/>
        <v>-1.6954939878499008E-2</v>
      </c>
    </row>
    <row r="8" spans="2:12" ht="14.4" customHeight="1">
      <c r="D8" s="14">
        <v>42013</v>
      </c>
      <c r="E8" s="15">
        <v>5.34</v>
      </c>
      <c r="F8" s="15">
        <f t="shared" si="1"/>
        <v>-9.0942406582649078E-3</v>
      </c>
      <c r="G8" s="16" cm="1">
        <f t="array" ref="G8">SUMPRODUCT(IF(((H8-$F$4:$F$515)/$B$10)&lt;=-1,0,IF(((H8-$F$4:$F$515)/$B$10)&gt;=1,1,(15/16)*(((H8-$F$4:$F$515)/$B$10)-(2/3)*((H8-$F$4:$F$515)/$B$10)^3+(1/5)*((H8-$F$4:$F$515)/$B$10)^5+8/15))))/COUNT($F$4:$F$515)</f>
        <v>0</v>
      </c>
      <c r="H8" s="15">
        <f t="shared" si="2"/>
        <v>-9.7054939878500807E-2</v>
      </c>
      <c r="K8" s="14">
        <v>0.01</v>
      </c>
      <c r="L8" s="15">
        <f t="shared" si="0"/>
        <v>-1.6954939878499008E-2</v>
      </c>
    </row>
    <row r="9" spans="2:12" ht="14.4" customHeight="1">
      <c r="B9" s="21" t="s">
        <v>4</v>
      </c>
      <c r="D9" s="4">
        <v>42016</v>
      </c>
      <c r="E9" s="5">
        <v>5.2640000000000002</v>
      </c>
      <c r="F9" s="5">
        <f t="shared" si="1"/>
        <v>-6.225376422657327E-3</v>
      </c>
      <c r="G9" s="3" cm="1">
        <f t="array" ref="G9">SUMPRODUCT(IF(((H9-$F$4:$F$515)/$B$10)&lt;=-1,0,IF(((H9-$F$4:$F$515)/$B$10)&gt;=1,1,(15/16)*(((H9-$F$4:$F$515)/$B$10)-(2/3)*((H9-$F$4:$F$515)/$B$10)^3+(1/5)*((H9-$F$4:$F$515)/$B$10)^5+8/15))))/COUNT($F$4:$F$515)</f>
        <v>0</v>
      </c>
      <c r="H9" s="5">
        <f t="shared" si="2"/>
        <v>-9.6954939878500804E-2</v>
      </c>
      <c r="K9" s="4">
        <v>0.01</v>
      </c>
      <c r="L9" s="5">
        <f t="shared" si="0"/>
        <v>-1.6954939878499008E-2</v>
      </c>
    </row>
    <row r="10" spans="2:12" ht="14.4" customHeight="1">
      <c r="B10" s="2">
        <f>1.06*_xlfn.STDEV.S(F4:F515)*COUNT(F4:F515)^(-1/5)</f>
        <v>3.1878037976843074E-3</v>
      </c>
      <c r="D10" s="14">
        <v>42017</v>
      </c>
      <c r="E10" s="15">
        <v>5.4</v>
      </c>
      <c r="F10" s="15">
        <f t="shared" si="1"/>
        <v>1.107787921706945E-2</v>
      </c>
      <c r="G10" s="16" cm="1">
        <f t="array" ref="G10">SUMPRODUCT(IF(((H10-$F$4:$F$515)/$B$10)&lt;=-1,0,IF(((H10-$F$4:$F$515)/$B$10)&gt;=1,1,(15/16)*(((H10-$F$4:$F$515)/$B$10)-(2/3)*((H10-$F$4:$F$515)/$B$10)^3+(1/5)*((H10-$F$4:$F$515)/$B$10)^5+8/15))))/COUNT($F$4:$F$515)</f>
        <v>0</v>
      </c>
      <c r="H10" s="15">
        <f t="shared" si="2"/>
        <v>-9.6854939878500801E-2</v>
      </c>
      <c r="K10" s="14">
        <v>0.01</v>
      </c>
      <c r="L10" s="15">
        <f t="shared" si="0"/>
        <v>-1.6954939878499008E-2</v>
      </c>
    </row>
    <row r="11" spans="2:12" ht="14.4" customHeight="1">
      <c r="D11" s="4">
        <v>42018</v>
      </c>
      <c r="E11" s="5">
        <v>5.3109999999999999</v>
      </c>
      <c r="F11" s="5">
        <f t="shared" si="1"/>
        <v>-7.2174584038313463E-3</v>
      </c>
      <c r="G11" s="3" cm="1">
        <f t="array" ref="G11">SUMPRODUCT(IF(((H11-$F$4:$F$515)/$B$10)&lt;=-1,0,IF(((H11-$F$4:$F$515)/$B$10)&gt;=1,1,(15/16)*(((H11-$F$4:$F$515)/$B$10)-(2/3)*((H11-$F$4:$F$515)/$B$10)^3+(1/5)*((H11-$F$4:$F$515)/$B$10)^5+8/15))))/COUNT($F$4:$F$515)</f>
        <v>0</v>
      </c>
      <c r="H11" s="5">
        <f t="shared" si="2"/>
        <v>-9.6754939878500798E-2</v>
      </c>
      <c r="K11" s="4">
        <v>0.01</v>
      </c>
      <c r="L11" s="5">
        <f t="shared" si="0"/>
        <v>-1.6954939878499008E-2</v>
      </c>
    </row>
    <row r="12" spans="2:12" ht="14.4" customHeight="1">
      <c r="B12" s="21" t="s">
        <v>6</v>
      </c>
      <c r="D12" s="14">
        <v>42019</v>
      </c>
      <c r="E12" s="15">
        <v>5.42</v>
      </c>
      <c r="F12" s="15">
        <f t="shared" si="1"/>
        <v>8.8229851192497231E-3</v>
      </c>
      <c r="G12" s="16" cm="1">
        <f t="array" ref="G12">SUMPRODUCT(IF(((H12-$F$4:$F$515)/$B$10)&lt;=-1,0,IF(((H12-$F$4:$F$515)/$B$10)&gt;=1,1,(15/16)*(((H12-$F$4:$F$515)/$B$10)-(2/3)*((H12-$F$4:$F$515)/$B$10)^3+(1/5)*((H12-$F$4:$F$515)/$B$10)^5+8/15))))/COUNT($F$4:$F$515)</f>
        <v>0</v>
      </c>
      <c r="H12" s="15">
        <f t="shared" si="2"/>
        <v>-9.6654939878500795E-2</v>
      </c>
      <c r="K12" s="14">
        <v>0.01</v>
      </c>
      <c r="L12" s="15">
        <f t="shared" si="0"/>
        <v>-1.6954939878499008E-2</v>
      </c>
    </row>
    <row r="13" spans="2:12" ht="14.4" customHeight="1">
      <c r="B13" s="1">
        <f>-B7</f>
        <v>1.6954939878499008E-2</v>
      </c>
      <c r="D13" s="4">
        <v>42020</v>
      </c>
      <c r="E13" s="5">
        <v>5.492</v>
      </c>
      <c r="F13" s="5">
        <f t="shared" si="1"/>
        <v>5.7312420263305949E-3</v>
      </c>
      <c r="G13" s="3" cm="1">
        <f t="array" ref="G13">SUMPRODUCT(IF(((H13-$F$4:$F$515)/$B$10)&lt;=-1,0,IF(((H13-$F$4:$F$515)/$B$10)&gt;=1,1,(15/16)*(((H13-$F$4:$F$515)/$B$10)-(2/3)*((H13-$F$4:$F$515)/$B$10)^3+(1/5)*((H13-$F$4:$F$515)/$B$10)^5+8/15))))/COUNT($F$4:$F$515)</f>
        <v>0</v>
      </c>
      <c r="H13" s="5">
        <f t="shared" si="2"/>
        <v>-9.6554939878500792E-2</v>
      </c>
      <c r="K13" s="4">
        <v>0.01</v>
      </c>
      <c r="L13" s="5">
        <f t="shared" si="0"/>
        <v>-1.6954939878499008E-2</v>
      </c>
    </row>
    <row r="14" spans="2:12" ht="14.4" customHeight="1">
      <c r="D14" s="14">
        <v>42023</v>
      </c>
      <c r="E14" s="15">
        <v>5.6349999999999998</v>
      </c>
      <c r="F14" s="15">
        <f t="shared" si="1"/>
        <v>1.1163391817407803E-2</v>
      </c>
      <c r="G14" s="16" cm="1">
        <f t="array" ref="G14">SUMPRODUCT(IF(((H14-$F$4:$F$515)/$B$10)&lt;=-1,0,IF(((H14-$F$4:$F$515)/$B$10)&gt;=1,1,(15/16)*(((H14-$F$4:$F$515)/$B$10)-(2/3)*((H14-$F$4:$F$515)/$B$10)^3+(1/5)*((H14-$F$4:$F$515)/$B$10)^5+8/15))))/COUNT($F$4:$F$515)</f>
        <v>0</v>
      </c>
      <c r="H14" s="15">
        <f t="shared" si="2"/>
        <v>-9.6454939878500789E-2</v>
      </c>
      <c r="K14" s="14">
        <v>0.01</v>
      </c>
      <c r="L14" s="15">
        <f t="shared" si="0"/>
        <v>-1.6954939878499008E-2</v>
      </c>
    </row>
    <row r="15" spans="2:12" ht="14.4" customHeight="1">
      <c r="D15" s="4">
        <v>42024</v>
      </c>
      <c r="E15" s="5">
        <v>5.7290000000000001</v>
      </c>
      <c r="F15" s="5">
        <f t="shared" si="1"/>
        <v>7.1849018674871876E-3</v>
      </c>
      <c r="G15" s="3" cm="1">
        <f t="array" ref="G15">SUMPRODUCT(IF(((H15-$F$4:$F$515)/$B$10)&lt;=-1,0,IF(((H15-$F$4:$F$515)/$B$10)&gt;=1,1,(15/16)*(((H15-$F$4:$F$515)/$B$10)-(2/3)*((H15-$F$4:$F$515)/$B$10)^3+(1/5)*((H15-$F$4:$F$515)/$B$10)^5+8/15))))/COUNT($F$4:$F$515)</f>
        <v>0</v>
      </c>
      <c r="H15" s="5">
        <f t="shared" si="2"/>
        <v>-9.6354939878500787E-2</v>
      </c>
      <c r="K15" s="4">
        <v>0.01</v>
      </c>
      <c r="L15" s="5">
        <f t="shared" si="0"/>
        <v>-1.6954939878499008E-2</v>
      </c>
    </row>
    <row r="16" spans="2:12" ht="14.4" customHeight="1">
      <c r="D16" s="14">
        <v>42025</v>
      </c>
      <c r="E16" s="15">
        <v>5.7640000000000002</v>
      </c>
      <c r="F16" s="15">
        <f t="shared" si="1"/>
        <v>2.6451498923391352E-3</v>
      </c>
      <c r="G16" s="16" cm="1">
        <f t="array" ref="G16">SUMPRODUCT(IF(((H16-$F$4:$F$515)/$B$10)&lt;=-1,0,IF(((H16-$F$4:$F$515)/$B$10)&gt;=1,1,(15/16)*(((H16-$F$4:$F$515)/$B$10)-(2/3)*((H16-$F$4:$F$515)/$B$10)^3+(1/5)*((H16-$F$4:$F$515)/$B$10)^5+8/15))))/COUNT($F$4:$F$515)</f>
        <v>0</v>
      </c>
      <c r="H16" s="15">
        <f t="shared" si="2"/>
        <v>-9.6254939878500784E-2</v>
      </c>
      <c r="K16" s="14">
        <v>0.01</v>
      </c>
      <c r="L16" s="15">
        <f t="shared" si="0"/>
        <v>-1.6954939878499008E-2</v>
      </c>
    </row>
    <row r="17" spans="4:12" ht="14.4" customHeight="1">
      <c r="D17" s="4">
        <v>42026</v>
      </c>
      <c r="E17" s="5">
        <v>5.952</v>
      </c>
      <c r="F17" s="5">
        <f t="shared" si="1"/>
        <v>1.3938950395870538E-2</v>
      </c>
      <c r="G17" s="3" cm="1">
        <f t="array" ref="G17">SUMPRODUCT(IF(((H17-$F$4:$F$515)/$B$10)&lt;=-1,0,IF(((H17-$F$4:$F$515)/$B$10)&gt;=1,1,(15/16)*(((H17-$F$4:$F$515)/$B$10)-(2/3)*((H17-$F$4:$F$515)/$B$10)^3+(1/5)*((H17-$F$4:$F$515)/$B$10)^5+8/15))))/COUNT($F$4:$F$515)</f>
        <v>0</v>
      </c>
      <c r="H17" s="5">
        <f t="shared" si="2"/>
        <v>-9.6154939878500781E-2</v>
      </c>
      <c r="K17" s="4">
        <v>0.01</v>
      </c>
      <c r="L17" s="5">
        <f t="shared" si="0"/>
        <v>-1.6954939878499008E-2</v>
      </c>
    </row>
    <row r="18" spans="4:12" ht="14.4" customHeight="1">
      <c r="D18" s="14">
        <v>42027</v>
      </c>
      <c r="E18" s="15">
        <v>5.9020000000000001</v>
      </c>
      <c r="F18" s="15">
        <f t="shared" si="1"/>
        <v>-3.6637173738816127E-3</v>
      </c>
      <c r="G18" s="16" cm="1">
        <f t="array" ref="G18">SUMPRODUCT(IF(((H18-$F$4:$F$515)/$B$10)&lt;=-1,0,IF(((H18-$F$4:$F$515)/$B$10)&gt;=1,1,(15/16)*(((H18-$F$4:$F$515)/$B$10)-(2/3)*((H18-$F$4:$F$515)/$B$10)^3+(1/5)*((H18-$F$4:$F$515)/$B$10)^5+8/15))))/COUNT($F$4:$F$515)</f>
        <v>0</v>
      </c>
      <c r="H18" s="15">
        <f t="shared" si="2"/>
        <v>-9.6054939878500778E-2</v>
      </c>
      <c r="K18" s="14">
        <v>0.01</v>
      </c>
      <c r="L18" s="15">
        <f t="shared" si="0"/>
        <v>-1.6954939878499008E-2</v>
      </c>
    </row>
    <row r="19" spans="4:12" ht="14.4" customHeight="1">
      <c r="D19" s="4">
        <v>42030</v>
      </c>
      <c r="E19" s="5">
        <v>5.9029999999999996</v>
      </c>
      <c r="F19" s="5">
        <f t="shared" si="1"/>
        <v>7.3578057253998274E-5</v>
      </c>
      <c r="G19" s="3" cm="1">
        <f t="array" ref="G19">SUMPRODUCT(IF(((H19-$F$4:$F$515)/$B$10)&lt;=-1,0,IF(((H19-$F$4:$F$515)/$B$10)&gt;=1,1,(15/16)*(((H19-$F$4:$F$515)/$B$10)-(2/3)*((H19-$F$4:$F$515)/$B$10)^3+(1/5)*((H19-$F$4:$F$515)/$B$10)^5+8/15))))/COUNT($F$4:$F$515)</f>
        <v>0</v>
      </c>
      <c r="H19" s="5">
        <f t="shared" si="2"/>
        <v>-9.5954939878500775E-2</v>
      </c>
      <c r="K19" s="4">
        <v>0.01</v>
      </c>
      <c r="L19" s="5">
        <f t="shared" si="0"/>
        <v>-1.6954939878499008E-2</v>
      </c>
    </row>
    <row r="20" spans="4:12" ht="14.4" customHeight="1">
      <c r="D20" s="14">
        <v>42031</v>
      </c>
      <c r="E20" s="15">
        <v>5.7809999999999997</v>
      </c>
      <c r="F20" s="15">
        <f t="shared" si="1"/>
        <v>-9.0698138460793328E-3</v>
      </c>
      <c r="G20" s="16" cm="1">
        <f t="array" ref="G20">SUMPRODUCT(IF(((H20-$F$4:$F$515)/$B$10)&lt;=-1,0,IF(((H20-$F$4:$F$515)/$B$10)&gt;=1,1,(15/16)*(((H20-$F$4:$F$515)/$B$10)-(2/3)*((H20-$F$4:$F$515)/$B$10)^3+(1/5)*((H20-$F$4:$F$515)/$B$10)^5+8/15))))/COUNT($F$4:$F$515)</f>
        <v>0</v>
      </c>
      <c r="H20" s="15">
        <f t="shared" si="2"/>
        <v>-9.5854939878500772E-2</v>
      </c>
      <c r="K20" s="14">
        <v>0.01</v>
      </c>
      <c r="L20" s="15">
        <f t="shared" si="0"/>
        <v>-1.6954939878499008E-2</v>
      </c>
    </row>
    <row r="21" spans="4:12" ht="14.4" customHeight="1">
      <c r="D21" s="4">
        <v>42032</v>
      </c>
      <c r="E21" s="5">
        <v>5.7220000000000004</v>
      </c>
      <c r="F21" s="5">
        <f t="shared" si="1"/>
        <v>-4.4551159058715097E-3</v>
      </c>
      <c r="G21" s="3" cm="1">
        <f t="array" ref="G21">SUMPRODUCT(IF(((H21-$F$4:$F$515)/$B$10)&lt;=-1,0,IF(((H21-$F$4:$F$515)/$B$10)&gt;=1,1,(15/16)*(((H21-$F$4:$F$515)/$B$10)-(2/3)*((H21-$F$4:$F$515)/$B$10)^3+(1/5)*((H21-$F$4:$F$515)/$B$10)^5+8/15))))/COUNT($F$4:$F$515)</f>
        <v>0</v>
      </c>
      <c r="H21" s="5">
        <f t="shared" si="2"/>
        <v>-9.5754939878500769E-2</v>
      </c>
      <c r="K21" s="4">
        <v>0.01</v>
      </c>
      <c r="L21" s="5">
        <f t="shared" si="0"/>
        <v>-1.6954939878499008E-2</v>
      </c>
    </row>
    <row r="22" spans="4:12" ht="14.4" customHeight="1">
      <c r="D22" s="14">
        <v>42033</v>
      </c>
      <c r="E22" s="15">
        <v>5.7389999999999999</v>
      </c>
      <c r="F22" s="15">
        <f t="shared" si="1"/>
        <v>1.2883712777144243E-3</v>
      </c>
      <c r="G22" s="16" cm="1">
        <f t="array" ref="G22">SUMPRODUCT(IF(((H22-$F$4:$F$515)/$B$10)&lt;=-1,0,IF(((H22-$F$4:$F$515)/$B$10)&gt;=1,1,(15/16)*(((H22-$F$4:$F$515)/$B$10)-(2/3)*((H22-$F$4:$F$515)/$B$10)^3+(1/5)*((H22-$F$4:$F$515)/$B$10)^5+8/15))))/COUNT($F$4:$F$515)</f>
        <v>0</v>
      </c>
      <c r="H22" s="15">
        <f t="shared" si="2"/>
        <v>-9.5654939878500767E-2</v>
      </c>
      <c r="K22" s="14">
        <v>0.01</v>
      </c>
      <c r="L22" s="15">
        <f t="shared" si="0"/>
        <v>-1.6954939878499008E-2</v>
      </c>
    </row>
    <row r="23" spans="4:12" ht="14.4" customHeight="1">
      <c r="D23" s="4">
        <v>42034</v>
      </c>
      <c r="E23" s="5">
        <v>5.6520000000000001</v>
      </c>
      <c r="F23" s="5">
        <f t="shared" si="1"/>
        <v>-6.6340715704372539E-3</v>
      </c>
      <c r="G23" s="3" cm="1">
        <f t="array" ref="G23">SUMPRODUCT(IF(((H23-$F$4:$F$515)/$B$10)&lt;=-1,0,IF(((H23-$F$4:$F$515)/$B$10)&gt;=1,1,(15/16)*(((H23-$F$4:$F$515)/$B$10)-(2/3)*((H23-$F$4:$F$515)/$B$10)^3+(1/5)*((H23-$F$4:$F$515)/$B$10)^5+8/15))))/COUNT($F$4:$F$515)</f>
        <v>0</v>
      </c>
      <c r="H23" s="5">
        <f t="shared" si="2"/>
        <v>-9.5554939878500764E-2</v>
      </c>
      <c r="K23" s="4">
        <v>0.01</v>
      </c>
      <c r="L23" s="5">
        <f t="shared" si="0"/>
        <v>-1.6954939878499008E-2</v>
      </c>
    </row>
    <row r="24" spans="4:12" ht="14.4" customHeight="1">
      <c r="D24" s="14">
        <v>42037</v>
      </c>
      <c r="E24" s="15">
        <v>5.6749999999999998</v>
      </c>
      <c r="F24" s="15">
        <f t="shared" si="1"/>
        <v>1.7637126886392714E-3</v>
      </c>
      <c r="G24" s="16" cm="1">
        <f t="array" ref="G24">SUMPRODUCT(IF(((H24-$F$4:$F$515)/$B$10)&lt;=-1,0,IF(((H24-$F$4:$F$515)/$B$10)&gt;=1,1,(15/16)*(((H24-$F$4:$F$515)/$B$10)-(2/3)*((H24-$F$4:$F$515)/$B$10)^3+(1/5)*((H24-$F$4:$F$515)/$B$10)^5+8/15))))/COUNT($F$4:$F$515)</f>
        <v>0</v>
      </c>
      <c r="H24" s="15">
        <f t="shared" si="2"/>
        <v>-9.5454939878500761E-2</v>
      </c>
      <c r="K24" s="14">
        <v>0.01</v>
      </c>
      <c r="L24" s="15">
        <f t="shared" si="0"/>
        <v>-1.6954939878499008E-2</v>
      </c>
    </row>
    <row r="25" spans="4:12" ht="14.4" customHeight="1">
      <c r="D25" s="4">
        <v>42038</v>
      </c>
      <c r="E25" s="5">
        <v>5.8460000000000001</v>
      </c>
      <c r="F25" s="5">
        <f t="shared" si="1"/>
        <v>1.289294515625734E-2</v>
      </c>
      <c r="G25" s="3" cm="1">
        <f t="array" ref="G25">SUMPRODUCT(IF(((H25-$F$4:$F$515)/$B$10)&lt;=-1,0,IF(((H25-$F$4:$F$515)/$B$10)&gt;=1,1,(15/16)*(((H25-$F$4:$F$515)/$B$10)-(2/3)*((H25-$F$4:$F$515)/$B$10)^3+(1/5)*((H25-$F$4:$F$515)/$B$10)^5+8/15))))/COUNT($F$4:$F$515)</f>
        <v>0</v>
      </c>
      <c r="H25" s="5">
        <f t="shared" si="2"/>
        <v>-9.5354939878500758E-2</v>
      </c>
      <c r="K25" s="4">
        <v>0.01</v>
      </c>
      <c r="L25" s="5">
        <f t="shared" si="0"/>
        <v>-1.6954939878499008E-2</v>
      </c>
    </row>
    <row r="26" spans="4:12" ht="14.4" customHeight="1">
      <c r="D26" s="14">
        <v>42039</v>
      </c>
      <c r="E26" s="15">
        <v>5.7859999999999996</v>
      </c>
      <c r="F26" s="15">
        <f t="shared" si="1"/>
        <v>-4.4803817094535535E-3</v>
      </c>
      <c r="G26" s="16" cm="1">
        <f t="array" ref="G26">SUMPRODUCT(IF(((H26-$F$4:$F$515)/$B$10)&lt;=-1,0,IF(((H26-$F$4:$F$515)/$B$10)&gt;=1,1,(15/16)*(((H26-$F$4:$F$515)/$B$10)-(2/3)*((H26-$F$4:$F$515)/$B$10)^3+(1/5)*((H26-$F$4:$F$515)/$B$10)^5+8/15))))/COUNT($F$4:$F$515)</f>
        <v>0</v>
      </c>
      <c r="H26" s="15">
        <f t="shared" si="2"/>
        <v>-9.5254939878500755E-2</v>
      </c>
      <c r="K26" s="14">
        <v>0.01</v>
      </c>
      <c r="L26" s="15">
        <f t="shared" si="0"/>
        <v>-1.6954939878499008E-2</v>
      </c>
    </row>
    <row r="27" spans="4:12" ht="14.4" customHeight="1">
      <c r="D27" s="4">
        <v>42040</v>
      </c>
      <c r="E27" s="5">
        <v>5.7649999999999997</v>
      </c>
      <c r="F27" s="5">
        <f t="shared" si="1"/>
        <v>-1.5791176812462503E-3</v>
      </c>
      <c r="G27" s="3" cm="1">
        <f t="array" ref="G27">SUMPRODUCT(IF(((H27-$F$4:$F$515)/$B$10)&lt;=-1,0,IF(((H27-$F$4:$F$515)/$B$10)&gt;=1,1,(15/16)*(((H27-$F$4:$F$515)/$B$10)-(2/3)*((H27-$F$4:$F$515)/$B$10)^3+(1/5)*((H27-$F$4:$F$515)/$B$10)^5+8/15))))/COUNT($F$4:$F$515)</f>
        <v>0</v>
      </c>
      <c r="H27" s="5">
        <f t="shared" si="2"/>
        <v>-9.5154939878500752E-2</v>
      </c>
      <c r="K27" s="4">
        <v>0.01</v>
      </c>
      <c r="L27" s="5">
        <f t="shared" si="0"/>
        <v>-1.6954939878499008E-2</v>
      </c>
    </row>
    <row r="28" spans="4:12" ht="14.4" customHeight="1">
      <c r="D28" s="14">
        <v>42041</v>
      </c>
      <c r="E28" s="15">
        <v>5.8520000000000003</v>
      </c>
      <c r="F28" s="15">
        <f t="shared" si="1"/>
        <v>6.5050058225554737E-3</v>
      </c>
      <c r="G28" s="16" cm="1">
        <f t="array" ref="G28">SUMPRODUCT(IF(((H28-$F$4:$F$515)/$B$10)&lt;=-1,0,IF(((H28-$F$4:$F$515)/$B$10)&gt;=1,1,(15/16)*(((H28-$F$4:$F$515)/$B$10)-(2/3)*((H28-$F$4:$F$515)/$B$10)^3+(1/5)*((H28-$F$4:$F$515)/$B$10)^5+8/15))))/COUNT($F$4:$F$515)</f>
        <v>0</v>
      </c>
      <c r="H28" s="15">
        <f t="shared" si="2"/>
        <v>-9.5054939878500749E-2</v>
      </c>
      <c r="K28" s="14">
        <v>0.01</v>
      </c>
      <c r="L28" s="15">
        <f t="shared" si="0"/>
        <v>-1.6954939878499008E-2</v>
      </c>
    </row>
    <row r="29" spans="4:12" ht="14.4" customHeight="1">
      <c r="D29" s="4">
        <v>42044</v>
      </c>
      <c r="E29" s="5">
        <v>5.7560000000000002</v>
      </c>
      <c r="F29" s="5">
        <f t="shared" si="1"/>
        <v>-7.18353218870562E-3</v>
      </c>
      <c r="G29" s="3" cm="1">
        <f t="array" ref="G29">SUMPRODUCT(IF(((H29-$F$4:$F$515)/$B$10)&lt;=-1,0,IF(((H29-$F$4:$F$515)/$B$10)&gt;=1,1,(15/16)*(((H29-$F$4:$F$515)/$B$10)-(2/3)*((H29-$F$4:$F$515)/$B$10)^3+(1/5)*((H29-$F$4:$F$515)/$B$10)^5+8/15))))/COUNT($F$4:$F$515)</f>
        <v>0</v>
      </c>
      <c r="H29" s="5">
        <f t="shared" si="2"/>
        <v>-9.4954939878500746E-2</v>
      </c>
      <c r="K29" s="4">
        <v>0.01</v>
      </c>
      <c r="L29" s="5">
        <f t="shared" si="0"/>
        <v>-1.6954939878499008E-2</v>
      </c>
    </row>
    <row r="30" spans="4:12" ht="14.4" customHeight="1">
      <c r="D30" s="14">
        <v>42045</v>
      </c>
      <c r="E30" s="15">
        <v>5.8940000000000001</v>
      </c>
      <c r="F30" s="15">
        <f t="shared" si="1"/>
        <v>1.02893462493387E-2</v>
      </c>
      <c r="G30" s="16" cm="1">
        <f t="array" ref="G30">SUMPRODUCT(IF(((H30-$F$4:$F$515)/$B$10)&lt;=-1,0,IF(((H30-$F$4:$F$515)/$B$10)&gt;=1,1,(15/16)*(((H30-$F$4:$F$515)/$B$10)-(2/3)*((H30-$F$4:$F$515)/$B$10)^3+(1/5)*((H30-$F$4:$F$515)/$B$10)^5+8/15))))/COUNT($F$4:$F$515)</f>
        <v>0</v>
      </c>
      <c r="H30" s="15">
        <f t="shared" si="2"/>
        <v>-9.4854939878500744E-2</v>
      </c>
      <c r="K30" s="14">
        <v>0.01</v>
      </c>
      <c r="L30" s="15">
        <f t="shared" si="0"/>
        <v>-1.6954939878499008E-2</v>
      </c>
    </row>
    <row r="31" spans="4:12" ht="14.4" customHeight="1">
      <c r="D31" s="4">
        <v>42046</v>
      </c>
      <c r="E31" s="5">
        <v>5.8129999999999997</v>
      </c>
      <c r="F31" s="5">
        <f t="shared" si="1"/>
        <v>-6.0098085575182383E-3</v>
      </c>
      <c r="G31" s="3" cm="1">
        <f t="array" ref="G31">SUMPRODUCT(IF(((H31-$F$4:$F$515)/$B$10)&lt;=-1,0,IF(((H31-$F$4:$F$515)/$B$10)&gt;=1,1,(15/16)*(((H31-$F$4:$F$515)/$B$10)-(2/3)*((H31-$F$4:$F$515)/$B$10)^3+(1/5)*((H31-$F$4:$F$515)/$B$10)^5+8/15))))/COUNT($F$4:$F$515)</f>
        <v>0</v>
      </c>
      <c r="H31" s="5">
        <f t="shared" si="2"/>
        <v>-9.4754939878500741E-2</v>
      </c>
      <c r="K31" s="4">
        <v>0.01</v>
      </c>
      <c r="L31" s="5">
        <f t="shared" si="0"/>
        <v>-1.6954939878499008E-2</v>
      </c>
    </row>
    <row r="32" spans="4:12" ht="14.4" customHeight="1">
      <c r="D32" s="14">
        <v>42047</v>
      </c>
      <c r="E32" s="15">
        <v>5.9329999999999998</v>
      </c>
      <c r="F32" s="15">
        <f t="shared" si="1"/>
        <v>8.8740253810657404E-3</v>
      </c>
      <c r="G32" s="16" cm="1">
        <f t="array" ref="G32">SUMPRODUCT(IF(((H32-$F$4:$F$515)/$B$10)&lt;=-1,0,IF(((H32-$F$4:$F$515)/$B$10)&gt;=1,1,(15/16)*(((H32-$F$4:$F$515)/$B$10)-(2/3)*((H32-$F$4:$F$515)/$B$10)^3+(1/5)*((H32-$F$4:$F$515)/$B$10)^5+8/15))))/COUNT($F$4:$F$515)</f>
        <v>0</v>
      </c>
      <c r="H32" s="15">
        <f t="shared" si="2"/>
        <v>-9.4654939878500738E-2</v>
      </c>
      <c r="K32" s="14">
        <v>0.01</v>
      </c>
      <c r="L32" s="15">
        <f t="shared" si="0"/>
        <v>-1.6954939878499008E-2</v>
      </c>
    </row>
    <row r="33" spans="4:12" ht="14.4" customHeight="1">
      <c r="D33" s="4">
        <v>42048</v>
      </c>
      <c r="E33" s="5">
        <v>6.1159999999999997</v>
      </c>
      <c r="F33" s="5">
        <f t="shared" si="1"/>
        <v>1.3193128402828689E-2</v>
      </c>
      <c r="G33" s="3" cm="1">
        <f t="array" ref="G33">SUMPRODUCT(IF(((H33-$F$4:$F$515)/$B$10)&lt;=-1,0,IF(((H33-$F$4:$F$515)/$B$10)&gt;=1,1,(15/16)*(((H33-$F$4:$F$515)/$B$10)-(2/3)*((H33-$F$4:$F$515)/$B$10)^3+(1/5)*((H33-$F$4:$F$515)/$B$10)^5+8/15))))/COUNT($F$4:$F$515)</f>
        <v>0</v>
      </c>
      <c r="H33" s="5">
        <f t="shared" si="2"/>
        <v>-9.4554939878500735E-2</v>
      </c>
      <c r="K33" s="4">
        <v>0.01</v>
      </c>
      <c r="L33" s="5">
        <f t="shared" si="0"/>
        <v>-1.6954939878499008E-2</v>
      </c>
    </row>
    <row r="34" spans="4:12" ht="14.4" customHeight="1">
      <c r="D34" s="14">
        <v>42051</v>
      </c>
      <c r="E34" s="15">
        <v>6.085</v>
      </c>
      <c r="F34" s="15">
        <f t="shared" si="1"/>
        <v>-2.206894174198682E-3</v>
      </c>
      <c r="G34" s="16" cm="1">
        <f t="array" ref="G34">SUMPRODUCT(IF(((H34-$F$4:$F$515)/$B$10)&lt;=-1,0,IF(((H34-$F$4:$F$515)/$B$10)&gt;=1,1,(15/16)*(((H34-$F$4:$F$515)/$B$10)-(2/3)*((H34-$F$4:$F$515)/$B$10)^3+(1/5)*((H34-$F$4:$F$515)/$B$10)^5+8/15))))/COUNT($F$4:$F$515)</f>
        <v>0</v>
      </c>
      <c r="H34" s="15">
        <f t="shared" si="2"/>
        <v>-9.4454939878500732E-2</v>
      </c>
      <c r="K34" s="14">
        <v>0.01</v>
      </c>
      <c r="L34" s="15">
        <f t="shared" si="0"/>
        <v>-1.6954939878499008E-2</v>
      </c>
    </row>
    <row r="35" spans="4:12" ht="14.4" customHeight="1">
      <c r="D35" s="4">
        <v>42052</v>
      </c>
      <c r="E35" s="5">
        <v>6.1829999999999998</v>
      </c>
      <c r="F35" s="5">
        <f t="shared" si="1"/>
        <v>6.9386639327915353E-3</v>
      </c>
      <c r="G35" s="3" cm="1">
        <f t="array" ref="G35">SUMPRODUCT(IF(((H35-$F$4:$F$515)/$B$10)&lt;=-1,0,IF(((H35-$F$4:$F$515)/$B$10)&gt;=1,1,(15/16)*(((H35-$F$4:$F$515)/$B$10)-(2/3)*((H35-$F$4:$F$515)/$B$10)^3+(1/5)*((H35-$F$4:$F$515)/$B$10)^5+8/15))))/COUNT($F$4:$F$515)</f>
        <v>0</v>
      </c>
      <c r="H35" s="5">
        <f t="shared" si="2"/>
        <v>-9.4354939878500729E-2</v>
      </c>
      <c r="K35" s="4">
        <v>0.01</v>
      </c>
      <c r="L35" s="5">
        <f t="shared" si="0"/>
        <v>-1.6954939878499008E-2</v>
      </c>
    </row>
    <row r="36" spans="4:12" ht="14.4" customHeight="1">
      <c r="D36" s="14">
        <v>42053</v>
      </c>
      <c r="E36" s="15">
        <v>6.2569999999999997</v>
      </c>
      <c r="F36" s="15">
        <f t="shared" si="1"/>
        <v>5.1669084786459801E-3</v>
      </c>
      <c r="G36" s="16" cm="1">
        <f t="array" ref="G36">SUMPRODUCT(IF(((H36-$F$4:$F$515)/$B$10)&lt;=-1,0,IF(((H36-$F$4:$F$515)/$B$10)&gt;=1,1,(15/16)*(((H36-$F$4:$F$515)/$B$10)-(2/3)*((H36-$F$4:$F$515)/$B$10)^3+(1/5)*((H36-$F$4:$F$515)/$B$10)^5+8/15))))/COUNT($F$4:$F$515)</f>
        <v>0</v>
      </c>
      <c r="H36" s="15">
        <f t="shared" si="2"/>
        <v>-9.4254939878500726E-2</v>
      </c>
      <c r="K36" s="14">
        <v>0.01</v>
      </c>
      <c r="L36" s="15">
        <f t="shared" si="0"/>
        <v>-1.6954939878499008E-2</v>
      </c>
    </row>
    <row r="37" spans="4:12" ht="14.4" customHeight="1">
      <c r="D37" s="4">
        <v>42054</v>
      </c>
      <c r="E37" s="5">
        <v>6.3810000000000002</v>
      </c>
      <c r="F37" s="5">
        <f t="shared" si="1"/>
        <v>8.5225896448701474E-3</v>
      </c>
      <c r="G37" s="3" cm="1">
        <f t="array" ref="G37">SUMPRODUCT(IF(((H37-$F$4:$F$515)/$B$10)&lt;=-1,0,IF(((H37-$F$4:$F$515)/$B$10)&gt;=1,1,(15/16)*(((H37-$F$4:$F$515)/$B$10)-(2/3)*((H37-$F$4:$F$515)/$B$10)^3+(1/5)*((H37-$F$4:$F$515)/$B$10)^5+8/15))))/COUNT($F$4:$F$515)</f>
        <v>0</v>
      </c>
      <c r="H37" s="5">
        <f t="shared" si="2"/>
        <v>-9.4154939878500724E-2</v>
      </c>
      <c r="K37" s="4">
        <v>0.01</v>
      </c>
      <c r="L37" s="5">
        <f t="shared" si="0"/>
        <v>-1.6954939878499008E-2</v>
      </c>
    </row>
    <row r="38" spans="4:12" ht="14.4" customHeight="1">
      <c r="D38" s="14">
        <v>42055</v>
      </c>
      <c r="E38" s="15">
        <v>6.343</v>
      </c>
      <c r="F38" s="15">
        <f t="shared" si="1"/>
        <v>-2.5940332249276749E-3</v>
      </c>
      <c r="G38" s="16" cm="1">
        <f t="array" ref="G38">SUMPRODUCT(IF(((H38-$F$4:$F$515)/$B$10)&lt;=-1,0,IF(((H38-$F$4:$F$515)/$B$10)&gt;=1,1,(15/16)*(((H38-$F$4:$F$515)/$B$10)-(2/3)*((H38-$F$4:$F$515)/$B$10)^3+(1/5)*((H38-$F$4:$F$515)/$B$10)^5+8/15))))/COUNT($F$4:$F$515)</f>
        <v>0</v>
      </c>
      <c r="H38" s="15">
        <f t="shared" si="2"/>
        <v>-9.4054939878500721E-2</v>
      </c>
      <c r="K38" s="14">
        <v>0.01</v>
      </c>
      <c r="L38" s="15">
        <f t="shared" si="0"/>
        <v>-1.6954939878499008E-2</v>
      </c>
    </row>
    <row r="39" spans="4:12" ht="14.4" customHeight="1">
      <c r="D39" s="4">
        <v>42058</v>
      </c>
      <c r="E39" s="5">
        <v>6.4</v>
      </c>
      <c r="F39" s="5">
        <f t="shared" si="1"/>
        <v>3.8852625864234419E-3</v>
      </c>
      <c r="G39" s="3" cm="1">
        <f t="array" ref="G39">SUMPRODUCT(IF(((H39-$F$4:$F$515)/$B$10)&lt;=-1,0,IF(((H39-$F$4:$F$515)/$B$10)&gt;=1,1,(15/16)*(((H39-$F$4:$F$515)/$B$10)-(2/3)*((H39-$F$4:$F$515)/$B$10)^3+(1/5)*((H39-$F$4:$F$515)/$B$10)^5+8/15))))/COUNT($F$4:$F$515)</f>
        <v>0</v>
      </c>
      <c r="H39" s="5">
        <f t="shared" si="2"/>
        <v>-9.3954939878500718E-2</v>
      </c>
      <c r="K39" s="4">
        <v>0.01</v>
      </c>
      <c r="L39" s="5">
        <f t="shared" si="0"/>
        <v>-1.6954939878499008E-2</v>
      </c>
    </row>
    <row r="40" spans="4:12" ht="14.4" customHeight="1">
      <c r="D40" s="14">
        <v>42059</v>
      </c>
      <c r="E40" s="15">
        <v>6.4050000000000002</v>
      </c>
      <c r="F40" s="15">
        <f t="shared" si="1"/>
        <v>3.3916009681791612E-4</v>
      </c>
      <c r="G40" s="16" cm="1">
        <f t="array" ref="G40">SUMPRODUCT(IF(((H40-$F$4:$F$515)/$B$10)&lt;=-1,0,IF(((H40-$F$4:$F$515)/$B$10)&gt;=1,1,(15/16)*(((H40-$F$4:$F$515)/$B$10)-(2/3)*((H40-$F$4:$F$515)/$B$10)^3+(1/5)*((H40-$F$4:$F$515)/$B$10)^5+8/15))))/COUNT($F$4:$F$515)</f>
        <v>0</v>
      </c>
      <c r="H40" s="15">
        <f t="shared" si="2"/>
        <v>-9.3854939878500715E-2</v>
      </c>
      <c r="K40" s="14">
        <v>0.01</v>
      </c>
      <c r="L40" s="15">
        <f t="shared" si="0"/>
        <v>-1.6954939878499008E-2</v>
      </c>
    </row>
    <row r="41" spans="4:12" ht="14.4" customHeight="1">
      <c r="D41" s="4">
        <v>42060</v>
      </c>
      <c r="E41" s="5">
        <v>6.3529999999999998</v>
      </c>
      <c r="F41" s="5">
        <f t="shared" si="1"/>
        <v>-3.5402787454432995E-3</v>
      </c>
      <c r="G41" s="3" cm="1">
        <f t="array" ref="G41">SUMPRODUCT(IF(((H41-$F$4:$F$515)/$B$10)&lt;=-1,0,IF(((H41-$F$4:$F$515)/$B$10)&gt;=1,1,(15/16)*(((H41-$F$4:$F$515)/$B$10)-(2/3)*((H41-$F$4:$F$515)/$B$10)^3+(1/5)*((H41-$F$4:$F$515)/$B$10)^5+8/15))))/COUNT($F$4:$F$515)</f>
        <v>0</v>
      </c>
      <c r="H41" s="5">
        <f t="shared" si="2"/>
        <v>-9.3754939878500712E-2</v>
      </c>
      <c r="K41" s="4">
        <v>0.01</v>
      </c>
      <c r="L41" s="5">
        <f t="shared" si="0"/>
        <v>-1.6954939878499008E-2</v>
      </c>
    </row>
    <row r="42" spans="4:12" ht="14.4" customHeight="1">
      <c r="D42" s="14">
        <v>42061</v>
      </c>
      <c r="E42" s="15">
        <v>6.4450000000000003</v>
      </c>
      <c r="F42" s="15">
        <f t="shared" si="1"/>
        <v>6.2440663541600714E-3</v>
      </c>
      <c r="G42" s="16" cm="1">
        <f t="array" ref="G42">SUMPRODUCT(IF(((H42-$F$4:$F$515)/$B$10)&lt;=-1,0,IF(((H42-$F$4:$F$515)/$B$10)&gt;=1,1,(15/16)*(((H42-$F$4:$F$515)/$B$10)-(2/3)*((H42-$F$4:$F$515)/$B$10)^3+(1/5)*((H42-$F$4:$F$515)/$B$10)^5+8/15))))/COUNT($F$4:$F$515)</f>
        <v>0</v>
      </c>
      <c r="H42" s="15">
        <f t="shared" si="2"/>
        <v>-9.3654939878500709E-2</v>
      </c>
      <c r="K42" s="14">
        <v>0.01</v>
      </c>
      <c r="L42" s="15">
        <f t="shared" si="0"/>
        <v>-1.6954939878499008E-2</v>
      </c>
    </row>
    <row r="43" spans="4:12" ht="14.4" customHeight="1">
      <c r="D43" s="4">
        <v>42062</v>
      </c>
      <c r="E43" s="5">
        <v>6.47</v>
      </c>
      <c r="F43" s="5">
        <f t="shared" si="1"/>
        <v>1.6813589792785211E-3</v>
      </c>
      <c r="G43" s="3" cm="1">
        <f t="array" ref="G43">SUMPRODUCT(IF(((H43-$F$4:$F$515)/$B$10)&lt;=-1,0,IF(((H43-$F$4:$F$515)/$B$10)&gt;=1,1,(15/16)*(((H43-$F$4:$F$515)/$B$10)-(2/3)*((H43-$F$4:$F$515)/$B$10)^3+(1/5)*((H43-$F$4:$F$515)/$B$10)^5+8/15))))/COUNT($F$4:$F$515)</f>
        <v>0</v>
      </c>
      <c r="H43" s="5">
        <f t="shared" si="2"/>
        <v>-9.3554939878500706E-2</v>
      </c>
      <c r="K43" s="4">
        <v>0.01</v>
      </c>
      <c r="L43" s="5">
        <f t="shared" si="0"/>
        <v>-1.6954939878499008E-2</v>
      </c>
    </row>
    <row r="44" spans="4:12" ht="14.4" customHeight="1">
      <c r="D44" s="14">
        <v>42065</v>
      </c>
      <c r="E44" s="15">
        <v>6.5060000000000002</v>
      </c>
      <c r="F44" s="15">
        <f t="shared" si="1"/>
        <v>2.4097782771343949E-3</v>
      </c>
      <c r="G44" s="16" cm="1">
        <f t="array" ref="G44">SUMPRODUCT(IF(((H44-$F$4:$F$515)/$B$10)&lt;=-1,0,IF(((H44-$F$4:$F$515)/$B$10)&gt;=1,1,(15/16)*(((H44-$F$4:$F$515)/$B$10)-(2/3)*((H44-$F$4:$F$515)/$B$10)^3+(1/5)*((H44-$F$4:$F$515)/$B$10)^5+8/15))))/COUNT($F$4:$F$515)</f>
        <v>0</v>
      </c>
      <c r="H44" s="15">
        <f t="shared" si="2"/>
        <v>-9.3454939878500703E-2</v>
      </c>
      <c r="K44" s="14">
        <v>0.01</v>
      </c>
      <c r="L44" s="15">
        <f t="shared" si="0"/>
        <v>-1.6954939878499008E-2</v>
      </c>
    </row>
    <row r="45" spans="4:12" ht="14.4" customHeight="1">
      <c r="D45" s="4">
        <v>42066</v>
      </c>
      <c r="E45" s="5">
        <v>6.3730000000000002</v>
      </c>
      <c r="F45" s="5">
        <f t="shared" si="1"/>
        <v>-8.9701404659688969E-3</v>
      </c>
      <c r="G45" s="3" cm="1">
        <f t="array" ref="G45">SUMPRODUCT(IF(((H45-$F$4:$F$515)/$B$10)&lt;=-1,0,IF(((H45-$F$4:$F$515)/$B$10)&gt;=1,1,(15/16)*(((H45-$F$4:$F$515)/$B$10)-(2/3)*((H45-$F$4:$F$515)/$B$10)^3+(1/5)*((H45-$F$4:$F$515)/$B$10)^5+8/15))))/COUNT($F$4:$F$515)</f>
        <v>0</v>
      </c>
      <c r="H45" s="5">
        <f t="shared" si="2"/>
        <v>-9.3354939878500701E-2</v>
      </c>
      <c r="K45" s="4">
        <v>0.01</v>
      </c>
      <c r="L45" s="5">
        <f t="shared" si="0"/>
        <v>-1.6954939878499008E-2</v>
      </c>
    </row>
    <row r="46" spans="4:12" ht="14.4" customHeight="1">
      <c r="D46" s="14">
        <v>42067</v>
      </c>
      <c r="E46" s="15">
        <v>6.4180000000000001</v>
      </c>
      <c r="F46" s="15">
        <f t="shared" si="1"/>
        <v>3.0557942796193716E-3</v>
      </c>
      <c r="G46" s="16" cm="1">
        <f t="array" ref="G46">SUMPRODUCT(IF(((H46-$F$4:$F$515)/$B$10)&lt;=-1,0,IF(((H46-$F$4:$F$515)/$B$10)&gt;=1,1,(15/16)*(((H46-$F$4:$F$515)/$B$10)-(2/3)*((H46-$F$4:$F$515)/$B$10)^3+(1/5)*((H46-$F$4:$F$515)/$B$10)^5+8/15))))/COUNT($F$4:$F$515)</f>
        <v>0</v>
      </c>
      <c r="H46" s="15">
        <f t="shared" si="2"/>
        <v>-9.3254939878500698E-2</v>
      </c>
      <c r="K46" s="14">
        <v>0.01</v>
      </c>
      <c r="L46" s="15">
        <f t="shared" si="0"/>
        <v>-1.6954939878499008E-2</v>
      </c>
    </row>
    <row r="47" spans="4:12" ht="14.4" customHeight="1">
      <c r="D47" s="4">
        <v>42068</v>
      </c>
      <c r="E47" s="5">
        <v>6.4020000000000001</v>
      </c>
      <c r="F47" s="5">
        <f t="shared" si="1"/>
        <v>-1.0840429513717142E-3</v>
      </c>
      <c r="G47" s="3" cm="1">
        <f t="array" ref="G47">SUMPRODUCT(IF(((H47-$F$4:$F$515)/$B$10)&lt;=-1,0,IF(((H47-$F$4:$F$515)/$B$10)&gt;=1,1,(15/16)*(((H47-$F$4:$F$515)/$B$10)-(2/3)*((H47-$F$4:$F$515)/$B$10)^3+(1/5)*((H47-$F$4:$F$515)/$B$10)^5+8/15))))/COUNT($F$4:$F$515)</f>
        <v>0</v>
      </c>
      <c r="H47" s="5">
        <f t="shared" si="2"/>
        <v>-9.3154939878500695E-2</v>
      </c>
      <c r="K47" s="4">
        <v>0.01</v>
      </c>
      <c r="L47" s="5">
        <f t="shared" si="0"/>
        <v>-1.6954939878499008E-2</v>
      </c>
    </row>
    <row r="48" spans="4:12" ht="14.4" customHeight="1">
      <c r="D48" s="14">
        <v>42069</v>
      </c>
      <c r="E48" s="15">
        <v>6.4340000000000002</v>
      </c>
      <c r="F48" s="15">
        <f t="shared" si="1"/>
        <v>2.1653867578374816E-3</v>
      </c>
      <c r="G48" s="16" cm="1">
        <f t="array" ref="G48">SUMPRODUCT(IF(((H48-$F$4:$F$515)/$B$10)&lt;=-1,0,IF(((H48-$F$4:$F$515)/$B$10)&gt;=1,1,(15/16)*(((H48-$F$4:$F$515)/$B$10)-(2/3)*((H48-$F$4:$F$515)/$B$10)^3+(1/5)*((H48-$F$4:$F$515)/$B$10)^5+8/15))))/COUNT($F$4:$F$515)</f>
        <v>0</v>
      </c>
      <c r="H48" s="15">
        <f t="shared" si="2"/>
        <v>-9.3054939878500692E-2</v>
      </c>
      <c r="K48" s="14">
        <v>0.01</v>
      </c>
      <c r="L48" s="15">
        <f t="shared" si="0"/>
        <v>-1.6954939878499008E-2</v>
      </c>
    </row>
    <row r="49" spans="4:12" ht="14.4" customHeight="1">
      <c r="D49" s="4">
        <v>42072</v>
      </c>
      <c r="E49" s="5">
        <v>6.4290000000000003</v>
      </c>
      <c r="F49" s="5">
        <f t="shared" si="1"/>
        <v>-3.3763080445987594E-4</v>
      </c>
      <c r="G49" s="3" cm="1">
        <f t="array" ref="G49">SUMPRODUCT(IF(((H49-$F$4:$F$515)/$B$10)&lt;=-1,0,IF(((H49-$F$4:$F$515)/$B$10)&gt;=1,1,(15/16)*(((H49-$F$4:$F$515)/$B$10)-(2/3)*((H49-$F$4:$F$515)/$B$10)^3+(1/5)*((H49-$F$4:$F$515)/$B$10)^5+8/15))))/COUNT($F$4:$F$515)</f>
        <v>0</v>
      </c>
      <c r="H49" s="5">
        <f t="shared" si="2"/>
        <v>-9.2954939878500689E-2</v>
      </c>
      <c r="K49" s="4">
        <v>0.01</v>
      </c>
      <c r="L49" s="5">
        <f t="shared" si="0"/>
        <v>-1.6954939878499008E-2</v>
      </c>
    </row>
    <row r="50" spans="4:12" ht="14.4" customHeight="1">
      <c r="D50" s="14">
        <v>42073</v>
      </c>
      <c r="E50" s="15">
        <v>6.3579999999999997</v>
      </c>
      <c r="F50" s="15">
        <f t="shared" si="1"/>
        <v>-4.8229021827370776E-3</v>
      </c>
      <c r="G50" s="16" cm="1">
        <f t="array" ref="G50">SUMPRODUCT(IF(((H50-$F$4:$F$515)/$B$10)&lt;=-1,0,IF(((H50-$F$4:$F$515)/$B$10)&gt;=1,1,(15/16)*(((H50-$F$4:$F$515)/$B$10)-(2/3)*((H50-$F$4:$F$515)/$B$10)^3+(1/5)*((H50-$F$4:$F$515)/$B$10)^5+8/15))))/COUNT($F$4:$F$515)</f>
        <v>0</v>
      </c>
      <c r="H50" s="15">
        <f t="shared" si="2"/>
        <v>-9.2854939878500686E-2</v>
      </c>
      <c r="K50" s="14">
        <v>0.01</v>
      </c>
      <c r="L50" s="15">
        <f t="shared" si="0"/>
        <v>-1.6954939878499008E-2</v>
      </c>
    </row>
    <row r="51" spans="4:12" ht="14.4" customHeight="1">
      <c r="D51" s="4">
        <v>42074</v>
      </c>
      <c r="E51" s="5">
        <v>6.5309999999999997</v>
      </c>
      <c r="F51" s="5">
        <f t="shared" si="1"/>
        <v>1.1659160182002699E-2</v>
      </c>
      <c r="G51" s="3" cm="1">
        <f t="array" ref="G51">SUMPRODUCT(IF(((H51-$F$4:$F$515)/$B$10)&lt;=-1,0,IF(((H51-$F$4:$F$515)/$B$10)&gt;=1,1,(15/16)*(((H51-$F$4:$F$515)/$B$10)-(2/3)*((H51-$F$4:$F$515)/$B$10)^3+(1/5)*((H51-$F$4:$F$515)/$B$10)^5+8/15))))/COUNT($F$4:$F$515)</f>
        <v>0</v>
      </c>
      <c r="H51" s="5">
        <f t="shared" si="2"/>
        <v>-9.2754939878500683E-2</v>
      </c>
      <c r="K51" s="4">
        <v>0.01</v>
      </c>
      <c r="L51" s="5">
        <f t="shared" si="0"/>
        <v>-1.6954939878499008E-2</v>
      </c>
    </row>
    <row r="52" spans="4:12" ht="14.4" customHeight="1">
      <c r="D52" s="14">
        <v>42075</v>
      </c>
      <c r="E52" s="15">
        <v>6.5529999999999999</v>
      </c>
      <c r="F52" s="15">
        <f t="shared" si="1"/>
        <v>1.4604841953818636E-3</v>
      </c>
      <c r="G52" s="16" cm="1">
        <f t="array" ref="G52">SUMPRODUCT(IF(((H52-$F$4:$F$515)/$B$10)&lt;=-1,0,IF(((H52-$F$4:$F$515)/$B$10)&gt;=1,1,(15/16)*(((H52-$F$4:$F$515)/$B$10)-(2/3)*((H52-$F$4:$F$515)/$B$10)^3+(1/5)*((H52-$F$4:$F$515)/$B$10)^5+8/15))))/COUNT($F$4:$F$515)</f>
        <v>0</v>
      </c>
      <c r="H52" s="15">
        <f t="shared" si="2"/>
        <v>-9.2654939878500681E-2</v>
      </c>
      <c r="K52" s="14">
        <v>0.01</v>
      </c>
      <c r="L52" s="15">
        <f t="shared" si="0"/>
        <v>-1.6954939878499008E-2</v>
      </c>
    </row>
    <row r="53" spans="4:12" ht="14.4" customHeight="1">
      <c r="D53" s="4">
        <v>42076</v>
      </c>
      <c r="E53" s="5">
        <v>6.62</v>
      </c>
      <c r="F53" s="5">
        <f t="shared" si="1"/>
        <v>4.4178214835612411E-3</v>
      </c>
      <c r="G53" s="3" cm="1">
        <f t="array" ref="G53">SUMPRODUCT(IF(((H53-$F$4:$F$515)/$B$10)&lt;=-1,0,IF(((H53-$F$4:$F$515)/$B$10)&gt;=1,1,(15/16)*(((H53-$F$4:$F$515)/$B$10)-(2/3)*((H53-$F$4:$F$515)/$B$10)^3+(1/5)*((H53-$F$4:$F$515)/$B$10)^5+8/15))))/COUNT($F$4:$F$515)</f>
        <v>0</v>
      </c>
      <c r="H53" s="5">
        <f t="shared" si="2"/>
        <v>-9.2554939878500678E-2</v>
      </c>
      <c r="K53" s="4">
        <v>0.01</v>
      </c>
      <c r="L53" s="5">
        <f t="shared" si="0"/>
        <v>-1.6954939878499008E-2</v>
      </c>
    </row>
    <row r="54" spans="4:12" ht="14.4" customHeight="1">
      <c r="D54" s="14">
        <v>42079</v>
      </c>
      <c r="E54" s="15">
        <v>6.7249999999999996</v>
      </c>
      <c r="F54" s="15">
        <f t="shared" si="1"/>
        <v>6.834299234745659E-3</v>
      </c>
      <c r="G54" s="16" cm="1">
        <f t="array" ref="G54">SUMPRODUCT(IF(((H54-$F$4:$F$515)/$B$10)&lt;=-1,0,IF(((H54-$F$4:$F$515)/$B$10)&gt;=1,1,(15/16)*(((H54-$F$4:$F$515)/$B$10)-(2/3)*((H54-$F$4:$F$515)/$B$10)^3+(1/5)*((H54-$F$4:$F$515)/$B$10)^5+8/15))))/COUNT($F$4:$F$515)</f>
        <v>0</v>
      </c>
      <c r="H54" s="15">
        <f t="shared" si="2"/>
        <v>-9.2454939878500675E-2</v>
      </c>
      <c r="K54" s="14">
        <v>0.01</v>
      </c>
      <c r="L54" s="15">
        <f t="shared" si="0"/>
        <v>-1.6954939878499008E-2</v>
      </c>
    </row>
    <row r="55" spans="4:12" ht="14.4" customHeight="1">
      <c r="D55" s="4">
        <v>42080</v>
      </c>
      <c r="E55" s="5">
        <v>6.64</v>
      </c>
      <c r="F55" s="5">
        <f t="shared" si="1"/>
        <v>-5.524209306428089E-3</v>
      </c>
      <c r="G55" s="3" cm="1">
        <f t="array" ref="G55">SUMPRODUCT(IF(((H55-$F$4:$F$515)/$B$10)&lt;=-1,0,IF(((H55-$F$4:$F$515)/$B$10)&gt;=1,1,(15/16)*(((H55-$F$4:$F$515)/$B$10)-(2/3)*((H55-$F$4:$F$515)/$B$10)^3+(1/5)*((H55-$F$4:$F$515)/$B$10)^5+8/15))))/COUNT($F$4:$F$515)</f>
        <v>0</v>
      </c>
      <c r="H55" s="5">
        <f t="shared" si="2"/>
        <v>-9.2354939878500672E-2</v>
      </c>
      <c r="K55" s="4">
        <v>0.01</v>
      </c>
      <c r="L55" s="5">
        <f t="shared" si="0"/>
        <v>-1.6954939878499008E-2</v>
      </c>
    </row>
    <row r="56" spans="4:12" ht="14.4" customHeight="1">
      <c r="D56" s="14">
        <v>42081</v>
      </c>
      <c r="E56" s="15">
        <v>6.5609999999999999</v>
      </c>
      <c r="F56" s="15">
        <f t="shared" si="1"/>
        <v>-5.1980416107179879E-3</v>
      </c>
      <c r="G56" s="16" cm="1">
        <f t="array" ref="G56">SUMPRODUCT(IF(((H56-$F$4:$F$515)/$B$10)&lt;=-1,0,IF(((H56-$F$4:$F$515)/$B$10)&gt;=1,1,(15/16)*(((H56-$F$4:$F$515)/$B$10)-(2/3)*((H56-$F$4:$F$515)/$B$10)^3+(1/5)*((H56-$F$4:$F$515)/$B$10)^5+8/15))))/COUNT($F$4:$F$515)</f>
        <v>0</v>
      </c>
      <c r="H56" s="15">
        <f t="shared" si="2"/>
        <v>-9.2254939878500669E-2</v>
      </c>
      <c r="K56" s="14">
        <v>0.01</v>
      </c>
      <c r="L56" s="15">
        <f t="shared" si="0"/>
        <v>-1.6954939878499008E-2</v>
      </c>
    </row>
    <row r="57" spans="4:12" ht="14.4" customHeight="1">
      <c r="D57" s="4">
        <v>42082</v>
      </c>
      <c r="E57" s="5">
        <v>6.6020000000000003</v>
      </c>
      <c r="F57" s="5">
        <f t="shared" si="1"/>
        <v>2.7054822369932496E-3</v>
      </c>
      <c r="G57" s="3" cm="1">
        <f t="array" ref="G57">SUMPRODUCT(IF(((H57-$F$4:$F$515)/$B$10)&lt;=-1,0,IF(((H57-$F$4:$F$515)/$B$10)&gt;=1,1,(15/16)*(((H57-$F$4:$F$515)/$B$10)-(2/3)*((H57-$F$4:$F$515)/$B$10)^3+(1/5)*((H57-$F$4:$F$515)/$B$10)^5+8/15))))/COUNT($F$4:$F$515)</f>
        <v>0</v>
      </c>
      <c r="H57" s="5">
        <f t="shared" si="2"/>
        <v>-9.2154939878500666E-2</v>
      </c>
      <c r="K57" s="4">
        <v>0.01</v>
      </c>
      <c r="L57" s="5">
        <f t="shared" si="0"/>
        <v>-1.6954939878499008E-2</v>
      </c>
    </row>
    <row r="58" spans="4:12" ht="14.4" customHeight="1">
      <c r="D58" s="14">
        <v>42083</v>
      </c>
      <c r="E58" s="15">
        <v>6.7210000000000001</v>
      </c>
      <c r="F58" s="15">
        <f t="shared" si="1"/>
        <v>7.758375406486529E-3</v>
      </c>
      <c r="G58" s="16" cm="1">
        <f t="array" ref="G58">SUMPRODUCT(IF(((H58-$F$4:$F$515)/$B$10)&lt;=-1,0,IF(((H58-$F$4:$F$515)/$B$10)&gt;=1,1,(15/16)*(((H58-$F$4:$F$515)/$B$10)-(2/3)*((H58-$F$4:$F$515)/$B$10)^3+(1/5)*((H58-$F$4:$F$515)/$B$10)^5+8/15))))/COUNT($F$4:$F$515)</f>
        <v>0</v>
      </c>
      <c r="H58" s="15">
        <f t="shared" si="2"/>
        <v>-9.2054939878500663E-2</v>
      </c>
      <c r="K58" s="14">
        <v>0.01</v>
      </c>
      <c r="L58" s="15">
        <f t="shared" si="0"/>
        <v>-1.6954939878499008E-2</v>
      </c>
    </row>
    <row r="59" spans="4:12" ht="14.4" customHeight="1">
      <c r="D59" s="4">
        <v>42086</v>
      </c>
      <c r="E59" s="5">
        <v>6.7240000000000002</v>
      </c>
      <c r="F59" s="5">
        <f t="shared" si="1"/>
        <v>1.938093666541057E-4</v>
      </c>
      <c r="G59" s="3" cm="1">
        <f t="array" ref="G59">SUMPRODUCT(IF(((H59-$F$4:$F$515)/$B$10)&lt;=-1,0,IF(((H59-$F$4:$F$515)/$B$10)&gt;=1,1,(15/16)*(((H59-$F$4:$F$515)/$B$10)-(2/3)*((H59-$F$4:$F$515)/$B$10)^3+(1/5)*((H59-$F$4:$F$515)/$B$10)^5+8/15))))/COUNT($F$4:$F$515)</f>
        <v>0</v>
      </c>
      <c r="H59" s="5">
        <f t="shared" si="2"/>
        <v>-9.1954939878500661E-2</v>
      </c>
      <c r="K59" s="4">
        <v>0.01</v>
      </c>
      <c r="L59" s="5">
        <f t="shared" si="0"/>
        <v>-1.6954939878499008E-2</v>
      </c>
    </row>
    <row r="60" spans="4:12" ht="14.4" customHeight="1">
      <c r="D60" s="14">
        <v>42087</v>
      </c>
      <c r="E60" s="15">
        <v>6.7839999999999998</v>
      </c>
      <c r="F60" s="15">
        <f t="shared" si="1"/>
        <v>3.8581344812240433E-3</v>
      </c>
      <c r="G60" s="16" cm="1">
        <f t="array" ref="G60">SUMPRODUCT(IF(((H60-$F$4:$F$515)/$B$10)&lt;=-1,0,IF(((H60-$F$4:$F$515)/$B$10)&gt;=1,1,(15/16)*(((H60-$F$4:$F$515)/$B$10)-(2/3)*((H60-$F$4:$F$515)/$B$10)^3+(1/5)*((H60-$F$4:$F$515)/$B$10)^5+8/15))))/COUNT($F$4:$F$515)</f>
        <v>0</v>
      </c>
      <c r="H60" s="15">
        <f t="shared" si="2"/>
        <v>-9.1854939878500658E-2</v>
      </c>
      <c r="K60" s="14">
        <v>0.01</v>
      </c>
      <c r="L60" s="15">
        <f t="shared" si="0"/>
        <v>-1.6954939878499008E-2</v>
      </c>
    </row>
    <row r="61" spans="4:12" ht="14.4" customHeight="1">
      <c r="D61" s="4">
        <v>42088</v>
      </c>
      <c r="E61" s="5">
        <v>6.7279999999999998</v>
      </c>
      <c r="F61" s="5">
        <f t="shared" si="1"/>
        <v>-3.5998564588016692E-3</v>
      </c>
      <c r="G61" s="3" cm="1">
        <f t="array" ref="G61">SUMPRODUCT(IF(((H61-$F$4:$F$515)/$B$10)&lt;=-1,0,IF(((H61-$F$4:$F$515)/$B$10)&gt;=1,1,(15/16)*(((H61-$F$4:$F$515)/$B$10)-(2/3)*((H61-$F$4:$F$515)/$B$10)^3+(1/5)*((H61-$F$4:$F$515)/$B$10)^5+8/15))))/COUNT($F$4:$F$515)</f>
        <v>0</v>
      </c>
      <c r="H61" s="5">
        <f t="shared" si="2"/>
        <v>-9.1754939878500655E-2</v>
      </c>
      <c r="K61" s="4">
        <v>0.01</v>
      </c>
      <c r="L61" s="5">
        <f t="shared" si="0"/>
        <v>-1.6954939878499008E-2</v>
      </c>
    </row>
    <row r="62" spans="4:12" ht="14.4" customHeight="1">
      <c r="D62" s="14">
        <v>42089</v>
      </c>
      <c r="E62" s="15">
        <v>6.6470000000000002</v>
      </c>
      <c r="F62" s="15">
        <f t="shared" si="1"/>
        <v>-5.2603040157149861E-3</v>
      </c>
      <c r="G62" s="16" cm="1">
        <f t="array" ref="G62">SUMPRODUCT(IF(((H62-$F$4:$F$515)/$B$10)&lt;=-1,0,IF(((H62-$F$4:$F$515)/$B$10)&gt;=1,1,(15/16)*(((H62-$F$4:$F$515)/$B$10)-(2/3)*((H62-$F$4:$F$515)/$B$10)^3+(1/5)*((H62-$F$4:$F$515)/$B$10)^5+8/15))))/COUNT($F$4:$F$515)</f>
        <v>0</v>
      </c>
      <c r="H62" s="15">
        <f t="shared" si="2"/>
        <v>-9.1654939878500652E-2</v>
      </c>
      <c r="K62" s="14">
        <v>0.01</v>
      </c>
      <c r="L62" s="15">
        <f t="shared" si="0"/>
        <v>-1.6954939878499008E-2</v>
      </c>
    </row>
    <row r="63" spans="4:12" ht="14.4" customHeight="1">
      <c r="D63" s="4">
        <v>42090</v>
      </c>
      <c r="E63" s="5">
        <v>6.851</v>
      </c>
      <c r="F63" s="5">
        <f t="shared" si="1"/>
        <v>1.3128288745242583E-2</v>
      </c>
      <c r="G63" s="3" cm="1">
        <f t="array" ref="G63">SUMPRODUCT(IF(((H63-$F$4:$F$515)/$B$10)&lt;=-1,0,IF(((H63-$F$4:$F$515)/$B$10)&gt;=1,1,(15/16)*(((H63-$F$4:$F$515)/$B$10)-(2/3)*((H63-$F$4:$F$515)/$B$10)^3+(1/5)*((H63-$F$4:$F$515)/$B$10)^5+8/15))))/COUNT($F$4:$F$515)</f>
        <v>0</v>
      </c>
      <c r="H63" s="5">
        <f t="shared" si="2"/>
        <v>-9.1554939878500649E-2</v>
      </c>
      <c r="K63" s="4">
        <v>0.01</v>
      </c>
      <c r="L63" s="5">
        <f t="shared" si="0"/>
        <v>-1.6954939878499008E-2</v>
      </c>
    </row>
    <row r="64" spans="4:12" ht="14.4" customHeight="1">
      <c r="D64" s="14">
        <v>42093</v>
      </c>
      <c r="E64" s="15">
        <v>6.9880000000000004</v>
      </c>
      <c r="F64" s="15">
        <f t="shared" si="1"/>
        <v>8.5989287915099466E-3</v>
      </c>
      <c r="G64" s="16" cm="1">
        <f t="array" ref="G64">SUMPRODUCT(IF(((H64-$F$4:$F$515)/$B$10)&lt;=-1,0,IF(((H64-$F$4:$F$515)/$B$10)&gt;=1,1,(15/16)*(((H64-$F$4:$F$515)/$B$10)-(2/3)*((H64-$F$4:$F$515)/$B$10)^3+(1/5)*((H64-$F$4:$F$515)/$B$10)^5+8/15))))/COUNT($F$4:$F$515)</f>
        <v>0</v>
      </c>
      <c r="H64" s="15">
        <f t="shared" si="2"/>
        <v>-9.1454939878500646E-2</v>
      </c>
      <c r="K64" s="14">
        <v>0.01</v>
      </c>
      <c r="L64" s="15">
        <f t="shared" si="0"/>
        <v>-1.6954939878499008E-2</v>
      </c>
    </row>
    <row r="65" spans="4:12" ht="14.4" customHeight="1">
      <c r="D65" s="4">
        <v>42094</v>
      </c>
      <c r="E65" s="5">
        <v>6.9610000000000003</v>
      </c>
      <c r="F65" s="5">
        <f t="shared" si="1"/>
        <v>-1.6812625501049262E-3</v>
      </c>
      <c r="G65" s="3" cm="1">
        <f t="array" ref="G65">SUMPRODUCT(IF(((H65-$F$4:$F$515)/$B$10)&lt;=-1,0,IF(((H65-$F$4:$F$515)/$B$10)&gt;=1,1,(15/16)*(((H65-$F$4:$F$515)/$B$10)-(2/3)*((H65-$F$4:$F$515)/$B$10)^3+(1/5)*((H65-$F$4:$F$515)/$B$10)^5+8/15))))/COUNT($F$4:$F$515)</f>
        <v>0</v>
      </c>
      <c r="H65" s="5">
        <f t="shared" si="2"/>
        <v>-9.1354939878500643E-2</v>
      </c>
      <c r="K65" s="4">
        <v>0.01</v>
      </c>
      <c r="L65" s="5">
        <f t="shared" si="0"/>
        <v>-1.6954939878499008E-2</v>
      </c>
    </row>
    <row r="66" spans="4:12" ht="14.4" customHeight="1">
      <c r="D66" s="14">
        <v>42095</v>
      </c>
      <c r="E66" s="15">
        <v>7.0839999999999996</v>
      </c>
      <c r="F66" s="15">
        <f t="shared" si="1"/>
        <v>7.6069187572486941E-3</v>
      </c>
      <c r="G66" s="16" cm="1">
        <f t="array" ref="G66">SUMPRODUCT(IF(((H66-$F$4:$F$515)/$B$10)&lt;=-1,0,IF(((H66-$F$4:$F$515)/$B$10)&gt;=1,1,(15/16)*(((H66-$F$4:$F$515)/$B$10)-(2/3)*((H66-$F$4:$F$515)/$B$10)^3+(1/5)*((H66-$F$4:$F$515)/$B$10)^5+8/15))))/COUNT($F$4:$F$515)</f>
        <v>0</v>
      </c>
      <c r="H66" s="15">
        <f t="shared" si="2"/>
        <v>-9.125493987850064E-2</v>
      </c>
      <c r="K66" s="14">
        <v>0.01</v>
      </c>
      <c r="L66" s="15">
        <f t="shared" si="0"/>
        <v>-1.6954939878499008E-2</v>
      </c>
    </row>
    <row r="67" spans="4:12" ht="14.4" customHeight="1">
      <c r="D67" s="4">
        <v>42096</v>
      </c>
      <c r="E67" s="5">
        <v>7.1449999999999996</v>
      </c>
      <c r="F67" s="5">
        <f t="shared" si="1"/>
        <v>3.7236806089518525E-3</v>
      </c>
      <c r="G67" s="3" cm="1">
        <f t="array" ref="G67">SUMPRODUCT(IF(((H67-$F$4:$F$515)/$B$10)&lt;=-1,0,IF(((H67-$F$4:$F$515)/$B$10)&gt;=1,1,(15/16)*(((H67-$F$4:$F$515)/$B$10)-(2/3)*((H67-$F$4:$F$515)/$B$10)^3+(1/5)*((H67-$F$4:$F$515)/$B$10)^5+8/15))))/COUNT($F$4:$F$515)</f>
        <v>0</v>
      </c>
      <c r="H67" s="5">
        <f t="shared" si="2"/>
        <v>-9.1154939878500638E-2</v>
      </c>
      <c r="K67" s="4">
        <v>0.01</v>
      </c>
      <c r="L67" s="5">
        <f t="shared" si="0"/>
        <v>-1.6954939878499008E-2</v>
      </c>
    </row>
    <row r="68" spans="4:12" ht="14.4" customHeight="1">
      <c r="D68" s="14">
        <v>42101</v>
      </c>
      <c r="E68" s="15">
        <v>7.2389999999999999</v>
      </c>
      <c r="F68" s="15">
        <f t="shared" si="1"/>
        <v>5.6763435014592729E-3</v>
      </c>
      <c r="G68" s="16" cm="1">
        <f t="array" ref="G68">SUMPRODUCT(IF(((H68-$F$4:$F$515)/$B$10)&lt;=-1,0,IF(((H68-$F$4:$F$515)/$B$10)&gt;=1,1,(15/16)*(((H68-$F$4:$F$515)/$B$10)-(2/3)*((H68-$F$4:$F$515)/$B$10)^3+(1/5)*((H68-$F$4:$F$515)/$B$10)^5+8/15))))/COUNT($F$4:$F$515)</f>
        <v>0</v>
      </c>
      <c r="H68" s="15">
        <f t="shared" si="2"/>
        <v>-9.1054939878500635E-2</v>
      </c>
      <c r="K68" s="14">
        <v>0.01</v>
      </c>
      <c r="L68" s="15">
        <f t="shared" ref="L68:L131" si="3">$B$7</f>
        <v>-1.6954939878499008E-2</v>
      </c>
    </row>
    <row r="69" spans="4:12" ht="14.4" customHeight="1">
      <c r="D69" s="4">
        <v>42102</v>
      </c>
      <c r="E69" s="5">
        <v>7.2640000000000002</v>
      </c>
      <c r="F69" s="5">
        <f t="shared" ref="F69:F132" si="4">LOG(E69/E68)</f>
        <v>1.4972588845804575E-3</v>
      </c>
      <c r="G69" s="3" cm="1">
        <f t="array" ref="G69">SUMPRODUCT(IF(((H69-$F$4:$F$515)/$B$10)&lt;=-1,0,IF(((H69-$F$4:$F$515)/$B$10)&gt;=1,1,(15/16)*(((H69-$F$4:$F$515)/$B$10)-(2/3)*((H69-$F$4:$F$515)/$B$10)^3+(1/5)*((H69-$F$4:$F$515)/$B$10)^5+8/15))))/COUNT($F$4:$F$515)</f>
        <v>0</v>
      </c>
      <c r="H69" s="5">
        <f t="shared" ref="H69:H132" si="5">H68+0.0001</f>
        <v>-9.0954939878500632E-2</v>
      </c>
      <c r="K69" s="4">
        <v>0.01</v>
      </c>
      <c r="L69" s="5">
        <f t="shared" si="3"/>
        <v>-1.6954939878499008E-2</v>
      </c>
    </row>
    <row r="70" spans="4:12" ht="14.4" customHeight="1">
      <c r="D70" s="14">
        <v>42103</v>
      </c>
      <c r="E70" s="15">
        <v>7.3970000000000002</v>
      </c>
      <c r="F70" s="15">
        <f t="shared" si="4"/>
        <v>7.879783188879292E-3</v>
      </c>
      <c r="G70" s="16" cm="1">
        <f t="array" ref="G70">SUMPRODUCT(IF(((H70-$F$4:$F$515)/$B$10)&lt;=-1,0,IF(((H70-$F$4:$F$515)/$B$10)&gt;=1,1,(15/16)*(((H70-$F$4:$F$515)/$B$10)-(2/3)*((H70-$F$4:$F$515)/$B$10)^3+(1/5)*((H70-$F$4:$F$515)/$B$10)^5+8/15))))/COUNT($F$4:$F$515)</f>
        <v>0</v>
      </c>
      <c r="H70" s="15">
        <f t="shared" si="5"/>
        <v>-9.0854939878500629E-2</v>
      </c>
      <c r="K70" s="14">
        <v>0.01</v>
      </c>
      <c r="L70" s="15">
        <f t="shared" si="3"/>
        <v>-1.6954939878499008E-2</v>
      </c>
    </row>
    <row r="71" spans="4:12" ht="14.4" customHeight="1">
      <c r="D71" s="4">
        <v>42104</v>
      </c>
      <c r="E71" s="5">
        <v>7.3559999999999999</v>
      </c>
      <c r="F71" s="5">
        <f t="shared" si="4"/>
        <v>-2.4138981358681221E-3</v>
      </c>
      <c r="G71" s="3" cm="1">
        <f t="array" ref="G71">SUMPRODUCT(IF(((H71-$F$4:$F$515)/$B$10)&lt;=-1,0,IF(((H71-$F$4:$F$515)/$B$10)&gt;=1,1,(15/16)*(((H71-$F$4:$F$515)/$B$10)-(2/3)*((H71-$F$4:$F$515)/$B$10)^3+(1/5)*((H71-$F$4:$F$515)/$B$10)^5+8/15))))/COUNT($F$4:$F$515)</f>
        <v>0</v>
      </c>
      <c r="H71" s="5">
        <f t="shared" si="5"/>
        <v>-9.0754939878500626E-2</v>
      </c>
      <c r="K71" s="4">
        <v>0.01</v>
      </c>
      <c r="L71" s="5">
        <f t="shared" si="3"/>
        <v>-1.6954939878499008E-2</v>
      </c>
    </row>
    <row r="72" spans="4:12" ht="14.4" customHeight="1">
      <c r="D72" s="14">
        <v>42107</v>
      </c>
      <c r="E72" s="15">
        <v>7.4039999999999999</v>
      </c>
      <c r="F72" s="15">
        <f t="shared" si="4"/>
        <v>2.8246895148266739E-3</v>
      </c>
      <c r="G72" s="16" cm="1">
        <f t="array" ref="G72">SUMPRODUCT(IF(((H72-$F$4:$F$515)/$B$10)&lt;=-1,0,IF(((H72-$F$4:$F$515)/$B$10)&gt;=1,1,(15/16)*(((H72-$F$4:$F$515)/$B$10)-(2/3)*((H72-$F$4:$F$515)/$B$10)^3+(1/5)*((H72-$F$4:$F$515)/$B$10)^5+8/15))))/COUNT($F$4:$F$515)</f>
        <v>0</v>
      </c>
      <c r="H72" s="15">
        <f t="shared" si="5"/>
        <v>-9.0654939878500623E-2</v>
      </c>
      <c r="K72" s="14">
        <v>0.01</v>
      </c>
      <c r="L72" s="15">
        <f t="shared" si="3"/>
        <v>-1.6954939878499008E-2</v>
      </c>
    </row>
    <row r="73" spans="4:12" ht="14.4" customHeight="1">
      <c r="D73" s="4">
        <v>42108</v>
      </c>
      <c r="E73" s="5">
        <v>7.4130000000000003</v>
      </c>
      <c r="F73" s="5">
        <f t="shared" si="4"/>
        <v>5.2759004087530562E-4</v>
      </c>
      <c r="G73" s="3" cm="1">
        <f t="array" ref="G73">SUMPRODUCT(IF(((H73-$F$4:$F$515)/$B$10)&lt;=-1,0,IF(((H73-$F$4:$F$515)/$B$10)&gt;=1,1,(15/16)*(((H73-$F$4:$F$515)/$B$10)-(2/3)*((H73-$F$4:$F$515)/$B$10)^3+(1/5)*((H73-$F$4:$F$515)/$B$10)^5+8/15))))/COUNT($F$4:$F$515)</f>
        <v>0</v>
      </c>
      <c r="H73" s="5">
        <f t="shared" si="5"/>
        <v>-9.055493987850062E-2</v>
      </c>
      <c r="K73" s="4">
        <v>0.01</v>
      </c>
      <c r="L73" s="5">
        <f t="shared" si="3"/>
        <v>-1.6954939878499008E-2</v>
      </c>
    </row>
    <row r="74" spans="4:12" ht="14.4" customHeight="1">
      <c r="D74" s="14">
        <v>42109</v>
      </c>
      <c r="E74" s="15">
        <v>7.43</v>
      </c>
      <c r="F74" s="15">
        <f t="shared" si="4"/>
        <v>9.9481363883342387E-4</v>
      </c>
      <c r="G74" s="16" cm="1">
        <f t="array" ref="G74">SUMPRODUCT(IF(((H74-$F$4:$F$515)/$B$10)&lt;=-1,0,IF(((H74-$F$4:$F$515)/$B$10)&gt;=1,1,(15/16)*(((H74-$F$4:$F$515)/$B$10)-(2/3)*((H74-$F$4:$F$515)/$B$10)^3+(1/5)*((H74-$F$4:$F$515)/$B$10)^5+8/15))))/COUNT($F$4:$F$515)</f>
        <v>0</v>
      </c>
      <c r="H74" s="15">
        <f t="shared" si="5"/>
        <v>-9.0454939878500618E-2</v>
      </c>
      <c r="K74" s="14">
        <v>0.01</v>
      </c>
      <c r="L74" s="15">
        <f t="shared" si="3"/>
        <v>-1.6954939878499008E-2</v>
      </c>
    </row>
    <row r="75" spans="4:12" ht="14.4" customHeight="1">
      <c r="D75" s="4">
        <v>42110</v>
      </c>
      <c r="E75" s="5">
        <v>7.35</v>
      </c>
      <c r="F75" s="5">
        <f t="shared" si="4"/>
        <v>-4.7014746763803707E-3</v>
      </c>
      <c r="G75" s="3" cm="1">
        <f t="array" ref="G75">SUMPRODUCT(IF(((H75-$F$4:$F$515)/$B$10)&lt;=-1,0,IF(((H75-$F$4:$F$515)/$B$10)&gt;=1,1,(15/16)*(((H75-$F$4:$F$515)/$B$10)-(2/3)*((H75-$F$4:$F$515)/$B$10)^3+(1/5)*((H75-$F$4:$F$515)/$B$10)^5+8/15))))/COUNT($F$4:$F$515)</f>
        <v>0</v>
      </c>
      <c r="H75" s="5">
        <f t="shared" si="5"/>
        <v>-9.0354939878500615E-2</v>
      </c>
      <c r="K75" s="4">
        <v>0.01</v>
      </c>
      <c r="L75" s="5">
        <f t="shared" si="3"/>
        <v>-1.6954939878499008E-2</v>
      </c>
    </row>
    <row r="76" spans="4:12" ht="14.4" customHeight="1">
      <c r="D76" s="14">
        <v>42111</v>
      </c>
      <c r="E76" s="15">
        <v>7.1680000000000001</v>
      </c>
      <c r="F76" s="15">
        <f t="shared" si="4"/>
        <v>-1.0889342430126072E-2</v>
      </c>
      <c r="G76" s="16" cm="1">
        <f t="array" ref="G76">SUMPRODUCT(IF(((H76-$F$4:$F$515)/$B$10)&lt;=-1,0,IF(((H76-$F$4:$F$515)/$B$10)&gt;=1,1,(15/16)*(((H76-$F$4:$F$515)/$B$10)-(2/3)*((H76-$F$4:$F$515)/$B$10)^3+(1/5)*((H76-$F$4:$F$515)/$B$10)^5+8/15))))/COUNT($F$4:$F$515)</f>
        <v>0</v>
      </c>
      <c r="H76" s="15">
        <f t="shared" si="5"/>
        <v>-9.0254939878500612E-2</v>
      </c>
      <c r="K76" s="14">
        <v>0.01</v>
      </c>
      <c r="L76" s="15">
        <f t="shared" si="3"/>
        <v>-1.6954939878499008E-2</v>
      </c>
    </row>
    <row r="77" spans="4:12" ht="14.4" customHeight="1">
      <c r="D77" s="4">
        <v>42114</v>
      </c>
      <c r="E77" s="5">
        <v>7.25</v>
      </c>
      <c r="F77" s="5">
        <f t="shared" si="4"/>
        <v>4.9400099169249409E-3</v>
      </c>
      <c r="G77" s="3" cm="1">
        <f t="array" ref="G77">SUMPRODUCT(IF(((H77-$F$4:$F$515)/$B$10)&lt;=-1,0,IF(((H77-$F$4:$F$515)/$B$10)&gt;=1,1,(15/16)*(((H77-$F$4:$F$515)/$B$10)-(2/3)*((H77-$F$4:$F$515)/$B$10)^3+(1/5)*((H77-$F$4:$F$515)/$B$10)^5+8/15))))/COUNT($F$4:$F$515)</f>
        <v>0</v>
      </c>
      <c r="H77" s="5">
        <f t="shared" si="5"/>
        <v>-9.0154939878500609E-2</v>
      </c>
      <c r="K77" s="4">
        <v>0.01</v>
      </c>
      <c r="L77" s="5">
        <f t="shared" si="3"/>
        <v>-1.6954939878499008E-2</v>
      </c>
    </row>
    <row r="78" spans="4:12" ht="14.4" customHeight="1">
      <c r="D78" s="14">
        <v>42115</v>
      </c>
      <c r="E78" s="15">
        <v>7.3609999999999998</v>
      </c>
      <c r="F78" s="15">
        <f t="shared" si="4"/>
        <v>6.5988111606456699E-3</v>
      </c>
      <c r="G78" s="16" cm="1">
        <f t="array" ref="G78">SUMPRODUCT(IF(((H78-$F$4:$F$515)/$B$10)&lt;=-1,0,IF(((H78-$F$4:$F$515)/$B$10)&gt;=1,1,(15/16)*(((H78-$F$4:$F$515)/$B$10)-(2/3)*((H78-$F$4:$F$515)/$B$10)^3+(1/5)*((H78-$F$4:$F$515)/$B$10)^5+8/15))))/COUNT($F$4:$F$515)</f>
        <v>0</v>
      </c>
      <c r="H78" s="15">
        <f t="shared" si="5"/>
        <v>-9.0054939878500606E-2</v>
      </c>
      <c r="K78" s="14">
        <v>0.01</v>
      </c>
      <c r="L78" s="15">
        <f t="shared" si="3"/>
        <v>-1.6954939878499008E-2</v>
      </c>
    </row>
    <row r="79" spans="4:12" ht="14.4" customHeight="1">
      <c r="D79" s="4">
        <v>42116</v>
      </c>
      <c r="E79" s="5">
        <v>7.4450000000000003</v>
      </c>
      <c r="F79" s="5">
        <f t="shared" si="4"/>
        <v>4.9278843565555668E-3</v>
      </c>
      <c r="G79" s="3" cm="1">
        <f t="array" ref="G79">SUMPRODUCT(IF(((H79-$F$4:$F$515)/$B$10)&lt;=-1,0,IF(((H79-$F$4:$F$515)/$B$10)&gt;=1,1,(15/16)*(((H79-$F$4:$F$515)/$B$10)-(2/3)*((H79-$F$4:$F$515)/$B$10)^3+(1/5)*((H79-$F$4:$F$515)/$B$10)^5+8/15))))/COUNT($F$4:$F$515)</f>
        <v>0</v>
      </c>
      <c r="H79" s="5">
        <f t="shared" si="5"/>
        <v>-8.9954939878500603E-2</v>
      </c>
      <c r="K79" s="4">
        <v>0.01</v>
      </c>
      <c r="L79" s="5">
        <f t="shared" si="3"/>
        <v>-1.6954939878499008E-2</v>
      </c>
    </row>
    <row r="80" spans="4:12" ht="14.4" customHeight="1">
      <c r="D80" s="14">
        <v>42117</v>
      </c>
      <c r="E80" s="15">
        <v>7.5350000000000001</v>
      </c>
      <c r="F80" s="15">
        <f t="shared" si="4"/>
        <v>5.2185545624556301E-3</v>
      </c>
      <c r="G80" s="16" cm="1">
        <f t="array" ref="G80">SUMPRODUCT(IF(((H80-$F$4:$F$515)/$B$10)&lt;=-1,0,IF(((H80-$F$4:$F$515)/$B$10)&gt;=1,1,(15/16)*(((H80-$F$4:$F$515)/$B$10)-(2/3)*((H80-$F$4:$F$515)/$B$10)^3+(1/5)*((H80-$F$4:$F$515)/$B$10)^5+8/15))))/COUNT($F$4:$F$515)</f>
        <v>0</v>
      </c>
      <c r="H80" s="15">
        <f t="shared" si="5"/>
        <v>-8.98549398785006E-2</v>
      </c>
      <c r="K80" s="14">
        <v>0.01</v>
      </c>
      <c r="L80" s="15">
        <f t="shared" si="3"/>
        <v>-1.6954939878499008E-2</v>
      </c>
    </row>
    <row r="81" spans="4:12" ht="14.4" customHeight="1">
      <c r="D81" s="4">
        <v>42118</v>
      </c>
      <c r="E81" s="5">
        <v>7.6459999999999999</v>
      </c>
      <c r="F81" s="5">
        <f t="shared" si="4"/>
        <v>6.3510370323587081E-3</v>
      </c>
      <c r="G81" s="3" cm="1">
        <f t="array" ref="G81">SUMPRODUCT(IF(((H81-$F$4:$F$515)/$B$10)&lt;=-1,0,IF(((H81-$F$4:$F$515)/$B$10)&gt;=1,1,(15/16)*(((H81-$F$4:$F$515)/$B$10)-(2/3)*((H81-$F$4:$F$515)/$B$10)^3+(1/5)*((H81-$F$4:$F$515)/$B$10)^5+8/15))))/COUNT($F$4:$F$515)</f>
        <v>0</v>
      </c>
      <c r="H81" s="5">
        <f t="shared" si="5"/>
        <v>-8.9754939878500598E-2</v>
      </c>
      <c r="K81" s="4">
        <v>0.01</v>
      </c>
      <c r="L81" s="5">
        <f t="shared" si="3"/>
        <v>-1.6954939878499008E-2</v>
      </c>
    </row>
    <row r="82" spans="4:12" ht="14.4" customHeight="1">
      <c r="D82" s="14">
        <v>42121</v>
      </c>
      <c r="E82" s="15">
        <v>7.7439999999999998</v>
      </c>
      <c r="F82" s="15">
        <f t="shared" si="4"/>
        <v>5.5310506173279483E-3</v>
      </c>
      <c r="G82" s="16" cm="1">
        <f t="array" ref="G82">SUMPRODUCT(IF(((H82-$F$4:$F$515)/$B$10)&lt;=-1,0,IF(((H82-$F$4:$F$515)/$B$10)&gt;=1,1,(15/16)*(((H82-$F$4:$F$515)/$B$10)-(2/3)*((H82-$F$4:$F$515)/$B$10)^3+(1/5)*((H82-$F$4:$F$515)/$B$10)^5+8/15))))/COUNT($F$4:$F$515)</f>
        <v>0</v>
      </c>
      <c r="H82" s="15">
        <f t="shared" si="5"/>
        <v>-8.9654939878500595E-2</v>
      </c>
      <c r="K82" s="14">
        <v>0.01</v>
      </c>
      <c r="L82" s="15">
        <f t="shared" si="3"/>
        <v>-1.6954939878499008E-2</v>
      </c>
    </row>
    <row r="83" spans="4:12" ht="14.4" customHeight="1">
      <c r="D83" s="4">
        <v>42122</v>
      </c>
      <c r="E83" s="5">
        <v>7.6619999999999999</v>
      </c>
      <c r="F83" s="5">
        <f t="shared" si="4"/>
        <v>-4.6231966532783155E-3</v>
      </c>
      <c r="G83" s="3" cm="1">
        <f t="array" ref="G83">SUMPRODUCT(IF(((H83-$F$4:$F$515)/$B$10)&lt;=-1,0,IF(((H83-$F$4:$F$515)/$B$10)&gt;=1,1,(15/16)*(((H83-$F$4:$F$515)/$B$10)-(2/3)*((H83-$F$4:$F$515)/$B$10)^3+(1/5)*((H83-$F$4:$F$515)/$B$10)^5+8/15))))/COUNT($F$4:$F$515)</f>
        <v>0</v>
      </c>
      <c r="H83" s="5">
        <f t="shared" si="5"/>
        <v>-8.9554939878500592E-2</v>
      </c>
      <c r="K83" s="4">
        <v>0.01</v>
      </c>
      <c r="L83" s="5">
        <f t="shared" si="3"/>
        <v>-1.6954939878499008E-2</v>
      </c>
    </row>
    <row r="84" spans="4:12" ht="14.4" customHeight="1">
      <c r="D84" s="14">
        <v>42123</v>
      </c>
      <c r="E84" s="15">
        <v>7.2779999999999996</v>
      </c>
      <c r="F84" s="15">
        <f t="shared" si="4"/>
        <v>-2.2330096396842344E-2</v>
      </c>
      <c r="G84" s="16" cm="1">
        <f t="array" ref="G84">SUMPRODUCT(IF(((H84-$F$4:$F$515)/$B$10)&lt;=-1,0,IF(((H84-$F$4:$F$515)/$B$10)&gt;=1,1,(15/16)*(((H84-$F$4:$F$515)/$B$10)-(2/3)*((H84-$F$4:$F$515)/$B$10)^3+(1/5)*((H84-$F$4:$F$515)/$B$10)^5+8/15))))/COUNT($F$4:$F$515)</f>
        <v>0</v>
      </c>
      <c r="H84" s="15">
        <f t="shared" si="5"/>
        <v>-8.9454939878500589E-2</v>
      </c>
      <c r="K84" s="14">
        <v>0.01</v>
      </c>
      <c r="L84" s="15">
        <f t="shared" si="3"/>
        <v>-1.6954939878499008E-2</v>
      </c>
    </row>
    <row r="85" spans="4:12" ht="14.4" customHeight="1">
      <c r="D85" s="4">
        <v>42124</v>
      </c>
      <c r="E85" s="5">
        <v>7.3860000000000001</v>
      </c>
      <c r="F85" s="5">
        <f t="shared" si="4"/>
        <v>6.3972520647433461E-3</v>
      </c>
      <c r="G85" s="3" cm="1">
        <f t="array" ref="G85">SUMPRODUCT(IF(((H85-$F$4:$F$515)/$B$10)&lt;=-1,0,IF(((H85-$F$4:$F$515)/$B$10)&gt;=1,1,(15/16)*(((H85-$F$4:$F$515)/$B$10)-(2/3)*((H85-$F$4:$F$515)/$B$10)^3+(1/5)*((H85-$F$4:$F$515)/$B$10)^5+8/15))))/COUNT($F$4:$F$515)</f>
        <v>0</v>
      </c>
      <c r="H85" s="5">
        <f t="shared" si="5"/>
        <v>-8.9354939878500586E-2</v>
      </c>
      <c r="K85" s="4">
        <v>0.01</v>
      </c>
      <c r="L85" s="5">
        <f t="shared" si="3"/>
        <v>-1.6954939878499008E-2</v>
      </c>
    </row>
    <row r="86" spans="4:12" ht="14.4" customHeight="1">
      <c r="D86" s="14">
        <v>42128</v>
      </c>
      <c r="E86" s="15">
        <v>7.3730000000000002</v>
      </c>
      <c r="F86" s="15">
        <f t="shared" si="4"/>
        <v>-7.6506941186146459E-4</v>
      </c>
      <c r="G86" s="16" cm="1">
        <f t="array" ref="G86">SUMPRODUCT(IF(((H86-$F$4:$F$515)/$B$10)&lt;=-1,0,IF(((H86-$F$4:$F$515)/$B$10)&gt;=1,1,(15/16)*(((H86-$F$4:$F$515)/$B$10)-(2/3)*((H86-$F$4:$F$515)/$B$10)^3+(1/5)*((H86-$F$4:$F$515)/$B$10)^5+8/15))))/COUNT($F$4:$F$515)</f>
        <v>0</v>
      </c>
      <c r="H86" s="15">
        <f t="shared" si="5"/>
        <v>-8.9254939878500583E-2</v>
      </c>
      <c r="K86" s="14">
        <v>0.01</v>
      </c>
      <c r="L86" s="15">
        <f t="shared" si="3"/>
        <v>-1.6954939878499008E-2</v>
      </c>
    </row>
    <row r="87" spans="4:12" ht="14.4" customHeight="1">
      <c r="D87" s="4">
        <v>42129</v>
      </c>
      <c r="E87" s="5">
        <v>7.1219999999999999</v>
      </c>
      <c r="F87" s="5">
        <f t="shared" si="4"/>
        <v>-1.5042264564863657E-2</v>
      </c>
      <c r="G87" s="3" cm="1">
        <f t="array" ref="G87">SUMPRODUCT(IF(((H87-$F$4:$F$515)/$B$10)&lt;=-1,0,IF(((H87-$F$4:$F$515)/$B$10)&gt;=1,1,(15/16)*(((H87-$F$4:$F$515)/$B$10)-(2/3)*((H87-$F$4:$F$515)/$B$10)^3+(1/5)*((H87-$F$4:$F$515)/$B$10)^5+8/15))))/COUNT($F$4:$F$515)</f>
        <v>0</v>
      </c>
      <c r="H87" s="5">
        <f t="shared" si="5"/>
        <v>-8.915493987850058E-2</v>
      </c>
      <c r="K87" s="4">
        <v>0.01</v>
      </c>
      <c r="L87" s="5">
        <f t="shared" si="3"/>
        <v>-1.6954939878499008E-2</v>
      </c>
    </row>
    <row r="88" spans="4:12" ht="14.4" customHeight="1">
      <c r="D88" s="14">
        <v>42130</v>
      </c>
      <c r="E88" s="15">
        <v>7.13</v>
      </c>
      <c r="F88" s="15">
        <f t="shared" si="4"/>
        <v>4.8756051363073782E-4</v>
      </c>
      <c r="G88" s="16" cm="1">
        <f t="array" ref="G88">SUMPRODUCT(IF(((H88-$F$4:$F$515)/$B$10)&lt;=-1,0,IF(((H88-$F$4:$F$515)/$B$10)&gt;=1,1,(15/16)*(((H88-$F$4:$F$515)/$B$10)-(2/3)*((H88-$F$4:$F$515)/$B$10)^3+(1/5)*((H88-$F$4:$F$515)/$B$10)^5+8/15))))/COUNT($F$4:$F$515)</f>
        <v>0</v>
      </c>
      <c r="H88" s="15">
        <f t="shared" si="5"/>
        <v>-8.9054939878500577E-2</v>
      </c>
      <c r="K88" s="14">
        <v>0.01</v>
      </c>
      <c r="L88" s="15">
        <f t="shared" si="3"/>
        <v>-1.6954939878499008E-2</v>
      </c>
    </row>
    <row r="89" spans="4:12" ht="14.4" customHeight="1">
      <c r="D89" s="4">
        <v>42131</v>
      </c>
      <c r="E89" s="5">
        <v>7.1189999999999998</v>
      </c>
      <c r="F89" s="5">
        <f t="shared" si="4"/>
        <v>-6.7053691486414365E-4</v>
      </c>
      <c r="G89" s="3" cm="1">
        <f t="array" ref="G89">SUMPRODUCT(IF(((H89-$F$4:$F$515)/$B$10)&lt;=-1,0,IF(((H89-$F$4:$F$515)/$B$10)&gt;=1,1,(15/16)*(((H89-$F$4:$F$515)/$B$10)-(2/3)*((H89-$F$4:$F$515)/$B$10)^3+(1/5)*((H89-$F$4:$F$515)/$B$10)^5+8/15))))/COUNT($F$4:$F$515)</f>
        <v>0</v>
      </c>
      <c r="H89" s="5">
        <f t="shared" si="5"/>
        <v>-8.8954939878500575E-2</v>
      </c>
      <c r="K89" s="4">
        <v>0.01</v>
      </c>
      <c r="L89" s="5">
        <f t="shared" si="3"/>
        <v>-1.6954939878499008E-2</v>
      </c>
    </row>
    <row r="90" spans="4:12" ht="14.4" customHeight="1">
      <c r="D90" s="14">
        <v>42132</v>
      </c>
      <c r="E90" s="15">
        <v>7.25</v>
      </c>
      <c r="F90" s="15">
        <f t="shared" si="4"/>
        <v>7.9190136339922865E-3</v>
      </c>
      <c r="G90" s="16" cm="1">
        <f t="array" ref="G90">SUMPRODUCT(IF(((H90-$F$4:$F$515)/$B$10)&lt;=-1,0,IF(((H90-$F$4:$F$515)/$B$10)&gt;=1,1,(15/16)*(((H90-$F$4:$F$515)/$B$10)-(2/3)*((H90-$F$4:$F$515)/$B$10)^3+(1/5)*((H90-$F$4:$F$515)/$B$10)^5+8/15))))/COUNT($F$4:$F$515)</f>
        <v>0</v>
      </c>
      <c r="H90" s="15">
        <f t="shared" si="5"/>
        <v>-8.8854939878500572E-2</v>
      </c>
      <c r="K90" s="14">
        <v>0.01</v>
      </c>
      <c r="L90" s="15">
        <f t="shared" si="3"/>
        <v>-1.6954939878499008E-2</v>
      </c>
    </row>
    <row r="91" spans="4:12" ht="14.4" customHeight="1">
      <c r="D91" s="4">
        <v>42135</v>
      </c>
      <c r="E91" s="5">
        <v>7.22</v>
      </c>
      <c r="F91" s="5">
        <f t="shared" si="4"/>
        <v>-1.800809001354592E-3</v>
      </c>
      <c r="G91" s="3" cm="1">
        <f t="array" ref="G91">SUMPRODUCT(IF(((H91-$F$4:$F$515)/$B$10)&lt;=-1,0,IF(((H91-$F$4:$F$515)/$B$10)&gt;=1,1,(15/16)*(((H91-$F$4:$F$515)/$B$10)-(2/3)*((H91-$F$4:$F$515)/$B$10)^3+(1/5)*((H91-$F$4:$F$515)/$B$10)^5+8/15))))/COUNT($F$4:$F$515)</f>
        <v>0</v>
      </c>
      <c r="H91" s="5">
        <f t="shared" si="5"/>
        <v>-8.8754939878500569E-2</v>
      </c>
      <c r="K91" s="4">
        <v>0.01</v>
      </c>
      <c r="L91" s="5">
        <f t="shared" si="3"/>
        <v>-1.6954939878499008E-2</v>
      </c>
    </row>
    <row r="92" spans="4:12" ht="14.4" customHeight="1">
      <c r="D92" s="14">
        <v>42136</v>
      </c>
      <c r="E92" s="15">
        <v>6.98</v>
      </c>
      <c r="F92" s="15">
        <f t="shared" si="4"/>
        <v>-1.4681774946477984E-2</v>
      </c>
      <c r="G92" s="16" cm="1">
        <f t="array" ref="G92">SUMPRODUCT(IF(((H92-$F$4:$F$515)/$B$10)&lt;=-1,0,IF(((H92-$F$4:$F$515)/$B$10)&gt;=1,1,(15/16)*(((H92-$F$4:$F$515)/$B$10)-(2/3)*((H92-$F$4:$F$515)/$B$10)^3+(1/5)*((H92-$F$4:$F$515)/$B$10)^5+8/15))))/COUNT($F$4:$F$515)</f>
        <v>0</v>
      </c>
      <c r="H92" s="15">
        <f t="shared" si="5"/>
        <v>-8.8654939878500566E-2</v>
      </c>
      <c r="K92" s="14">
        <v>0.01</v>
      </c>
      <c r="L92" s="15">
        <f t="shared" si="3"/>
        <v>-1.6954939878499008E-2</v>
      </c>
    </row>
    <row r="93" spans="4:12" ht="14.4" customHeight="1">
      <c r="D93" s="4">
        <v>42137</v>
      </c>
      <c r="E93" s="5">
        <v>7.0339999999999998</v>
      </c>
      <c r="F93" s="5">
        <f t="shared" si="4"/>
        <v>3.346941357762668E-3</v>
      </c>
      <c r="G93" s="3" cm="1">
        <f t="array" ref="G93">SUMPRODUCT(IF(((H93-$F$4:$F$515)/$B$10)&lt;=-1,0,IF(((H93-$F$4:$F$515)/$B$10)&gt;=1,1,(15/16)*(((H93-$F$4:$F$515)/$B$10)-(2/3)*((H93-$F$4:$F$515)/$B$10)^3+(1/5)*((H93-$F$4:$F$515)/$B$10)^5+8/15))))/COUNT($F$4:$F$515)</f>
        <v>0</v>
      </c>
      <c r="H93" s="5">
        <f t="shared" si="5"/>
        <v>-8.8554939878500563E-2</v>
      </c>
      <c r="K93" s="4">
        <v>0.01</v>
      </c>
      <c r="L93" s="5">
        <f t="shared" si="3"/>
        <v>-1.6954939878499008E-2</v>
      </c>
    </row>
    <row r="94" spans="4:12" ht="14.4" customHeight="1">
      <c r="D94" s="14">
        <v>42138</v>
      </c>
      <c r="E94" s="15">
        <v>7.15</v>
      </c>
      <c r="F94" s="15">
        <f t="shared" si="4"/>
        <v>7.1036778201569008E-3</v>
      </c>
      <c r="G94" s="16" cm="1">
        <f t="array" ref="G94">SUMPRODUCT(IF(((H94-$F$4:$F$515)/$B$10)&lt;=-1,0,IF(((H94-$F$4:$F$515)/$B$10)&gt;=1,1,(15/16)*(((H94-$F$4:$F$515)/$B$10)-(2/3)*((H94-$F$4:$F$515)/$B$10)^3+(1/5)*((H94-$F$4:$F$515)/$B$10)^5+8/15))))/COUNT($F$4:$F$515)</f>
        <v>0</v>
      </c>
      <c r="H94" s="15">
        <f t="shared" si="5"/>
        <v>-8.845493987850056E-2</v>
      </c>
      <c r="K94" s="14">
        <v>0.01</v>
      </c>
      <c r="L94" s="15">
        <f t="shared" si="3"/>
        <v>-1.6954939878499008E-2</v>
      </c>
    </row>
    <row r="95" spans="4:12" ht="14.4" customHeight="1">
      <c r="D95" s="4">
        <v>42139</v>
      </c>
      <c r="E95" s="5">
        <v>7.1369999999999996</v>
      </c>
      <c r="F95" s="5">
        <f t="shared" si="4"/>
        <v>-7.9034504415199046E-4</v>
      </c>
      <c r="G95" s="3" cm="1">
        <f t="array" ref="G95">SUMPRODUCT(IF(((H95-$F$4:$F$515)/$B$10)&lt;=-1,0,IF(((H95-$F$4:$F$515)/$B$10)&gt;=1,1,(15/16)*(((H95-$F$4:$F$515)/$B$10)-(2/3)*((H95-$F$4:$F$515)/$B$10)^3+(1/5)*((H95-$F$4:$F$515)/$B$10)^5+8/15))))/COUNT($F$4:$F$515)</f>
        <v>0</v>
      </c>
      <c r="H95" s="5">
        <f t="shared" si="5"/>
        <v>-8.8354939878500557E-2</v>
      </c>
      <c r="K95" s="4">
        <v>0.01</v>
      </c>
      <c r="L95" s="5">
        <f t="shared" si="3"/>
        <v>-1.6954939878499008E-2</v>
      </c>
    </row>
    <row r="96" spans="4:12" ht="14.4" customHeight="1">
      <c r="D96" s="14">
        <v>42142</v>
      </c>
      <c r="E96" s="15">
        <v>7.0750000000000002</v>
      </c>
      <c r="F96" s="15">
        <f t="shared" si="4"/>
        <v>-3.7892525606007831E-3</v>
      </c>
      <c r="G96" s="16" cm="1">
        <f t="array" ref="G96">SUMPRODUCT(IF(((H96-$F$4:$F$515)/$B$10)&lt;=-1,0,IF(((H96-$F$4:$F$515)/$B$10)&gt;=1,1,(15/16)*(((H96-$F$4:$F$515)/$B$10)-(2/3)*((H96-$F$4:$F$515)/$B$10)^3+(1/5)*((H96-$F$4:$F$515)/$B$10)^5+8/15))))/COUNT($F$4:$F$515)</f>
        <v>0</v>
      </c>
      <c r="H96" s="15">
        <f t="shared" si="5"/>
        <v>-8.8254939878500555E-2</v>
      </c>
      <c r="K96" s="14">
        <v>0.01</v>
      </c>
      <c r="L96" s="15">
        <f t="shared" si="3"/>
        <v>-1.6954939878499008E-2</v>
      </c>
    </row>
    <row r="97" spans="4:12" ht="14.4" customHeight="1">
      <c r="D97" s="4">
        <v>42143</v>
      </c>
      <c r="E97" s="5">
        <v>7.2069999999999999</v>
      </c>
      <c r="F97" s="5">
        <f t="shared" si="4"/>
        <v>8.0280778631143922E-3</v>
      </c>
      <c r="G97" s="3" cm="1">
        <f t="array" ref="G97">SUMPRODUCT(IF(((H97-$F$4:$F$515)/$B$10)&lt;=-1,0,IF(((H97-$F$4:$F$515)/$B$10)&gt;=1,1,(15/16)*(((H97-$F$4:$F$515)/$B$10)-(2/3)*((H97-$F$4:$F$515)/$B$10)^3+(1/5)*((H97-$F$4:$F$515)/$B$10)^5+8/15))))/COUNT($F$4:$F$515)</f>
        <v>0</v>
      </c>
      <c r="H97" s="5">
        <f t="shared" si="5"/>
        <v>-8.8154939878500552E-2</v>
      </c>
      <c r="K97" s="4">
        <v>0.01</v>
      </c>
      <c r="L97" s="5">
        <f t="shared" si="3"/>
        <v>-1.6954939878499008E-2</v>
      </c>
    </row>
    <row r="98" spans="4:12" ht="14.4" customHeight="1">
      <c r="D98" s="14">
        <v>42144</v>
      </c>
      <c r="E98" s="15">
        <v>7.2480000000000002</v>
      </c>
      <c r="F98" s="15">
        <f t="shared" si="4"/>
        <v>2.4636626093144424E-3</v>
      </c>
      <c r="G98" s="16" cm="1">
        <f t="array" ref="G98">SUMPRODUCT(IF(((H98-$F$4:$F$515)/$B$10)&lt;=-1,0,IF(((H98-$F$4:$F$515)/$B$10)&gt;=1,1,(15/16)*(((H98-$F$4:$F$515)/$B$10)-(2/3)*((H98-$F$4:$F$515)/$B$10)^3+(1/5)*((H98-$F$4:$F$515)/$B$10)^5+8/15))))/COUNT($F$4:$F$515)</f>
        <v>0</v>
      </c>
      <c r="H98" s="15">
        <f t="shared" si="5"/>
        <v>-8.8054939878500549E-2</v>
      </c>
      <c r="K98" s="14">
        <v>0.01</v>
      </c>
      <c r="L98" s="15">
        <f t="shared" si="3"/>
        <v>-1.6954939878499008E-2</v>
      </c>
    </row>
    <row r="99" spans="4:12" ht="14.4" customHeight="1">
      <c r="D99" s="4">
        <v>42145</v>
      </c>
      <c r="E99" s="5">
        <v>7.2469999999999999</v>
      </c>
      <c r="F99" s="5">
        <f t="shared" si="4"/>
        <v>-5.9923350478438665E-5</v>
      </c>
      <c r="G99" s="3" cm="1">
        <f t="array" ref="G99">SUMPRODUCT(IF(((H99-$F$4:$F$515)/$B$10)&lt;=-1,0,IF(((H99-$F$4:$F$515)/$B$10)&gt;=1,1,(15/16)*(((H99-$F$4:$F$515)/$B$10)-(2/3)*((H99-$F$4:$F$515)/$B$10)^3+(1/5)*((H99-$F$4:$F$515)/$B$10)^5+8/15))))/COUNT($F$4:$F$515)</f>
        <v>0</v>
      </c>
      <c r="H99" s="5">
        <f t="shared" si="5"/>
        <v>-8.7954939878500546E-2</v>
      </c>
      <c r="K99" s="4">
        <v>0.01</v>
      </c>
      <c r="L99" s="5">
        <f t="shared" si="3"/>
        <v>-1.6954939878499008E-2</v>
      </c>
    </row>
    <row r="100" spans="4:12" ht="14.4" customHeight="1">
      <c r="D100" s="14">
        <v>42146</v>
      </c>
      <c r="E100" s="15">
        <v>6.9640000000000004</v>
      </c>
      <c r="F100" s="15">
        <f t="shared" si="4"/>
        <v>-1.7299498872984646E-2</v>
      </c>
      <c r="G100" s="16" cm="1">
        <f t="array" ref="G100">SUMPRODUCT(IF(((H100-$F$4:$F$515)/$B$10)&lt;=-1,0,IF(((H100-$F$4:$F$515)/$B$10)&gt;=1,1,(15/16)*(((H100-$F$4:$F$515)/$B$10)-(2/3)*((H100-$F$4:$F$515)/$B$10)^3+(1/5)*((H100-$F$4:$F$515)/$B$10)^5+8/15))))/COUNT($F$4:$F$515)</f>
        <v>0</v>
      </c>
      <c r="H100" s="15">
        <f t="shared" si="5"/>
        <v>-8.7854939878500543E-2</v>
      </c>
      <c r="K100" s="14">
        <v>0.01</v>
      </c>
      <c r="L100" s="15">
        <f t="shared" si="3"/>
        <v>-1.6954939878499008E-2</v>
      </c>
    </row>
    <row r="101" spans="4:12" ht="14.4" customHeight="1">
      <c r="D101" s="4">
        <v>42149</v>
      </c>
      <c r="E101" s="5">
        <v>6.8609999999999998</v>
      </c>
      <c r="F101" s="5">
        <f t="shared" si="4"/>
        <v>-6.4713431188827128E-3</v>
      </c>
      <c r="G101" s="3" cm="1">
        <f t="array" ref="G101">SUMPRODUCT(IF(((H101-$F$4:$F$515)/$B$10)&lt;=-1,0,IF(((H101-$F$4:$F$515)/$B$10)&gt;=1,1,(15/16)*(((H101-$F$4:$F$515)/$B$10)-(2/3)*((H101-$F$4:$F$515)/$B$10)^3+(1/5)*((H101-$F$4:$F$515)/$B$10)^5+8/15))))/COUNT($F$4:$F$515)</f>
        <v>0</v>
      </c>
      <c r="H101" s="5">
        <f t="shared" si="5"/>
        <v>-8.775493987850054E-2</v>
      </c>
      <c r="K101" s="4">
        <v>0.01</v>
      </c>
      <c r="L101" s="5">
        <f t="shared" si="3"/>
        <v>-1.6954939878499008E-2</v>
      </c>
    </row>
    <row r="102" spans="4:12" ht="14.4" customHeight="1">
      <c r="D102" s="14">
        <v>42150</v>
      </c>
      <c r="E102" s="15">
        <v>6.8220000000000001</v>
      </c>
      <c r="F102" s="15">
        <f t="shared" si="4"/>
        <v>-2.4757042550324817E-3</v>
      </c>
      <c r="G102" s="16" cm="1">
        <f t="array" ref="G102">SUMPRODUCT(IF(((H102-$F$4:$F$515)/$B$10)&lt;=-1,0,IF(((H102-$F$4:$F$515)/$B$10)&gt;=1,1,(15/16)*(((H102-$F$4:$F$515)/$B$10)-(2/3)*((H102-$F$4:$F$515)/$B$10)^3+(1/5)*((H102-$F$4:$F$515)/$B$10)^5+8/15))))/COUNT($F$4:$F$515)</f>
        <v>0</v>
      </c>
      <c r="H102" s="15">
        <f t="shared" si="5"/>
        <v>-8.7654939878500537E-2</v>
      </c>
      <c r="K102" s="14">
        <v>0.01</v>
      </c>
      <c r="L102" s="15">
        <f t="shared" si="3"/>
        <v>-1.6954939878499008E-2</v>
      </c>
    </row>
    <row r="103" spans="4:12" ht="14.4" customHeight="1">
      <c r="D103" s="4">
        <v>42151</v>
      </c>
      <c r="E103" s="5">
        <v>6.96</v>
      </c>
      <c r="F103" s="5">
        <f t="shared" si="4"/>
        <v>8.6975245391836785E-3</v>
      </c>
      <c r="G103" s="3" cm="1">
        <f t="array" ref="G103">SUMPRODUCT(IF(((H103-$F$4:$F$515)/$B$10)&lt;=-1,0,IF(((H103-$F$4:$F$515)/$B$10)&gt;=1,1,(15/16)*(((H103-$F$4:$F$515)/$B$10)-(2/3)*((H103-$F$4:$F$515)/$B$10)^3+(1/5)*((H103-$F$4:$F$515)/$B$10)^5+8/15))))/COUNT($F$4:$F$515)</f>
        <v>0</v>
      </c>
      <c r="H103" s="5">
        <f t="shared" si="5"/>
        <v>-8.7554939878500535E-2</v>
      </c>
      <c r="K103" s="4">
        <v>0.01</v>
      </c>
      <c r="L103" s="5">
        <f t="shared" si="3"/>
        <v>-1.6954939878499008E-2</v>
      </c>
    </row>
    <row r="104" spans="4:12" ht="14.4" customHeight="1">
      <c r="D104" s="14">
        <v>42152</v>
      </c>
      <c r="E104" s="15">
        <v>6.923</v>
      </c>
      <c r="F104" s="15">
        <f t="shared" si="4"/>
        <v>-2.3149079991258525E-3</v>
      </c>
      <c r="G104" s="16" cm="1">
        <f t="array" ref="G104">SUMPRODUCT(IF(((H104-$F$4:$F$515)/$B$10)&lt;=-1,0,IF(((H104-$F$4:$F$515)/$B$10)&gt;=1,1,(15/16)*(((H104-$F$4:$F$515)/$B$10)-(2/3)*((H104-$F$4:$F$515)/$B$10)^3+(1/5)*((H104-$F$4:$F$515)/$B$10)^5+8/15))))/COUNT($F$4:$F$515)</f>
        <v>0</v>
      </c>
      <c r="H104" s="15">
        <f t="shared" si="5"/>
        <v>-8.7454939878500532E-2</v>
      </c>
      <c r="K104" s="14">
        <v>0.01</v>
      </c>
      <c r="L104" s="15">
        <f t="shared" si="3"/>
        <v>-1.6954939878499008E-2</v>
      </c>
    </row>
    <row r="105" spans="4:12" ht="14.4" customHeight="1">
      <c r="D105" s="4">
        <v>42153</v>
      </c>
      <c r="E105" s="5">
        <v>6.8259999999999996</v>
      </c>
      <c r="F105" s="5">
        <f t="shared" si="4"/>
        <v>-6.1280476688162014E-3</v>
      </c>
      <c r="G105" s="3" cm="1">
        <f t="array" ref="G105">SUMPRODUCT(IF(((H105-$F$4:$F$515)/$B$10)&lt;=-1,0,IF(((H105-$F$4:$F$515)/$B$10)&gt;=1,1,(15/16)*(((H105-$F$4:$F$515)/$B$10)-(2/3)*((H105-$F$4:$F$515)/$B$10)^3+(1/5)*((H105-$F$4:$F$515)/$B$10)^5+8/15))))/COUNT($F$4:$F$515)</f>
        <v>0</v>
      </c>
      <c r="H105" s="5">
        <f t="shared" si="5"/>
        <v>-8.7354939878500529E-2</v>
      </c>
      <c r="K105" s="4">
        <v>0.01</v>
      </c>
      <c r="L105" s="5">
        <f t="shared" si="3"/>
        <v>-1.6954939878499008E-2</v>
      </c>
    </row>
    <row r="106" spans="4:12" ht="14.4" customHeight="1">
      <c r="D106" s="14">
        <v>42156</v>
      </c>
      <c r="E106" s="15">
        <v>6.7789999999999999</v>
      </c>
      <c r="F106" s="15">
        <f t="shared" si="4"/>
        <v>-3.0006500331775411E-3</v>
      </c>
      <c r="G106" s="16" cm="1">
        <f t="array" ref="G106">SUMPRODUCT(IF(((H106-$F$4:$F$515)/$B$10)&lt;=-1,0,IF(((H106-$F$4:$F$515)/$B$10)&gt;=1,1,(15/16)*(((H106-$F$4:$F$515)/$B$10)-(2/3)*((H106-$F$4:$F$515)/$B$10)^3+(1/5)*((H106-$F$4:$F$515)/$B$10)^5+8/15))))/COUNT($F$4:$F$515)</f>
        <v>0</v>
      </c>
      <c r="H106" s="15">
        <f t="shared" si="5"/>
        <v>-8.7254939878500526E-2</v>
      </c>
      <c r="K106" s="14">
        <v>0.01</v>
      </c>
      <c r="L106" s="15">
        <f t="shared" si="3"/>
        <v>-1.6954939878499008E-2</v>
      </c>
    </row>
    <row r="107" spans="4:12" ht="14.4" customHeight="1">
      <c r="D107" s="4">
        <v>42157</v>
      </c>
      <c r="E107" s="5">
        <v>6.7619999999999996</v>
      </c>
      <c r="F107" s="5">
        <f t="shared" si="4"/>
        <v>-1.0904674796923303E-3</v>
      </c>
      <c r="G107" s="3" cm="1">
        <f t="array" ref="G107">SUMPRODUCT(IF(((H107-$F$4:$F$515)/$B$10)&lt;=-1,0,IF(((H107-$F$4:$F$515)/$B$10)&gt;=1,1,(15/16)*(((H107-$F$4:$F$515)/$B$10)-(2/3)*((H107-$F$4:$F$515)/$B$10)^3+(1/5)*((H107-$F$4:$F$515)/$B$10)^5+8/15))))/COUNT($F$4:$F$515)</f>
        <v>0</v>
      </c>
      <c r="H107" s="5">
        <f t="shared" si="5"/>
        <v>-8.7154939878500523E-2</v>
      </c>
      <c r="K107" s="4">
        <v>0.01</v>
      </c>
      <c r="L107" s="5">
        <f t="shared" si="3"/>
        <v>-1.6954939878499008E-2</v>
      </c>
    </row>
    <row r="108" spans="4:12" ht="14.4" customHeight="1">
      <c r="D108" s="14">
        <v>42158</v>
      </c>
      <c r="E108" s="15">
        <v>6.734</v>
      </c>
      <c r="F108" s="15">
        <f t="shared" si="4"/>
        <v>-1.8020543776803681E-3</v>
      </c>
      <c r="G108" s="16" cm="1">
        <f t="array" ref="G108">SUMPRODUCT(IF(((H108-$F$4:$F$515)/$B$10)&lt;=-1,0,IF(((H108-$F$4:$F$515)/$B$10)&gt;=1,1,(15/16)*(((H108-$F$4:$F$515)/$B$10)-(2/3)*((H108-$F$4:$F$515)/$B$10)^3+(1/5)*((H108-$F$4:$F$515)/$B$10)^5+8/15))))/COUNT($F$4:$F$515)</f>
        <v>0</v>
      </c>
      <c r="H108" s="15">
        <f t="shared" si="5"/>
        <v>-8.705493987850052E-2</v>
      </c>
      <c r="K108" s="14">
        <v>0.01</v>
      </c>
      <c r="L108" s="15">
        <f t="shared" si="3"/>
        <v>-1.6954939878499008E-2</v>
      </c>
    </row>
    <row r="109" spans="4:12" ht="14.4" customHeight="1">
      <c r="D109" s="4">
        <v>42159</v>
      </c>
      <c r="E109" s="5">
        <v>6.7229999999999999</v>
      </c>
      <c r="F109" s="5">
        <f t="shared" si="4"/>
        <v>-7.100007973461338E-4</v>
      </c>
      <c r="G109" s="3" cm="1">
        <f t="array" ref="G109">SUMPRODUCT(IF(((H109-$F$4:$F$515)/$B$10)&lt;=-1,0,IF(((H109-$F$4:$F$515)/$B$10)&gt;=1,1,(15/16)*(((H109-$F$4:$F$515)/$B$10)-(2/3)*((H109-$F$4:$F$515)/$B$10)^3+(1/5)*((H109-$F$4:$F$515)/$B$10)^5+8/15))))/COUNT($F$4:$F$515)</f>
        <v>0</v>
      </c>
      <c r="H109" s="5">
        <f t="shared" si="5"/>
        <v>-8.6954939878500517E-2</v>
      </c>
      <c r="K109" s="4">
        <v>0.01</v>
      </c>
      <c r="L109" s="5">
        <f t="shared" si="3"/>
        <v>-1.6954939878499008E-2</v>
      </c>
    </row>
    <row r="110" spans="4:12" ht="14.4" customHeight="1">
      <c r="D110" s="14">
        <v>42160</v>
      </c>
      <c r="E110" s="15">
        <v>6.6230000000000002</v>
      </c>
      <c r="F110" s="15">
        <f t="shared" si="4"/>
        <v>-6.5083562078354484E-3</v>
      </c>
      <c r="G110" s="16" cm="1">
        <f t="array" ref="G110">SUMPRODUCT(IF(((H110-$F$4:$F$515)/$B$10)&lt;=-1,0,IF(((H110-$F$4:$F$515)/$B$10)&gt;=1,1,(15/16)*(((H110-$F$4:$F$515)/$B$10)-(2/3)*((H110-$F$4:$F$515)/$B$10)^3+(1/5)*((H110-$F$4:$F$515)/$B$10)^5+8/15))))/COUNT($F$4:$F$515)</f>
        <v>0</v>
      </c>
      <c r="H110" s="15">
        <f t="shared" si="5"/>
        <v>-8.6854939878500514E-2</v>
      </c>
      <c r="K110" s="14">
        <v>0.01</v>
      </c>
      <c r="L110" s="15">
        <f t="shared" si="3"/>
        <v>-1.6954939878499008E-2</v>
      </c>
    </row>
    <row r="111" spans="4:12" ht="14.4" customHeight="1">
      <c r="D111" s="4">
        <v>42163</v>
      </c>
      <c r="E111" s="5">
        <v>6.4829999999999997</v>
      </c>
      <c r="F111" s="5">
        <f t="shared" si="4"/>
        <v>-9.2787334439844386E-3</v>
      </c>
      <c r="G111" s="3" cm="1">
        <f t="array" ref="G111">SUMPRODUCT(IF(((H111-$F$4:$F$515)/$B$10)&lt;=-1,0,IF(((H111-$F$4:$F$515)/$B$10)&gt;=1,1,(15/16)*(((H111-$F$4:$F$515)/$B$10)-(2/3)*((H111-$F$4:$F$515)/$B$10)^3+(1/5)*((H111-$F$4:$F$515)/$B$10)^5+8/15))))/COUNT($F$4:$F$515)</f>
        <v>0</v>
      </c>
      <c r="H111" s="5">
        <f t="shared" si="5"/>
        <v>-8.6754939878500512E-2</v>
      </c>
      <c r="K111" s="4">
        <v>0.01</v>
      </c>
      <c r="L111" s="5">
        <f t="shared" si="3"/>
        <v>-1.6954939878499008E-2</v>
      </c>
    </row>
    <row r="112" spans="4:12" ht="14.4" customHeight="1">
      <c r="D112" s="14">
        <v>42164</v>
      </c>
      <c r="E112" s="15">
        <v>6.492</v>
      </c>
      <c r="F112" s="15">
        <f t="shared" si="4"/>
        <v>6.0248955129055596E-4</v>
      </c>
      <c r="G112" s="16" cm="1">
        <f t="array" ref="G112">SUMPRODUCT(IF(((H112-$F$4:$F$515)/$B$10)&lt;=-1,0,IF(((H112-$F$4:$F$515)/$B$10)&gt;=1,1,(15/16)*(((H112-$F$4:$F$515)/$B$10)-(2/3)*((H112-$F$4:$F$515)/$B$10)^3+(1/5)*((H112-$F$4:$F$515)/$B$10)^5+8/15))))/COUNT($F$4:$F$515)</f>
        <v>0</v>
      </c>
      <c r="H112" s="15">
        <f t="shared" si="5"/>
        <v>-8.6654939878500509E-2</v>
      </c>
      <c r="K112" s="14">
        <v>0.01</v>
      </c>
      <c r="L112" s="15">
        <f t="shared" si="3"/>
        <v>-1.6954939878499008E-2</v>
      </c>
    </row>
    <row r="113" spans="4:12" ht="14.4" customHeight="1">
      <c r="D113" s="4">
        <v>42165</v>
      </c>
      <c r="E113" s="5">
        <v>6.6079999999999997</v>
      </c>
      <c r="F113" s="5">
        <f t="shared" si="4"/>
        <v>7.6915231581314754E-3</v>
      </c>
      <c r="G113" s="3" cm="1">
        <f t="array" ref="G113">SUMPRODUCT(IF(((H113-$F$4:$F$515)/$B$10)&lt;=-1,0,IF(((H113-$F$4:$F$515)/$B$10)&gt;=1,1,(15/16)*(((H113-$F$4:$F$515)/$B$10)-(2/3)*((H113-$F$4:$F$515)/$B$10)^3+(1/5)*((H113-$F$4:$F$515)/$B$10)^5+8/15))))/COUNT($F$4:$F$515)</f>
        <v>0</v>
      </c>
      <c r="H113" s="5">
        <f t="shared" si="5"/>
        <v>-8.6554939878500506E-2</v>
      </c>
      <c r="K113" s="4">
        <v>0.01</v>
      </c>
      <c r="L113" s="5">
        <f t="shared" si="3"/>
        <v>-1.6954939878499008E-2</v>
      </c>
    </row>
    <row r="114" spans="4:12" ht="14.4" customHeight="1">
      <c r="D114" s="14">
        <v>42166</v>
      </c>
      <c r="E114" s="15">
        <v>6.5830000000000002</v>
      </c>
      <c r="F114" s="15">
        <f t="shared" si="4"/>
        <v>-1.646179220246945E-3</v>
      </c>
      <c r="G114" s="16" cm="1">
        <f t="array" ref="G114">SUMPRODUCT(IF(((H114-$F$4:$F$515)/$B$10)&lt;=-1,0,IF(((H114-$F$4:$F$515)/$B$10)&gt;=1,1,(15/16)*(((H114-$F$4:$F$515)/$B$10)-(2/3)*((H114-$F$4:$F$515)/$B$10)^3+(1/5)*((H114-$F$4:$F$515)/$B$10)^5+8/15))))/COUNT($F$4:$F$515)</f>
        <v>0</v>
      </c>
      <c r="H114" s="15">
        <f t="shared" si="5"/>
        <v>-8.6454939878500503E-2</v>
      </c>
      <c r="K114" s="14">
        <v>0.01</v>
      </c>
      <c r="L114" s="15">
        <f t="shared" si="3"/>
        <v>-1.6954939878499008E-2</v>
      </c>
    </row>
    <row r="115" spans="4:12" ht="14.4" customHeight="1">
      <c r="D115" s="4">
        <v>42167</v>
      </c>
      <c r="E115" s="5">
        <v>6.4969999999999999</v>
      </c>
      <c r="F115" s="5">
        <f t="shared" si="4"/>
        <v>-5.7109883267101296E-3</v>
      </c>
      <c r="G115" s="3" cm="1">
        <f t="array" ref="G115">SUMPRODUCT(IF(((H115-$F$4:$F$515)/$B$10)&lt;=-1,0,IF(((H115-$F$4:$F$515)/$B$10)&gt;=1,1,(15/16)*(((H115-$F$4:$F$515)/$B$10)-(2/3)*((H115-$F$4:$F$515)/$B$10)^3+(1/5)*((H115-$F$4:$F$515)/$B$10)^5+8/15))))/COUNT($F$4:$F$515)</f>
        <v>0</v>
      </c>
      <c r="H115" s="5">
        <f t="shared" si="5"/>
        <v>-8.63549398785005E-2</v>
      </c>
      <c r="K115" s="4">
        <v>0.01</v>
      </c>
      <c r="L115" s="5">
        <f t="shared" si="3"/>
        <v>-1.6954939878499008E-2</v>
      </c>
    </row>
    <row r="116" spans="4:12" ht="14.4" customHeight="1">
      <c r="D116" s="14">
        <v>42170</v>
      </c>
      <c r="E116" s="15">
        <v>6.335</v>
      </c>
      <c r="F116" s="15">
        <f t="shared" si="4"/>
        <v>-1.0966247545908527E-2</v>
      </c>
      <c r="G116" s="16" cm="1">
        <f t="array" ref="G116">SUMPRODUCT(IF(((H116-$F$4:$F$515)/$B$10)&lt;=-1,0,IF(((H116-$F$4:$F$515)/$B$10)&gt;=1,1,(15/16)*(((H116-$F$4:$F$515)/$B$10)-(2/3)*((H116-$F$4:$F$515)/$B$10)^3+(1/5)*((H116-$F$4:$F$515)/$B$10)^5+8/15))))/COUNT($F$4:$F$515)</f>
        <v>0</v>
      </c>
      <c r="H116" s="15">
        <f t="shared" si="5"/>
        <v>-8.6254939878500497E-2</v>
      </c>
      <c r="K116" s="14">
        <v>0.01</v>
      </c>
      <c r="L116" s="15">
        <f t="shared" si="3"/>
        <v>-1.6954939878499008E-2</v>
      </c>
    </row>
    <row r="117" spans="4:12" ht="14.4" customHeight="1">
      <c r="D117" s="4">
        <v>42171</v>
      </c>
      <c r="E117" s="5">
        <v>6.423</v>
      </c>
      <c r="F117" s="5">
        <f t="shared" si="4"/>
        <v>5.9913027946406176E-3</v>
      </c>
      <c r="G117" s="3" cm="1">
        <f t="array" ref="G117">SUMPRODUCT(IF(((H117-$F$4:$F$515)/$B$10)&lt;=-1,0,IF(((H117-$F$4:$F$515)/$B$10)&gt;=1,1,(15/16)*(((H117-$F$4:$F$515)/$B$10)-(2/3)*((H117-$F$4:$F$515)/$B$10)^3+(1/5)*((H117-$F$4:$F$515)/$B$10)^5+8/15))))/COUNT($F$4:$F$515)</f>
        <v>0</v>
      </c>
      <c r="H117" s="5">
        <f t="shared" si="5"/>
        <v>-8.6154939878500494E-2</v>
      </c>
      <c r="K117" s="4">
        <v>0.01</v>
      </c>
      <c r="L117" s="5">
        <f t="shared" si="3"/>
        <v>-1.6954939878499008E-2</v>
      </c>
    </row>
    <row r="118" spans="4:12" ht="14.4" customHeight="1">
      <c r="D118" s="14">
        <v>42172</v>
      </c>
      <c r="E118" s="15">
        <v>6.3049999999999997</v>
      </c>
      <c r="F118" s="15">
        <f t="shared" si="4"/>
        <v>-8.052831105000352E-3</v>
      </c>
      <c r="G118" s="16" cm="1">
        <f t="array" ref="G118">SUMPRODUCT(IF(((H118-$F$4:$F$515)/$B$10)&lt;=-1,0,IF(((H118-$F$4:$F$515)/$B$10)&gt;=1,1,(15/16)*(((H118-$F$4:$F$515)/$B$10)-(2/3)*((H118-$F$4:$F$515)/$B$10)^3+(1/5)*((H118-$F$4:$F$515)/$B$10)^5+8/15))))/COUNT($F$4:$F$515)</f>
        <v>0</v>
      </c>
      <c r="H118" s="15">
        <f t="shared" si="5"/>
        <v>-8.6054939878500492E-2</v>
      </c>
      <c r="K118" s="14">
        <v>0.01</v>
      </c>
      <c r="L118" s="15">
        <f t="shared" si="3"/>
        <v>-1.6954939878499008E-2</v>
      </c>
    </row>
    <row r="119" spans="4:12" ht="14.4" customHeight="1">
      <c r="D119" s="4">
        <v>42173</v>
      </c>
      <c r="E119" s="5">
        <v>6.3179999999999996</v>
      </c>
      <c r="F119" s="5">
        <f t="shared" si="4"/>
        <v>8.9453066002972189E-4</v>
      </c>
      <c r="G119" s="3" cm="1">
        <f t="array" ref="G119">SUMPRODUCT(IF(((H119-$F$4:$F$515)/$B$10)&lt;=-1,0,IF(((H119-$F$4:$F$515)/$B$10)&gt;=1,1,(15/16)*(((H119-$F$4:$F$515)/$B$10)-(2/3)*((H119-$F$4:$F$515)/$B$10)^3+(1/5)*((H119-$F$4:$F$515)/$B$10)^5+8/15))))/COUNT($F$4:$F$515)</f>
        <v>0</v>
      </c>
      <c r="H119" s="5">
        <f t="shared" si="5"/>
        <v>-8.5954939878500489E-2</v>
      </c>
      <c r="K119" s="4">
        <v>0.01</v>
      </c>
      <c r="L119" s="5">
        <f t="shared" si="3"/>
        <v>-1.6954939878499008E-2</v>
      </c>
    </row>
    <row r="120" spans="4:12" ht="14.4" customHeight="1">
      <c r="D120" s="14">
        <v>42174</v>
      </c>
      <c r="E120" s="15">
        <v>6.4370000000000003</v>
      </c>
      <c r="F120" s="15">
        <f t="shared" si="4"/>
        <v>8.1038875598391184E-3</v>
      </c>
      <c r="G120" s="16" cm="1">
        <f t="array" ref="G120">SUMPRODUCT(IF(((H120-$F$4:$F$515)/$B$10)&lt;=-1,0,IF(((H120-$F$4:$F$515)/$B$10)&gt;=1,1,(15/16)*(((H120-$F$4:$F$515)/$B$10)-(2/3)*((H120-$F$4:$F$515)/$B$10)^3+(1/5)*((H120-$F$4:$F$515)/$B$10)^5+8/15))))/COUNT($F$4:$F$515)</f>
        <v>0</v>
      </c>
      <c r="H120" s="15">
        <f t="shared" si="5"/>
        <v>-8.5854939878500486E-2</v>
      </c>
      <c r="K120" s="14">
        <v>0.01</v>
      </c>
      <c r="L120" s="15">
        <f t="shared" si="3"/>
        <v>-1.6954939878499008E-2</v>
      </c>
    </row>
    <row r="121" spans="4:12" ht="14.4" customHeight="1">
      <c r="D121" s="4">
        <v>42177</v>
      </c>
      <c r="E121" s="5">
        <v>6.7220000000000004</v>
      </c>
      <c r="F121" s="5">
        <f t="shared" si="4"/>
        <v>1.8814999004489442E-2</v>
      </c>
      <c r="G121" s="3" cm="1">
        <f t="array" ref="G121">SUMPRODUCT(IF(((H121-$F$4:$F$515)/$B$10)&lt;=-1,0,IF(((H121-$F$4:$F$515)/$B$10)&gt;=1,1,(15/16)*(((H121-$F$4:$F$515)/$B$10)-(2/3)*((H121-$F$4:$F$515)/$B$10)^3+(1/5)*((H121-$F$4:$F$515)/$B$10)^5+8/15))))/COUNT($F$4:$F$515)</f>
        <v>0</v>
      </c>
      <c r="H121" s="5">
        <f t="shared" si="5"/>
        <v>-8.5754939878500483E-2</v>
      </c>
      <c r="K121" s="4">
        <v>0.01</v>
      </c>
      <c r="L121" s="5">
        <f t="shared" si="3"/>
        <v>-1.6954939878499008E-2</v>
      </c>
    </row>
    <row r="122" spans="4:12" ht="14.4" customHeight="1">
      <c r="D122" s="14">
        <v>42178</v>
      </c>
      <c r="E122" s="15">
        <v>6.7910000000000004</v>
      </c>
      <c r="F122" s="15">
        <f t="shared" si="4"/>
        <v>4.4352223332867931E-3</v>
      </c>
      <c r="G122" s="16" cm="1">
        <f t="array" ref="G122">SUMPRODUCT(IF(((H122-$F$4:$F$515)/$B$10)&lt;=-1,0,IF(((H122-$F$4:$F$515)/$B$10)&gt;=1,1,(15/16)*(((H122-$F$4:$F$515)/$B$10)-(2/3)*((H122-$F$4:$F$515)/$B$10)^3+(1/5)*((H122-$F$4:$F$515)/$B$10)^5+8/15))))/COUNT($F$4:$F$515)</f>
        <v>0</v>
      </c>
      <c r="H122" s="15">
        <f t="shared" si="5"/>
        <v>-8.565493987850048E-2</v>
      </c>
      <c r="K122" s="14">
        <v>0.01</v>
      </c>
      <c r="L122" s="15">
        <f t="shared" si="3"/>
        <v>-1.6954939878499008E-2</v>
      </c>
    </row>
    <row r="123" spans="4:12" ht="14.4" customHeight="1">
      <c r="D123" s="4">
        <v>42179</v>
      </c>
      <c r="E123" s="5">
        <v>6.7439999999999998</v>
      </c>
      <c r="F123" s="5">
        <f t="shared" si="4"/>
        <v>-3.0161688500595662E-3</v>
      </c>
      <c r="G123" s="3" cm="1">
        <f t="array" ref="G123">SUMPRODUCT(IF(((H123-$F$4:$F$515)/$B$10)&lt;=-1,0,IF(((H123-$F$4:$F$515)/$B$10)&gt;=1,1,(15/16)*(((H123-$F$4:$F$515)/$B$10)-(2/3)*((H123-$F$4:$F$515)/$B$10)^3+(1/5)*((H123-$F$4:$F$515)/$B$10)^5+8/15))))/COUNT($F$4:$F$515)</f>
        <v>0</v>
      </c>
      <c r="H123" s="5">
        <f t="shared" si="5"/>
        <v>-8.5554939878500477E-2</v>
      </c>
      <c r="K123" s="4">
        <v>0.01</v>
      </c>
      <c r="L123" s="5">
        <f t="shared" si="3"/>
        <v>-1.6954939878499008E-2</v>
      </c>
    </row>
    <row r="124" spans="4:12" ht="14.4" customHeight="1">
      <c r="D124" s="14">
        <v>42180</v>
      </c>
      <c r="E124" s="15">
        <v>6.7679999999999998</v>
      </c>
      <c r="F124" s="15">
        <f t="shared" si="4"/>
        <v>1.5427884142812471E-3</v>
      </c>
      <c r="G124" s="16" cm="1">
        <f t="array" ref="G124">SUMPRODUCT(IF(((H124-$F$4:$F$515)/$B$10)&lt;=-1,0,IF(((H124-$F$4:$F$515)/$B$10)&gt;=1,1,(15/16)*(((H124-$F$4:$F$515)/$B$10)-(2/3)*((H124-$F$4:$F$515)/$B$10)^3+(1/5)*((H124-$F$4:$F$515)/$B$10)^5+8/15))))/COUNT($F$4:$F$515)</f>
        <v>0</v>
      </c>
      <c r="H124" s="15">
        <f t="shared" si="5"/>
        <v>-8.5454939878500474E-2</v>
      </c>
      <c r="K124" s="14">
        <v>0.01</v>
      </c>
      <c r="L124" s="15">
        <f t="shared" si="3"/>
        <v>-1.6954939878499008E-2</v>
      </c>
    </row>
    <row r="125" spans="4:12" ht="14.4" customHeight="1">
      <c r="D125" s="4">
        <v>42181</v>
      </c>
      <c r="E125" s="5">
        <v>6.7969999999999997</v>
      </c>
      <c r="F125" s="5">
        <f t="shared" si="4"/>
        <v>1.8569198912945794E-3</v>
      </c>
      <c r="G125" s="3" cm="1">
        <f t="array" ref="G125">SUMPRODUCT(IF(((H125-$F$4:$F$515)/$B$10)&lt;=-1,0,IF(((H125-$F$4:$F$515)/$B$10)&gt;=1,1,(15/16)*(((H125-$F$4:$F$515)/$B$10)-(2/3)*((H125-$F$4:$F$515)/$B$10)^3+(1/5)*((H125-$F$4:$F$515)/$B$10)^5+8/15))))/COUNT($F$4:$F$515)</f>
        <v>0</v>
      </c>
      <c r="H125" s="5">
        <f t="shared" si="5"/>
        <v>-8.5354939878500471E-2</v>
      </c>
      <c r="K125" s="4">
        <v>0.01</v>
      </c>
      <c r="L125" s="5">
        <f t="shared" si="3"/>
        <v>-1.6954939878499008E-2</v>
      </c>
    </row>
    <row r="126" spans="4:12" ht="14.4" customHeight="1">
      <c r="D126" s="14">
        <v>42184</v>
      </c>
      <c r="E126" s="15">
        <v>6.4690000000000003</v>
      </c>
      <c r="F126" s="15">
        <f t="shared" si="4"/>
        <v>-2.1480118781773326E-2</v>
      </c>
      <c r="G126" s="16" cm="1">
        <f t="array" ref="G126">SUMPRODUCT(IF(((H126-$F$4:$F$515)/$B$10)&lt;=-1,0,IF(((H126-$F$4:$F$515)/$B$10)&gt;=1,1,(15/16)*(((H126-$F$4:$F$515)/$B$10)-(2/3)*((H126-$F$4:$F$515)/$B$10)^3+(1/5)*((H126-$F$4:$F$515)/$B$10)^5+8/15))))/COUNT($F$4:$F$515)</f>
        <v>0</v>
      </c>
      <c r="H126" s="15">
        <f t="shared" si="5"/>
        <v>-8.5254939878500469E-2</v>
      </c>
      <c r="K126" s="14">
        <v>0.01</v>
      </c>
      <c r="L126" s="15">
        <f t="shared" si="3"/>
        <v>-1.6954939878499008E-2</v>
      </c>
    </row>
    <row r="127" spans="4:12" ht="14.4" customHeight="1">
      <c r="D127" s="4">
        <v>42185</v>
      </c>
      <c r="E127" s="5">
        <v>6.4550000000000001</v>
      </c>
      <c r="F127" s="5">
        <f t="shared" si="4"/>
        <v>-9.4090453804923115E-4</v>
      </c>
      <c r="G127" s="3" cm="1">
        <f t="array" ref="G127">SUMPRODUCT(IF(((H127-$F$4:$F$515)/$B$10)&lt;=-1,0,IF(((H127-$F$4:$F$515)/$B$10)&gt;=1,1,(15/16)*(((H127-$F$4:$F$515)/$B$10)-(2/3)*((H127-$F$4:$F$515)/$B$10)^3+(1/5)*((H127-$F$4:$F$515)/$B$10)^5+8/15))))/COUNT($F$4:$F$515)</f>
        <v>0</v>
      </c>
      <c r="H127" s="5">
        <f t="shared" si="5"/>
        <v>-8.5154939878500466E-2</v>
      </c>
      <c r="K127" s="4">
        <v>0.01</v>
      </c>
      <c r="L127" s="5">
        <f t="shared" si="3"/>
        <v>-1.6954939878499008E-2</v>
      </c>
    </row>
    <row r="128" spans="4:12" ht="14.4" customHeight="1">
      <c r="D128" s="14">
        <v>42186</v>
      </c>
      <c r="E128" s="15">
        <v>6.5510000000000002</v>
      </c>
      <c r="F128" s="15">
        <f t="shared" si="4"/>
        <v>6.4113528295006742E-3</v>
      </c>
      <c r="G128" s="16" cm="1">
        <f t="array" ref="G128">SUMPRODUCT(IF(((H128-$F$4:$F$515)/$B$10)&lt;=-1,0,IF(((H128-$F$4:$F$515)/$B$10)&gt;=1,1,(15/16)*(((H128-$F$4:$F$515)/$B$10)-(2/3)*((H128-$F$4:$F$515)/$B$10)^3+(1/5)*((H128-$F$4:$F$515)/$B$10)^5+8/15))))/COUNT($F$4:$F$515)</f>
        <v>0</v>
      </c>
      <c r="H128" s="15">
        <f t="shared" si="5"/>
        <v>-8.5054939878500463E-2</v>
      </c>
      <c r="K128" s="14">
        <v>0.01</v>
      </c>
      <c r="L128" s="15">
        <f t="shared" si="3"/>
        <v>-1.6954939878499008E-2</v>
      </c>
    </row>
    <row r="129" spans="4:12" ht="14.4" customHeight="1">
      <c r="D129" s="4">
        <v>42187</v>
      </c>
      <c r="E129" s="5">
        <v>6.44</v>
      </c>
      <c r="F129" s="5">
        <f t="shared" si="4"/>
        <v>-7.4217320721277086E-3</v>
      </c>
      <c r="G129" s="3" cm="1">
        <f t="array" ref="G129">SUMPRODUCT(IF(((H129-$F$4:$F$515)/$B$10)&lt;=-1,0,IF(((H129-$F$4:$F$515)/$B$10)&gt;=1,1,(15/16)*(((H129-$F$4:$F$515)/$B$10)-(2/3)*((H129-$F$4:$F$515)/$B$10)^3+(1/5)*((H129-$F$4:$F$515)/$B$10)^5+8/15))))/COUNT($F$4:$F$515)</f>
        <v>0</v>
      </c>
      <c r="H129" s="5">
        <f t="shared" si="5"/>
        <v>-8.495493987850046E-2</v>
      </c>
      <c r="K129" s="4">
        <v>0.01</v>
      </c>
      <c r="L129" s="5">
        <f t="shared" si="3"/>
        <v>-1.6954939878499008E-2</v>
      </c>
    </row>
    <row r="130" spans="4:12" ht="14.4" customHeight="1">
      <c r="D130" s="14">
        <v>42188</v>
      </c>
      <c r="E130" s="15">
        <v>6.3810000000000002</v>
      </c>
      <c r="F130" s="15">
        <f t="shared" si="4"/>
        <v>-3.9971227374206771E-3</v>
      </c>
      <c r="G130" s="16" cm="1">
        <f t="array" ref="G130">SUMPRODUCT(IF(((H130-$F$4:$F$515)/$B$10)&lt;=-1,0,IF(((H130-$F$4:$F$515)/$B$10)&gt;=1,1,(15/16)*(((H130-$F$4:$F$515)/$B$10)-(2/3)*((H130-$F$4:$F$515)/$B$10)^3+(1/5)*((H130-$F$4:$F$515)/$B$10)^5+8/15))))/COUNT($F$4:$F$515)</f>
        <v>0</v>
      </c>
      <c r="H130" s="15">
        <f t="shared" si="5"/>
        <v>-8.4854939878500457E-2</v>
      </c>
      <c r="K130" s="14">
        <v>0.01</v>
      </c>
      <c r="L130" s="15">
        <f t="shared" si="3"/>
        <v>-1.6954939878499008E-2</v>
      </c>
    </row>
    <row r="131" spans="4:12" ht="14.4" customHeight="1">
      <c r="D131" s="4">
        <v>42191</v>
      </c>
      <c r="E131" s="5">
        <v>6.1319999999999997</v>
      </c>
      <c r="F131" s="5">
        <f t="shared" si="4"/>
        <v>-1.7286598440053879E-2</v>
      </c>
      <c r="G131" s="3" cm="1">
        <f t="array" ref="G131">SUMPRODUCT(IF(((H131-$F$4:$F$515)/$B$10)&lt;=-1,0,IF(((H131-$F$4:$F$515)/$B$10)&gt;=1,1,(15/16)*(((H131-$F$4:$F$515)/$B$10)-(2/3)*((H131-$F$4:$F$515)/$B$10)^3+(1/5)*((H131-$F$4:$F$515)/$B$10)^5+8/15))))/COUNT($F$4:$F$515)</f>
        <v>8.6500983695228344E-9</v>
      </c>
      <c r="H131" s="5">
        <f t="shared" si="5"/>
        <v>-8.4754939878500454E-2</v>
      </c>
      <c r="K131" s="4">
        <v>0.01</v>
      </c>
      <c r="L131" s="5">
        <f t="shared" si="3"/>
        <v>-1.6954939878499008E-2</v>
      </c>
    </row>
    <row r="132" spans="4:12" ht="14.4" customHeight="1">
      <c r="D132" s="14">
        <v>42192</v>
      </c>
      <c r="E132" s="15">
        <v>6.1210000000000004</v>
      </c>
      <c r="F132" s="15">
        <f t="shared" si="4"/>
        <v>-7.7976668315007719E-4</v>
      </c>
      <c r="G132" s="16" cm="1">
        <f t="array" ref="G132">SUMPRODUCT(IF(((H132-$F$4:$F$515)/$B$10)&lt;=-1,0,IF(((H132-$F$4:$F$515)/$B$10)&gt;=1,1,(15/16)*(((H132-$F$4:$F$515)/$B$10)-(2/3)*((H132-$F$4:$F$515)/$B$10)^3+(1/5)*((H132-$F$4:$F$515)/$B$10)^5+8/15))))/COUNT($F$4:$F$515)</f>
        <v>2.3961457933765258E-7</v>
      </c>
      <c r="H132" s="15">
        <f t="shared" si="5"/>
        <v>-8.4654939878500451E-2</v>
      </c>
      <c r="K132" s="14">
        <v>0.01</v>
      </c>
      <c r="L132" s="15">
        <f t="shared" ref="L132:L195" si="6">$B$7</f>
        <v>-1.6954939878499008E-2</v>
      </c>
    </row>
    <row r="133" spans="4:12" ht="14.4" customHeight="1">
      <c r="D133" s="4">
        <v>42193</v>
      </c>
      <c r="E133" s="5">
        <v>6.1710000000000003</v>
      </c>
      <c r="F133" s="5">
        <f t="shared" ref="F133:F196" si="7">LOG(E133/E132)</f>
        <v>3.533166915198982E-3</v>
      </c>
      <c r="G133" s="3" cm="1">
        <f t="array" ref="G133">SUMPRODUCT(IF(((H133-$F$4:$F$515)/$B$10)&lt;=-1,0,IF(((H133-$F$4:$F$515)/$B$10)&gt;=1,1,(15/16)*(((H133-$F$4:$F$515)/$B$10)-(2/3)*((H133-$F$4:$F$515)/$B$10)^3+(1/5)*((H133-$F$4:$F$515)/$B$10)^5+8/15))))/COUNT($F$4:$F$515)</f>
        <v>1.0936130010679135E-6</v>
      </c>
      <c r="H133" s="5">
        <f t="shared" ref="H133:H196" si="8">H132+0.0001</f>
        <v>-8.4554939878500449E-2</v>
      </c>
      <c r="K133" s="4">
        <v>0.01</v>
      </c>
      <c r="L133" s="5">
        <f t="shared" si="6"/>
        <v>-1.6954939878499008E-2</v>
      </c>
    </row>
    <row r="134" spans="4:12" ht="14.4" customHeight="1">
      <c r="D134" s="14">
        <v>42194</v>
      </c>
      <c r="E134" s="15">
        <v>6.476</v>
      </c>
      <c r="F134" s="15">
        <f t="shared" si="7"/>
        <v>2.0951293666949689E-2</v>
      </c>
      <c r="G134" s="16" cm="1">
        <f t="array" ref="G134">SUMPRODUCT(IF(((H134-$F$4:$F$515)/$B$10)&lt;=-1,0,IF(((H134-$F$4:$F$515)/$B$10)&gt;=1,1,(15/16)*(((H134-$F$4:$F$515)/$B$10)-(2/3)*((H134-$F$4:$F$515)/$B$10)^3+(1/5)*((H134-$F$4:$F$515)/$B$10)^5+8/15))))/COUNT($F$4:$F$515)</f>
        <v>2.9410431118128913E-6</v>
      </c>
      <c r="H134" s="15">
        <f t="shared" si="8"/>
        <v>-8.4454939878500446E-2</v>
      </c>
      <c r="K134" s="14">
        <v>0.01</v>
      </c>
      <c r="L134" s="15">
        <f t="shared" si="6"/>
        <v>-1.6954939878499008E-2</v>
      </c>
    </row>
    <row r="135" spans="4:12" ht="14.4" customHeight="1">
      <c r="D135" s="4">
        <v>42195</v>
      </c>
      <c r="E135" s="5">
        <v>6.7160000000000002</v>
      </c>
      <c r="F135" s="5">
        <f t="shared" si="7"/>
        <v>1.580384738467509E-2</v>
      </c>
      <c r="G135" s="3" cm="1">
        <f t="array" ref="G135">SUMPRODUCT(IF(((H135-$F$4:$F$515)/$B$10)&lt;=-1,0,IF(((H135-$F$4:$F$515)/$B$10)&gt;=1,1,(15/16)*(((H135-$F$4:$F$515)/$B$10)-(2/3)*((H135-$F$4:$F$515)/$B$10)^3+(1/5)*((H135-$F$4:$F$515)/$B$10)^5+8/15))))/COUNT($F$4:$F$515)</f>
        <v>6.1130691618407516E-6</v>
      </c>
      <c r="H135" s="5">
        <f t="shared" si="8"/>
        <v>-8.4354939878500443E-2</v>
      </c>
      <c r="K135" s="4">
        <v>0.01</v>
      </c>
      <c r="L135" s="5">
        <f t="shared" si="6"/>
        <v>-1.6954939878499008E-2</v>
      </c>
    </row>
    <row r="136" spans="4:12" ht="14.4" customHeight="1">
      <c r="D136" s="14">
        <v>42198</v>
      </c>
      <c r="E136" s="15">
        <v>6.9</v>
      </c>
      <c r="F136" s="15">
        <f t="shared" si="7"/>
        <v>1.1738403271244192E-2</v>
      </c>
      <c r="G136" s="16" cm="1">
        <f t="array" ref="G136">SUMPRODUCT(IF(((H136-$F$4:$F$515)/$B$10)&lt;=-1,0,IF(((H136-$F$4:$F$515)/$B$10)&gt;=1,1,(15/16)*(((H136-$F$4:$F$515)/$B$10)-(2/3)*((H136-$F$4:$F$515)/$B$10)^3+(1/5)*((H136-$F$4:$F$515)/$B$10)^5+8/15))))/COUNT($F$4:$F$515)</f>
        <v>1.0902956821588227E-5</v>
      </c>
      <c r="H136" s="15">
        <f t="shared" si="8"/>
        <v>-8.425493987850044E-2</v>
      </c>
      <c r="K136" s="14">
        <v>0.01</v>
      </c>
      <c r="L136" s="15">
        <f t="shared" si="6"/>
        <v>-1.6954939878499008E-2</v>
      </c>
    </row>
    <row r="137" spans="4:12" ht="14.4" customHeight="1">
      <c r="D137" s="4">
        <v>42199</v>
      </c>
      <c r="E137" s="5">
        <v>6.9089999999999998</v>
      </c>
      <c r="F137" s="5">
        <f t="shared" si="7"/>
        <v>5.6610194663817633E-4</v>
      </c>
      <c r="G137" s="3" cm="1">
        <f t="array" ref="G137">SUMPRODUCT(IF(((H137-$F$4:$F$515)/$B$10)&lt;=-1,0,IF(((H137-$F$4:$F$515)/$B$10)&gt;=1,1,(15/16)*(((H137-$F$4:$F$515)/$B$10)-(2/3)*((H137-$F$4:$F$515)/$B$10)^3+(1/5)*((H137-$F$4:$F$515)/$B$10)^5+8/15))))/COUNT($F$4:$F$515)</f>
        <v>1.756740809981218E-5</v>
      </c>
      <c r="H137" s="5">
        <f t="shared" si="8"/>
        <v>-8.4154939878500437E-2</v>
      </c>
      <c r="K137" s="4">
        <v>0.01</v>
      </c>
      <c r="L137" s="5">
        <f t="shared" si="6"/>
        <v>-1.6954939878499008E-2</v>
      </c>
    </row>
    <row r="138" spans="4:12" ht="14.4" customHeight="1">
      <c r="D138" s="14">
        <v>42200</v>
      </c>
      <c r="E138" s="15">
        <v>6.9889999999999999</v>
      </c>
      <c r="F138" s="15">
        <f t="shared" si="7"/>
        <v>4.999847789930954E-3</v>
      </c>
      <c r="G138" s="16" cm="1">
        <f t="array" ref="G138">SUMPRODUCT(IF(((H138-$F$4:$F$515)/$B$10)&lt;=-1,0,IF(((H138-$F$4:$F$515)/$B$10)&gt;=1,1,(15/16)*(((H138-$F$4:$F$515)/$B$10)-(2/3)*((H138-$F$4:$F$515)/$B$10)^3+(1/5)*((H138-$F$4:$F$515)/$B$10)^5+8/15))))/COUNT($F$4:$F$515)</f>
        <v>2.6327896261744014E-5</v>
      </c>
      <c r="H138" s="15">
        <f t="shared" si="8"/>
        <v>-8.4054939878500434E-2</v>
      </c>
      <c r="K138" s="14">
        <v>0.01</v>
      </c>
      <c r="L138" s="15">
        <f t="shared" si="6"/>
        <v>-1.6954939878499008E-2</v>
      </c>
    </row>
    <row r="139" spans="4:12" ht="14.4" customHeight="1">
      <c r="D139" s="4">
        <v>42201</v>
      </c>
      <c r="E139" s="5">
        <v>7.03</v>
      </c>
      <c r="F139" s="5">
        <f t="shared" si="7"/>
        <v>2.5402845459995241E-3</v>
      </c>
      <c r="G139" s="3" cm="1">
        <f t="array" ref="G139">SUMPRODUCT(IF(((H139-$F$4:$F$515)/$B$10)&lt;=-1,0,IF(((H139-$F$4:$F$515)/$B$10)&gt;=1,1,(15/16)*(((H139-$F$4:$F$515)/$B$10)-(2/3)*((H139-$F$4:$F$515)/$B$10)^3+(1/5)*((H139-$F$4:$F$515)/$B$10)^5+8/15))))/COUNT($F$4:$F$515)</f>
        <v>3.7372000747240425E-5</v>
      </c>
      <c r="H139" s="5">
        <f t="shared" si="8"/>
        <v>-8.3954939878500431E-2</v>
      </c>
      <c r="K139" s="4">
        <v>0.01</v>
      </c>
      <c r="L139" s="5">
        <f t="shared" si="6"/>
        <v>-1.6954939878499008E-2</v>
      </c>
    </row>
    <row r="140" spans="4:12" ht="14.4" customHeight="1">
      <c r="D140" s="14">
        <v>42202</v>
      </c>
      <c r="E140" s="15">
        <v>7.0469999999999997</v>
      </c>
      <c r="F140" s="15">
        <f t="shared" si="7"/>
        <v>1.0489464774442693E-3</v>
      </c>
      <c r="G140" s="16" cm="1">
        <f t="array" ref="G140">SUMPRODUCT(IF(((H140-$F$4:$F$515)/$B$10)&lt;=-1,0,IF(((H140-$F$4:$F$515)/$B$10)&gt;=1,1,(15/16)*(((H140-$F$4:$F$515)/$B$10)-(2/3)*((H140-$F$4:$F$515)/$B$10)^3+(1/5)*((H140-$F$4:$F$515)/$B$10)^5+8/15))))/COUNT($F$4:$F$515)</f>
        <v>5.0854742088936997E-5</v>
      </c>
      <c r="H140" s="15">
        <f t="shared" si="8"/>
        <v>-8.3854939878500429E-2</v>
      </c>
      <c r="K140" s="14">
        <v>0.01</v>
      </c>
      <c r="L140" s="15">
        <f t="shared" si="6"/>
        <v>-1.6954939878499008E-2</v>
      </c>
    </row>
    <row r="141" spans="4:12" ht="14.4" customHeight="1">
      <c r="D141" s="4">
        <v>42205</v>
      </c>
      <c r="E141" s="5">
        <v>7.141</v>
      </c>
      <c r="F141" s="5">
        <f t="shared" si="7"/>
        <v>5.7547615775005497E-3</v>
      </c>
      <c r="G141" s="3" cm="1">
        <f t="array" ref="G141">SUMPRODUCT(IF(((H141-$F$4:$F$515)/$B$10)&lt;=-1,0,IF(((H141-$F$4:$F$515)/$B$10)&gt;=1,1,(15/16)*(((H141-$F$4:$F$515)/$B$10)-(2/3)*((H141-$F$4:$F$515)/$B$10)^3+(1/5)*((H141-$F$4:$F$515)/$B$10)^5+8/15))))/COUNT($F$4:$F$515)</f>
        <v>6.6899916830400984E-5</v>
      </c>
      <c r="H141" s="5">
        <f t="shared" si="8"/>
        <v>-8.3754939878500426E-2</v>
      </c>
      <c r="K141" s="4">
        <v>0.01</v>
      </c>
      <c r="L141" s="5">
        <f t="shared" si="6"/>
        <v>-1.6954939878499008E-2</v>
      </c>
    </row>
    <row r="142" spans="4:12" ht="14.4" customHeight="1">
      <c r="D142" s="14">
        <v>42206</v>
      </c>
      <c r="E142" s="15">
        <v>7.0810000000000004</v>
      </c>
      <c r="F142" s="15">
        <f t="shared" si="7"/>
        <v>-3.6644386880679623E-3</v>
      </c>
      <c r="G142" s="16" cm="1">
        <f t="array" ref="G142">SUMPRODUCT(IF(((H142-$F$4:$F$515)/$B$10)&lt;=-1,0,IF(((H142-$F$4:$F$515)/$B$10)&gt;=1,1,(15/16)*(((H142-$F$4:$F$515)/$B$10)-(2/3)*((H142-$F$4:$F$515)/$B$10)^3+(1/5)*((H142-$F$4:$F$515)/$B$10)^5+8/15))))/COUNT($F$4:$F$515)</f>
        <v>8.5601432444282473E-5</v>
      </c>
      <c r="H142" s="15">
        <f t="shared" si="8"/>
        <v>-8.3654939878500423E-2</v>
      </c>
      <c r="K142" s="14">
        <v>0.01</v>
      </c>
      <c r="L142" s="15">
        <f t="shared" si="6"/>
        <v>-1.6954939878499008E-2</v>
      </c>
    </row>
    <row r="143" spans="4:12" ht="14.4" customHeight="1">
      <c r="D143" s="4">
        <v>42207</v>
      </c>
      <c r="E143" s="5">
        <v>7.0759999999999996</v>
      </c>
      <c r="F143" s="5">
        <f t="shared" si="7"/>
        <v>-3.0677014901528968E-4</v>
      </c>
      <c r="G143" s="3" cm="1">
        <f t="array" ref="G143">SUMPRODUCT(IF(((H143-$F$4:$F$515)/$B$10)&lt;=-1,0,IF(((H143-$F$4:$F$515)/$B$10)&gt;=1,1,(15/16)*(((H143-$F$4:$F$515)/$B$10)-(2/3)*((H143-$F$4:$F$515)/$B$10)^3+(1/5)*((H143-$F$4:$F$515)/$B$10)^5+8/15))))/COUNT($F$4:$F$515)</f>
        <v>1.0702464225046879E-4</v>
      </c>
      <c r="H143" s="5">
        <f t="shared" si="8"/>
        <v>-8.355493987850042E-2</v>
      </c>
      <c r="K143" s="4">
        <v>0.01</v>
      </c>
      <c r="L143" s="5">
        <f t="shared" si="6"/>
        <v>-1.6954939878499008E-2</v>
      </c>
    </row>
    <row r="144" spans="4:12" ht="14.4" customHeight="1">
      <c r="D144" s="14">
        <v>42208</v>
      </c>
      <c r="E144" s="15">
        <v>7.0529999999999999</v>
      </c>
      <c r="F144" s="15">
        <f t="shared" si="7"/>
        <v>-1.4139403930836811E-3</v>
      </c>
      <c r="G144" s="16" cm="1">
        <f t="array" ref="G144">SUMPRODUCT(IF(((H144-$F$4:$F$515)/$B$10)&lt;=-1,0,IF(((H144-$F$4:$F$515)/$B$10)&gt;=1,1,(15/16)*(((H144-$F$4:$F$515)/$B$10)-(2/3)*((H144-$F$4:$F$515)/$B$10)^3+(1/5)*((H144-$F$4:$F$515)/$B$10)^5+8/15))))/COUNT($F$4:$F$515)</f>
        <v>1.3120768033423604E-4</v>
      </c>
      <c r="H144" s="15">
        <f t="shared" si="8"/>
        <v>-8.3454939878500417E-2</v>
      </c>
      <c r="K144" s="14">
        <v>0.01</v>
      </c>
      <c r="L144" s="15">
        <f t="shared" si="6"/>
        <v>-1.6954939878499008E-2</v>
      </c>
    </row>
    <row r="145" spans="4:12" ht="14.4" customHeight="1">
      <c r="D145" s="4">
        <v>42209</v>
      </c>
      <c r="E145" s="5">
        <v>6.9930000000000003</v>
      </c>
      <c r="F145" s="5">
        <f t="shared" si="7"/>
        <v>-3.7103556043626353E-3</v>
      </c>
      <c r="G145" s="3" cm="1">
        <f t="array" ref="G145">SUMPRODUCT(IF(((H145-$F$4:$F$515)/$B$10)&lt;=-1,0,IF(((H145-$F$4:$F$515)/$B$10)&gt;=1,1,(15/16)*(((H145-$F$4:$F$515)/$B$10)-(2/3)*((H145-$F$4:$F$515)/$B$10)^3+(1/5)*((H145-$F$4:$F$515)/$B$10)^5+8/15))))/COUNT($F$4:$F$515)</f>
        <v>1.5816279646440137E-4</v>
      </c>
      <c r="H145" s="5">
        <f t="shared" si="8"/>
        <v>-8.3354939878500414E-2</v>
      </c>
      <c r="K145" s="4">
        <v>0.01</v>
      </c>
      <c r="L145" s="5">
        <f t="shared" si="6"/>
        <v>-1.6954939878499008E-2</v>
      </c>
    </row>
    <row r="146" spans="4:12" ht="14.4" customHeight="1">
      <c r="D146" s="14">
        <v>42212</v>
      </c>
      <c r="E146" s="15">
        <v>6.7709999999999999</v>
      </c>
      <c r="F146" s="15">
        <f t="shared" si="7"/>
        <v>-1.4010714442814721E-2</v>
      </c>
      <c r="G146" s="16" cm="1">
        <f t="array" ref="G146">SUMPRODUCT(IF(((H146-$F$4:$F$515)/$B$10)&lt;=-1,0,IF(((H146-$F$4:$F$515)/$B$10)&gt;=1,1,(15/16)*(((H146-$F$4:$F$515)/$B$10)-(2/3)*((H146-$F$4:$F$515)/$B$10)^3+(1/5)*((H146-$F$4:$F$515)/$B$10)^5+8/15))))/COUNT($F$4:$F$515)</f>
        <v>1.8787769101147686E-4</v>
      </c>
      <c r="H146" s="15">
        <f t="shared" si="8"/>
        <v>-8.3254939878500411E-2</v>
      </c>
      <c r="K146" s="14">
        <v>0.01</v>
      </c>
      <c r="L146" s="15">
        <f t="shared" si="6"/>
        <v>-1.6954939878499008E-2</v>
      </c>
    </row>
    <row r="147" spans="4:12" ht="14.4" customHeight="1">
      <c r="D147" s="4">
        <v>42213</v>
      </c>
      <c r="E147" s="5">
        <v>6.843</v>
      </c>
      <c r="F147" s="5">
        <f t="shared" si="7"/>
        <v>4.5937261988865047E-3</v>
      </c>
      <c r="G147" s="3" cm="1">
        <f t="array" ref="G147">SUMPRODUCT(IF(((H147-$F$4:$F$515)/$B$10)&lt;=-1,0,IF(((H147-$F$4:$F$515)/$B$10)&gt;=1,1,(15/16)*(((H147-$F$4:$F$515)/$B$10)-(2/3)*((H147-$F$4:$F$515)/$B$10)^3+(1/5)*((H147-$F$4:$F$515)/$B$10)^5+8/15))))/COUNT($F$4:$F$515)</f>
        <v>2.203168498658207E-4</v>
      </c>
      <c r="H147" s="5">
        <f t="shared" si="8"/>
        <v>-8.3154939878500408E-2</v>
      </c>
      <c r="K147" s="4">
        <v>0.01</v>
      </c>
      <c r="L147" s="5">
        <f t="shared" si="6"/>
        <v>-1.6954939878499008E-2</v>
      </c>
    </row>
    <row r="148" spans="4:12" ht="14.4" customHeight="1">
      <c r="D148" s="14">
        <v>42214</v>
      </c>
      <c r="E148" s="15">
        <v>6.8120000000000003</v>
      </c>
      <c r="F148" s="15">
        <f t="shared" si="7"/>
        <v>-1.9719007057475714E-3</v>
      </c>
      <c r="G148" s="16" cm="1">
        <f t="array" ref="G148">SUMPRODUCT(IF(((H148-$F$4:$F$515)/$B$10)&lt;=-1,0,IF(((H148-$F$4:$F$515)/$B$10)&gt;=1,1,(15/16)*(((H148-$F$4:$F$515)/$B$10)-(2/3)*((H148-$F$4:$F$515)/$B$10)^3+(1/5)*((H148-$F$4:$F$515)/$B$10)^5+8/15))))/COUNT($F$4:$F$515)</f>
        <v>2.5542287935579065E-4</v>
      </c>
      <c r="H148" s="15">
        <f t="shared" si="8"/>
        <v>-8.3054939878500406E-2</v>
      </c>
      <c r="K148" s="14">
        <v>0.01</v>
      </c>
      <c r="L148" s="15">
        <f t="shared" si="6"/>
        <v>-1.6954939878499008E-2</v>
      </c>
    </row>
    <row r="149" spans="4:12" ht="14.4" customHeight="1">
      <c r="D149" s="4">
        <v>42215</v>
      </c>
      <c r="E149" s="5">
        <v>6.5259999999999998</v>
      </c>
      <c r="F149" s="5">
        <f t="shared" si="7"/>
        <v>-1.8627569838707322E-2</v>
      </c>
      <c r="G149" s="3" cm="1">
        <f t="array" ref="G149">SUMPRODUCT(IF(((H149-$F$4:$F$515)/$B$10)&lt;=-1,0,IF(((H149-$F$4:$F$515)/$B$10)&gt;=1,1,(15/16)*(((H149-$F$4:$F$515)/$B$10)-(2/3)*((H149-$F$4:$F$515)/$B$10)^3+(1/5)*((H149-$F$4:$F$515)/$B$10)^5+8/15))))/COUNT($F$4:$F$515)</f>
        <v>2.9311784116589645E-4</v>
      </c>
      <c r="H149" s="5">
        <f t="shared" si="8"/>
        <v>-8.2954939878500403E-2</v>
      </c>
      <c r="K149" s="4">
        <v>0.01</v>
      </c>
      <c r="L149" s="5">
        <f t="shared" si="6"/>
        <v>-1.6954939878499008E-2</v>
      </c>
    </row>
    <row r="150" spans="4:12" ht="14.4" customHeight="1">
      <c r="D150" s="14">
        <v>42216</v>
      </c>
      <c r="E150" s="15">
        <v>6.6909999999999998</v>
      </c>
      <c r="F150" s="15">
        <f t="shared" si="7"/>
        <v>1.0843960427574807E-2</v>
      </c>
      <c r="G150" s="16" cm="1">
        <f t="array" ref="G150">SUMPRODUCT(IF(((H150-$F$4:$F$515)/$B$10)&lt;=-1,0,IF(((H150-$F$4:$F$515)/$B$10)&gt;=1,1,(15/16)*(((H150-$F$4:$F$515)/$B$10)-(2/3)*((H150-$F$4:$F$515)/$B$10)^3+(1/5)*((H150-$F$4:$F$515)/$B$10)^5+8/15))))/COUNT($F$4:$F$515)</f>
        <v>3.3330458725495189E-4</v>
      </c>
      <c r="H150" s="15">
        <f t="shared" si="8"/>
        <v>-8.28549398785004E-2</v>
      </c>
      <c r="K150" s="14">
        <v>0.01</v>
      </c>
      <c r="L150" s="15">
        <f t="shared" si="6"/>
        <v>-1.6954939878499008E-2</v>
      </c>
    </row>
    <row r="151" spans="4:12" ht="14.4" customHeight="1">
      <c r="D151" s="4">
        <v>42219</v>
      </c>
      <c r="E151" s="5">
        <v>6.7549999999999999</v>
      </c>
      <c r="F151" s="5">
        <f t="shared" si="7"/>
        <v>4.1343234786184986E-3</v>
      </c>
      <c r="G151" s="3" cm="1">
        <f t="array" ref="G151">SUMPRODUCT(IF(((H151-$F$4:$F$515)/$B$10)&lt;=-1,0,IF(((H151-$F$4:$F$515)/$B$10)&gt;=1,1,(15/16)*(((H151-$F$4:$F$515)/$B$10)-(2/3)*((H151-$F$4:$F$515)/$B$10)^3+(1/5)*((H151-$F$4:$F$515)/$B$10)^5+8/15))))/COUNT($F$4:$F$515)</f>
        <v>3.7586809477422841E-4</v>
      </c>
      <c r="H151" s="5">
        <f t="shared" si="8"/>
        <v>-8.2754939878500397E-2</v>
      </c>
      <c r="K151" s="4">
        <v>0.01</v>
      </c>
      <c r="L151" s="5">
        <f t="shared" si="6"/>
        <v>-1.6954939878499008E-2</v>
      </c>
    </row>
    <row r="152" spans="4:12" ht="14.4" customHeight="1">
      <c r="D152" s="14">
        <v>42220</v>
      </c>
      <c r="E152" s="15">
        <v>6.6509999999999998</v>
      </c>
      <c r="F152" s="15">
        <f t="shared" si="7"/>
        <v>-6.7384055238987918E-3</v>
      </c>
      <c r="G152" s="16" cm="1">
        <f t="array" ref="G152">SUMPRODUCT(IF(((H152-$F$4:$F$515)/$B$10)&lt;=-1,0,IF(((H152-$F$4:$F$515)/$B$10)&gt;=1,1,(15/16)*(((H152-$F$4:$F$515)/$B$10)-(2/3)*((H152-$F$4:$F$515)/$B$10)^3+(1/5)*((H152-$F$4:$F$515)/$B$10)^5+8/15))))/COUNT($F$4:$F$515)</f>
        <v>4.2067680098560638E-4</v>
      </c>
      <c r="H152" s="15">
        <f t="shared" si="8"/>
        <v>-8.2654939878500394E-2</v>
      </c>
      <c r="K152" s="14">
        <v>0.01</v>
      </c>
      <c r="L152" s="15">
        <f t="shared" si="6"/>
        <v>-1.6954939878499008E-2</v>
      </c>
    </row>
    <row r="153" spans="4:12" ht="14.4" customHeight="1">
      <c r="D153" s="4">
        <v>42221</v>
      </c>
      <c r="E153" s="5">
        <v>6.6779999999999999</v>
      </c>
      <c r="F153" s="5">
        <f t="shared" si="7"/>
        <v>1.7594668842013566E-3</v>
      </c>
      <c r="G153" s="3" cm="1">
        <f t="array" ref="G153">SUMPRODUCT(IF(((H153-$F$4:$F$515)/$B$10)&lt;=-1,0,IF(((H153-$F$4:$F$515)/$B$10)&gt;=1,1,(15/16)*(((H153-$F$4:$F$515)/$B$10)-(2/3)*((H153-$F$4:$F$515)/$B$10)^3+(1/5)*((H153-$F$4:$F$515)/$B$10)^5+8/15))))/COUNT($F$4:$F$515)</f>
        <v>4.6758393817972898E-4</v>
      </c>
      <c r="H153" s="5">
        <f t="shared" si="8"/>
        <v>-8.2554939878500391E-2</v>
      </c>
      <c r="K153" s="4">
        <v>0.01</v>
      </c>
      <c r="L153" s="5">
        <f t="shared" si="6"/>
        <v>-1.6954939878499008E-2</v>
      </c>
    </row>
    <row r="154" spans="4:12" ht="14.4" customHeight="1">
      <c r="D154" s="14">
        <v>42222</v>
      </c>
      <c r="E154" s="15">
        <v>6.6440000000000001</v>
      </c>
      <c r="F154" s="15">
        <f t="shared" si="7"/>
        <v>-2.2167909389950685E-3</v>
      </c>
      <c r="G154" s="16" cm="1">
        <f t="array" ref="G154">SUMPRODUCT(IF(((H154-$F$4:$F$515)/$B$10)&lt;=-1,0,IF(((H154-$F$4:$F$515)/$B$10)&gt;=1,1,(15/16)*(((H154-$F$4:$F$515)/$B$10)-(2/3)*((H154-$F$4:$F$515)/$B$10)^3+(1/5)*((H154-$F$4:$F$515)/$B$10)^5+8/15))))/COUNT($F$4:$F$515)</f>
        <v>5.1642886859415383E-4</v>
      </c>
      <c r="H154" s="15">
        <f t="shared" si="8"/>
        <v>-8.2454939878500388E-2</v>
      </c>
      <c r="K154" s="14">
        <v>0.01</v>
      </c>
      <c r="L154" s="15">
        <f t="shared" si="6"/>
        <v>-1.6954939878499008E-2</v>
      </c>
    </row>
    <row r="155" spans="4:12" ht="14.4" customHeight="1">
      <c r="D155" s="4">
        <v>42223</v>
      </c>
      <c r="E155" s="5">
        <v>6.3840000000000003</v>
      </c>
      <c r="F155" s="5">
        <f t="shared" si="7"/>
        <v>-1.7336745436683867E-2</v>
      </c>
      <c r="G155" s="3" cm="1">
        <f t="array" ref="G155">SUMPRODUCT(IF(((H155-$F$4:$F$515)/$B$10)&lt;=-1,0,IF(((H155-$F$4:$F$515)/$B$10)&gt;=1,1,(15/16)*(((H155-$F$4:$F$515)/$B$10)-(2/3)*((H155-$F$4:$F$515)/$B$10)^3+(1/5)*((H155-$F$4:$F$515)/$B$10)^5+8/15))))/COUNT($F$4:$F$515)</f>
        <v>5.6703841933150622E-4</v>
      </c>
      <c r="H155" s="5">
        <f t="shared" si="8"/>
        <v>-8.2354939878500386E-2</v>
      </c>
      <c r="K155" s="4">
        <v>0.01</v>
      </c>
      <c r="L155" s="5">
        <f t="shared" si="6"/>
        <v>-1.6954939878499008E-2</v>
      </c>
    </row>
    <row r="156" spans="4:12" ht="14.4" customHeight="1">
      <c r="D156" s="14">
        <v>42226</v>
      </c>
      <c r="E156" s="15">
        <v>6.4160000000000004</v>
      </c>
      <c r="F156" s="15">
        <f t="shared" si="7"/>
        <v>2.171476933434125E-3</v>
      </c>
      <c r="G156" s="16" cm="1">
        <f t="array" ref="G156">SUMPRODUCT(IF(((H156-$F$4:$F$515)/$B$10)&lt;=-1,0,IF(((H156-$F$4:$F$515)/$B$10)&gt;=1,1,(15/16)*(((H156-$F$4:$F$515)/$B$10)-(2/3)*((H156-$F$4:$F$515)/$B$10)^3+(1/5)*((H156-$F$4:$F$515)/$B$10)^5+8/15))))/COUNT($F$4:$F$515)</f>
        <v>6.1922821727763099E-4</v>
      </c>
      <c r="H156" s="15">
        <f t="shared" si="8"/>
        <v>-8.2254939878500383E-2</v>
      </c>
      <c r="K156" s="14">
        <v>0.01</v>
      </c>
      <c r="L156" s="15">
        <f t="shared" si="6"/>
        <v>-1.6954939878499008E-2</v>
      </c>
    </row>
    <row r="157" spans="4:12" ht="14.4" customHeight="1">
      <c r="D157" s="4">
        <v>42227</v>
      </c>
      <c r="E157" s="5">
        <v>6.4020000000000001</v>
      </c>
      <c r="F157" s="5">
        <f t="shared" si="7"/>
        <v>-9.4868546799359386E-4</v>
      </c>
      <c r="G157" s="3" cm="1">
        <f t="array" ref="G157">SUMPRODUCT(IF(((H157-$F$4:$F$515)/$B$10)&lt;=-1,0,IF(((H157-$F$4:$F$515)/$B$10)&gt;=1,1,(15/16)*(((H157-$F$4:$F$515)/$B$10)-(2/3)*((H157-$F$4:$F$515)/$B$10)^3+(1/5)*((H157-$F$4:$F$515)/$B$10)^5+8/15))))/COUNT($F$4:$F$515)</f>
        <v>6.7280402401974587E-4</v>
      </c>
      <c r="H157" s="5">
        <f t="shared" si="8"/>
        <v>-8.215493987850038E-2</v>
      </c>
      <c r="K157" s="4">
        <v>0.01</v>
      </c>
      <c r="L157" s="5">
        <f t="shared" si="6"/>
        <v>-1.6954939878499008E-2</v>
      </c>
    </row>
    <row r="158" spans="4:12" ht="14.4" customHeight="1">
      <c r="D158" s="14">
        <v>42228</v>
      </c>
      <c r="E158" s="15">
        <v>6.2320000000000002</v>
      </c>
      <c r="F158" s="15">
        <f t="shared" si="7"/>
        <v>-1.1688225143605496E-2</v>
      </c>
      <c r="G158" s="16" cm="1">
        <f t="array" ref="G158">SUMPRODUCT(IF(((H158-$F$4:$F$515)/$B$10)&lt;=-1,0,IF(((H158-$F$4:$F$515)/$B$10)&gt;=1,1,(15/16)*(((H158-$F$4:$F$515)/$B$10)-(2/3)*((H158-$F$4:$F$515)/$B$10)^3+(1/5)*((H158-$F$4:$F$515)/$B$10)^5+8/15))))/COUNT($F$4:$F$515)</f>
        <v>7.2756307076459348E-4</v>
      </c>
      <c r="H158" s="15">
        <f t="shared" si="8"/>
        <v>-8.2054939878500377E-2</v>
      </c>
      <c r="K158" s="14">
        <v>0.01</v>
      </c>
      <c r="L158" s="15">
        <f t="shared" si="6"/>
        <v>-1.6954939878499008E-2</v>
      </c>
    </row>
    <row r="159" spans="4:12" ht="14.4" customHeight="1">
      <c r="D159" s="4">
        <v>42229</v>
      </c>
      <c r="E159" s="5">
        <v>6.4139999999999997</v>
      </c>
      <c r="F159" s="5">
        <f t="shared" si="7"/>
        <v>1.250151092791354E-2</v>
      </c>
      <c r="G159" s="3" cm="1">
        <f t="array" ref="G159">SUMPRODUCT(IF(((H159-$F$4:$F$515)/$B$10)&lt;=-1,0,IF(((H159-$F$4:$F$515)/$B$10)&gt;=1,1,(15/16)*(((H159-$F$4:$F$515)/$B$10)-(2/3)*((H159-$F$4:$F$515)/$B$10)^3+(1/5)*((H159-$F$4:$F$515)/$B$10)^5+8/15))))/COUNT($F$4:$F$515)</f>
        <v>7.8329539325659443E-4</v>
      </c>
      <c r="H159" s="5">
        <f t="shared" si="8"/>
        <v>-8.1954939878500374E-2</v>
      </c>
      <c r="K159" s="4">
        <v>0.01</v>
      </c>
      <c r="L159" s="5">
        <f t="shared" si="6"/>
        <v>-1.6954939878499008E-2</v>
      </c>
    </row>
    <row r="160" spans="4:12" ht="14.4" customHeight="1">
      <c r="D160" s="14">
        <v>42230</v>
      </c>
      <c r="E160" s="15">
        <v>6.3129999999999997</v>
      </c>
      <c r="F160" s="15">
        <f t="shared" si="7"/>
        <v>-6.8931662650678124E-3</v>
      </c>
      <c r="G160" s="16" cm="1">
        <f t="array" ref="G160">SUMPRODUCT(IF(((H160-$F$4:$F$515)/$B$10)&lt;=-1,0,IF(((H160-$F$4:$F$515)/$B$10)&gt;=1,1,(15/16)*(((H160-$F$4:$F$515)/$B$10)-(2/3)*((H160-$F$4:$F$515)/$B$10)^3+(1/5)*((H160-$F$4:$F$515)/$B$10)^5+8/15))))/COUNT($F$4:$F$515)</f>
        <v>8.3978516669599935E-4</v>
      </c>
      <c r="H160" s="15">
        <f t="shared" si="8"/>
        <v>-8.1854939878500371E-2</v>
      </c>
      <c r="K160" s="14">
        <v>0.01</v>
      </c>
      <c r="L160" s="15">
        <f t="shared" si="6"/>
        <v>-1.6954939878499008E-2</v>
      </c>
    </row>
    <row r="161" spans="4:12" ht="14.4" customHeight="1">
      <c r="D161" s="4">
        <v>42233</v>
      </c>
      <c r="E161" s="5">
        <v>6.2889999999999997</v>
      </c>
      <c r="F161" s="5">
        <f t="shared" si="7"/>
        <v>-1.6541945988061452E-3</v>
      </c>
      <c r="G161" s="3" cm="1">
        <f t="array" ref="G161">SUMPRODUCT(IF(((H161-$F$4:$F$515)/$B$10)&lt;=-1,0,IF(((H161-$F$4:$F$515)/$B$10)&gt;=1,1,(15/16)*(((H161-$F$4:$F$515)/$B$10)-(2/3)*((H161-$F$4:$F$515)/$B$10)^3+(1/5)*((H161-$F$4:$F$515)/$B$10)^5+8/15))))/COUNT($F$4:$F$515)</f>
        <v>8.9681204065704184E-4</v>
      </c>
      <c r="H161" s="5">
        <f t="shared" si="8"/>
        <v>-8.1754939878500368E-2</v>
      </c>
      <c r="K161" s="4">
        <v>0.01</v>
      </c>
      <c r="L161" s="5">
        <f t="shared" si="6"/>
        <v>-1.6954939878499008E-2</v>
      </c>
    </row>
    <row r="162" spans="4:12" ht="14.4" customHeight="1">
      <c r="D162" s="14">
        <v>42234</v>
      </c>
      <c r="E162" s="15">
        <v>6.32</v>
      </c>
      <c r="F162" s="15">
        <f t="shared" si="7"/>
        <v>2.1354835538373741E-3</v>
      </c>
      <c r="G162" s="16" cm="1">
        <f t="array" ref="G162">SUMPRODUCT(IF(((H162-$F$4:$F$515)/$B$10)&lt;=-1,0,IF(((H162-$F$4:$F$515)/$B$10)&gt;=1,1,(15/16)*(((H162-$F$4:$F$515)/$B$10)-(2/3)*((H162-$F$4:$F$515)/$B$10)^3+(1/5)*((H162-$F$4:$F$515)/$B$10)^5+8/15))))/COUNT($F$4:$F$515)</f>
        <v>9.5415247400609088E-4</v>
      </c>
      <c r="H162" s="15">
        <f t="shared" si="8"/>
        <v>-8.1654939878500366E-2</v>
      </c>
      <c r="K162" s="14">
        <v>0.01</v>
      </c>
      <c r="L162" s="15">
        <f t="shared" si="6"/>
        <v>-1.6954939878499008E-2</v>
      </c>
    </row>
    <row r="163" spans="4:12" ht="14.4" customHeight="1">
      <c r="D163" s="4">
        <v>42235</v>
      </c>
      <c r="E163" s="5">
        <v>6.2119999999999997</v>
      </c>
      <c r="F163" s="5">
        <f t="shared" si="7"/>
        <v>-7.4856312258641394E-3</v>
      </c>
      <c r="G163" s="3" cm="1">
        <f t="array" ref="G163">SUMPRODUCT(IF(((H163-$F$4:$F$515)/$B$10)&lt;=-1,0,IF(((H163-$F$4:$F$515)/$B$10)&gt;=1,1,(15/16)*(((H163-$F$4:$F$515)/$B$10)-(2/3)*((H163-$F$4:$F$515)/$B$10)^3+(1/5)*((H163-$F$4:$F$515)/$B$10)^5+8/15))))/COUNT($F$4:$F$515)</f>
        <v>1.0115810698198035E-3</v>
      </c>
      <c r="H163" s="5">
        <f t="shared" si="8"/>
        <v>-8.1554939878500363E-2</v>
      </c>
      <c r="K163" s="4">
        <v>0.01</v>
      </c>
      <c r="L163" s="5">
        <f t="shared" si="6"/>
        <v>-1.6954939878499008E-2</v>
      </c>
    </row>
    <row r="164" spans="4:12" ht="14.4" customHeight="1">
      <c r="D164" s="14">
        <v>42236</v>
      </c>
      <c r="E164" s="15">
        <v>5.8840000000000003</v>
      </c>
      <c r="F164" s="15">
        <f t="shared" si="7"/>
        <v>-2.3558783001028375E-2</v>
      </c>
      <c r="G164" s="16" cm="1">
        <f t="array" ref="G164">SUMPRODUCT(IF(((H164-$F$4:$F$515)/$B$10)&lt;=-1,0,IF(((H164-$F$4:$F$515)/$B$10)&gt;=1,1,(15/16)*(((H164-$F$4:$F$515)/$B$10)-(2/3)*((H164-$F$4:$F$515)/$B$10)^3+(1/5)*((H164-$F$4:$F$515)/$B$10)^5+8/15))))/COUNT($F$4:$F$515)</f>
        <v>1.0688719103032775E-3</v>
      </c>
      <c r="H164" s="15">
        <f t="shared" si="8"/>
        <v>-8.145493987850036E-2</v>
      </c>
      <c r="K164" s="14">
        <v>0.01</v>
      </c>
      <c r="L164" s="15">
        <f t="shared" si="6"/>
        <v>-1.6954939878499008E-2</v>
      </c>
    </row>
    <row r="165" spans="4:12" ht="14.4" customHeight="1">
      <c r="D165" s="4">
        <v>42237</v>
      </c>
      <c r="E165" s="5">
        <v>5.5730000000000004</v>
      </c>
      <c r="F165" s="5">
        <f t="shared" si="7"/>
        <v>-2.3583620999292301E-2</v>
      </c>
      <c r="G165" s="3" cm="1">
        <f t="array" ref="G165">SUMPRODUCT(IF(((H165-$F$4:$F$515)/$B$10)&lt;=-1,0,IF(((H165-$F$4:$F$515)/$B$10)&gt;=1,1,(15/16)*(((H165-$F$4:$F$515)/$B$10)-(2/3)*((H165-$F$4:$F$515)/$B$10)^3+(1/5)*((H165-$F$4:$F$515)/$B$10)^5+8/15))))/COUNT($F$4:$F$515)</f>
        <v>1.1257998917082034E-3</v>
      </c>
      <c r="H165" s="5">
        <f t="shared" si="8"/>
        <v>-8.1354939878500357E-2</v>
      </c>
      <c r="K165" s="4">
        <v>0.01</v>
      </c>
      <c r="L165" s="5">
        <f t="shared" si="6"/>
        <v>-1.6954939878499008E-2</v>
      </c>
    </row>
    <row r="166" spans="4:12" ht="14.4" customHeight="1">
      <c r="D166" s="14">
        <v>42240</v>
      </c>
      <c r="E166" s="15">
        <v>5.4050000000000002</v>
      </c>
      <c r="F166" s="15">
        <f t="shared" si="7"/>
        <v>-1.3293344766871046E-2</v>
      </c>
      <c r="G166" s="16" cm="1">
        <f t="array" ref="G166">SUMPRODUCT(IF(((H166-$F$4:$F$515)/$B$10)&lt;=-1,0,IF(((H166-$F$4:$F$515)/$B$10)&gt;=1,1,(15/16)*(((H166-$F$4:$F$515)/$B$10)-(2/3)*((H166-$F$4:$F$515)/$B$10)^3+(1/5)*((H166-$F$4:$F$515)/$B$10)^5+8/15))))/COUNT($F$4:$F$515)</f>
        <v>1.1821420592510185E-3</v>
      </c>
      <c r="H166" s="15">
        <f t="shared" si="8"/>
        <v>-8.1254939878500354E-2</v>
      </c>
      <c r="K166" s="14">
        <v>0.01</v>
      </c>
      <c r="L166" s="15">
        <f t="shared" si="6"/>
        <v>-1.6954939878499008E-2</v>
      </c>
    </row>
    <row r="167" spans="4:12" ht="14.4" customHeight="1">
      <c r="D167" s="4">
        <v>42241</v>
      </c>
      <c r="E167" s="5">
        <v>5.7549999999999999</v>
      </c>
      <c r="F167" s="5">
        <f t="shared" si="7"/>
        <v>2.7249629676481413E-2</v>
      </c>
      <c r="G167" s="3" cm="1">
        <f t="array" ref="G167">SUMPRODUCT(IF(((H167-$F$4:$F$515)/$B$10)&lt;=-1,0,IF(((H167-$F$4:$F$515)/$B$10)&gt;=1,1,(15/16)*(((H167-$F$4:$F$515)/$B$10)-(2/3)*((H167-$F$4:$F$515)/$B$10)^3+(1/5)*((H167-$F$4:$F$515)/$B$10)^5+8/15))))/COUNT($F$4:$F$515)</f>
        <v>1.2376789420310572E-3</v>
      </c>
      <c r="H167" s="5">
        <f t="shared" si="8"/>
        <v>-8.1154939878500351E-2</v>
      </c>
      <c r="K167" s="4">
        <v>0.01</v>
      </c>
      <c r="L167" s="5">
        <f t="shared" si="6"/>
        <v>-1.6954939878499008E-2</v>
      </c>
    </row>
    <row r="168" spans="4:12" ht="14.4" customHeight="1">
      <c r="D168" s="14">
        <v>42242</v>
      </c>
      <c r="E168" s="15">
        <v>5.6239999999999997</v>
      </c>
      <c r="F168" s="15">
        <f t="shared" si="7"/>
        <v>-1.0000015954043071E-2</v>
      </c>
      <c r="G168" s="16" cm="1">
        <f t="array" ref="G168">SUMPRODUCT(IF(((H168-$F$4:$F$515)/$B$10)&lt;=-1,0,IF(((H168-$F$4:$F$515)/$B$10)&gt;=1,1,(15/16)*(((H168-$F$4:$F$515)/$B$10)-(2/3)*((H168-$F$4:$F$515)/$B$10)^3+(1/5)*((H168-$F$4:$F$515)/$B$10)^5+8/15))))/COUNT($F$4:$F$515)</f>
        <v>1.292195887948706E-3</v>
      </c>
      <c r="H168" s="15">
        <f t="shared" si="8"/>
        <v>-8.1054939878500348E-2</v>
      </c>
      <c r="K168" s="14">
        <v>0.01</v>
      </c>
      <c r="L168" s="15">
        <f t="shared" si="6"/>
        <v>-1.6954939878499008E-2</v>
      </c>
    </row>
    <row r="169" spans="4:12" ht="14.4" customHeight="1">
      <c r="D169" s="4">
        <v>42243</v>
      </c>
      <c r="E169" s="5">
        <v>5.7969999999999997</v>
      </c>
      <c r="F169" s="5">
        <f t="shared" si="7"/>
        <v>1.315798835900411E-2</v>
      </c>
      <c r="G169" s="3" cm="1">
        <f t="array" ref="G169">SUMPRODUCT(IF(((H169-$F$4:$F$515)/$B$10)&lt;=-1,0,IF(((H169-$F$4:$F$515)/$B$10)&gt;=1,1,(15/16)*(((H169-$F$4:$F$515)/$B$10)-(2/3)*((H169-$F$4:$F$515)/$B$10)^3+(1/5)*((H169-$F$4:$F$515)/$B$10)^5+8/15))))/COUNT($F$4:$F$515)</f>
        <v>1.3454843986235537E-3</v>
      </c>
      <c r="H169" s="5">
        <f t="shared" si="8"/>
        <v>-8.0954939878500345E-2</v>
      </c>
      <c r="K169" s="4">
        <v>0.01</v>
      </c>
      <c r="L169" s="5">
        <f t="shared" si="6"/>
        <v>-1.6954939878499008E-2</v>
      </c>
    </row>
    <row r="170" spans="4:12" ht="14.4" customHeight="1">
      <c r="D170" s="14">
        <v>42244</v>
      </c>
      <c r="E170" s="15">
        <v>5.718</v>
      </c>
      <c r="F170" s="15">
        <f t="shared" si="7"/>
        <v>-5.9591493488015766E-3</v>
      </c>
      <c r="G170" s="16" cm="1">
        <f t="array" ref="G170">SUMPRODUCT(IF(((H170-$F$4:$F$515)/$B$10)&lt;=-1,0,IF(((H170-$F$4:$F$515)/$B$10)&gt;=1,1,(15/16)*(((H170-$F$4:$F$515)/$B$10)-(2/3)*((H170-$F$4:$F$515)/$B$10)^3+(1/5)*((H170-$F$4:$F$515)/$B$10)^5+8/15))))/COUNT($F$4:$F$515)</f>
        <v>1.3973434643125466E-3</v>
      </c>
      <c r="H170" s="15">
        <f t="shared" si="8"/>
        <v>-8.0854939878500343E-2</v>
      </c>
      <c r="K170" s="14">
        <v>0.01</v>
      </c>
      <c r="L170" s="15">
        <f t="shared" si="6"/>
        <v>-1.6954939878499008E-2</v>
      </c>
    </row>
    <row r="171" spans="4:12" ht="14.4" customHeight="1">
      <c r="D171" s="4">
        <v>42247</v>
      </c>
      <c r="E171" s="5">
        <v>5.66</v>
      </c>
      <c r="F171" s="5">
        <f t="shared" si="7"/>
        <v>-4.4277198336985972E-3</v>
      </c>
      <c r="G171" s="3" cm="1">
        <f t="array" ref="G171">SUMPRODUCT(IF(((H171-$F$4:$F$515)/$B$10)&lt;=-1,0,IF(((H171-$F$4:$F$515)/$B$10)&gt;=1,1,(15/16)*(((H171-$F$4:$F$515)/$B$10)-(2/3)*((H171-$F$4:$F$515)/$B$10)^3+(1/5)*((H171-$F$4:$F$515)/$B$10)^5+8/15))))/COUNT($F$4:$F$515)</f>
        <v>1.4475808988281384E-3</v>
      </c>
      <c r="H171" s="5">
        <f t="shared" si="8"/>
        <v>-8.075493987850034E-2</v>
      </c>
      <c r="K171" s="4">
        <v>0.01</v>
      </c>
      <c r="L171" s="5">
        <f t="shared" si="6"/>
        <v>-1.6954939878499008E-2</v>
      </c>
    </row>
    <row r="172" spans="4:12" ht="14.4" customHeight="1">
      <c r="D172" s="14">
        <v>42248</v>
      </c>
      <c r="E172" s="15">
        <v>5.548</v>
      </c>
      <c r="F172" s="15">
        <f t="shared" si="7"/>
        <v>-8.6799787870241816E-3</v>
      </c>
      <c r="G172" s="16" cm="1">
        <f t="array" ref="G172">SUMPRODUCT(IF(((H172-$F$4:$F$515)/$B$10)&lt;=-1,0,IF(((H172-$F$4:$F$515)/$B$10)&gt;=1,1,(15/16)*(((H172-$F$4:$F$515)/$B$10)-(2/3)*((H172-$F$4:$F$515)/$B$10)^3+(1/5)*((H172-$F$4:$F$515)/$B$10)^5+8/15))))/COUNT($F$4:$F$515)</f>
        <v>1.4960146744564448E-3</v>
      </c>
      <c r="H172" s="15">
        <f t="shared" si="8"/>
        <v>-8.0654939878500337E-2</v>
      </c>
      <c r="K172" s="14">
        <v>0.01</v>
      </c>
      <c r="L172" s="15">
        <f t="shared" si="6"/>
        <v>-1.6954939878499008E-2</v>
      </c>
    </row>
    <row r="173" spans="4:12" ht="14.4" customHeight="1">
      <c r="D173" s="4">
        <v>42249</v>
      </c>
      <c r="E173" s="5">
        <v>5.5259999999999998</v>
      </c>
      <c r="F173" s="5">
        <f t="shared" si="7"/>
        <v>-1.7255718207547105E-3</v>
      </c>
      <c r="G173" s="3" cm="1">
        <f t="array" ref="G173">SUMPRODUCT(IF(((H173-$F$4:$F$515)/$B$10)&lt;=-1,0,IF(((H173-$F$4:$F$515)/$B$10)&gt;=1,1,(15/16)*(((H173-$F$4:$F$515)/$B$10)-(2/3)*((H173-$F$4:$F$515)/$B$10)^3+(1/5)*((H173-$F$4:$F$515)/$B$10)^5+8/15))))/COUNT($F$4:$F$515)</f>
        <v>1.5424742568753954E-3</v>
      </c>
      <c r="H173" s="5">
        <f t="shared" si="8"/>
        <v>-8.0554939878500334E-2</v>
      </c>
      <c r="K173" s="4">
        <v>0.01</v>
      </c>
      <c r="L173" s="5">
        <f t="shared" si="6"/>
        <v>-1.6954939878499008E-2</v>
      </c>
    </row>
    <row r="174" spans="4:12" ht="14.4" customHeight="1">
      <c r="D174" s="14">
        <v>42250</v>
      </c>
      <c r="E174" s="15">
        <v>5.7320000000000002</v>
      </c>
      <c r="F174" s="15">
        <f t="shared" si="7"/>
        <v>1.5895301144814317E-2</v>
      </c>
      <c r="G174" s="16" cm="1">
        <f t="array" ref="G174">SUMPRODUCT(IF(((H174-$F$4:$F$515)/$B$10)&lt;=-1,0,IF(((H174-$F$4:$F$515)/$B$10)&gt;=1,1,(15/16)*(((H174-$F$4:$F$515)/$B$10)-(2/3)*((H174-$F$4:$F$515)/$B$10)^3+(1/5)*((H174-$F$4:$F$515)/$B$10)^5+8/15))))/COUNT($F$4:$F$515)</f>
        <v>1.5868019400728855E-3</v>
      </c>
      <c r="H174" s="15">
        <f t="shared" si="8"/>
        <v>-8.0454939878500331E-2</v>
      </c>
      <c r="K174" s="14">
        <v>0.01</v>
      </c>
      <c r="L174" s="15">
        <f t="shared" si="6"/>
        <v>-1.6954939878499008E-2</v>
      </c>
    </row>
    <row r="175" spans="4:12" ht="14.4" customHeight="1">
      <c r="D175" s="4">
        <v>42251</v>
      </c>
      <c r="E175" s="5">
        <v>5.5810000000000004</v>
      </c>
      <c r="F175" s="5">
        <f t="shared" si="7"/>
        <v>-1.1594159208646421E-2</v>
      </c>
      <c r="G175" s="3" cm="1">
        <f t="array" ref="G175">SUMPRODUCT(IF(((H175-$F$4:$F$515)/$B$10)&lt;=-1,0,IF(((H175-$F$4:$F$515)/$B$10)&gt;=1,1,(15/16)*(((H175-$F$4:$F$515)/$B$10)-(2/3)*((H175-$F$4:$F$515)/$B$10)^3+(1/5)*((H175-$F$4:$F$515)/$B$10)^5+8/15))))/COUNT($F$4:$F$515)</f>
        <v>1.6288541812649305E-3</v>
      </c>
      <c r="H175" s="5">
        <f t="shared" si="8"/>
        <v>-8.0354939878500328E-2</v>
      </c>
      <c r="K175" s="4">
        <v>0.01</v>
      </c>
      <c r="L175" s="5">
        <f t="shared" si="6"/>
        <v>-1.6954939878499008E-2</v>
      </c>
    </row>
    <row r="176" spans="4:12" ht="14.4" customHeight="1">
      <c r="D176" s="14">
        <v>42254</v>
      </c>
      <c r="E176" s="15">
        <v>5.5679999999999996</v>
      </c>
      <c r="F176" s="15">
        <f t="shared" si="7"/>
        <v>-1.012795914154813E-3</v>
      </c>
      <c r="G176" s="16" cm="1">
        <f t="array" ref="G176">SUMPRODUCT(IF(((H176-$F$4:$F$515)/$B$10)&lt;=-1,0,IF(((H176-$F$4:$F$515)/$B$10)&gt;=1,1,(15/16)*(((H176-$F$4:$F$515)/$B$10)-(2/3)*((H176-$F$4:$F$515)/$B$10)^3+(1/5)*((H176-$F$4:$F$515)/$B$10)^5+8/15))))/COUNT($F$4:$F$515)</f>
        <v>1.6685029358138167E-3</v>
      </c>
      <c r="H176" s="15">
        <f t="shared" si="8"/>
        <v>-8.0254939878500325E-2</v>
      </c>
      <c r="K176" s="14">
        <v>0.01</v>
      </c>
      <c r="L176" s="15">
        <f t="shared" si="6"/>
        <v>-1.6954939878499008E-2</v>
      </c>
    </row>
    <row r="177" spans="4:12" ht="14.4" customHeight="1">
      <c r="D177" s="4">
        <v>42255</v>
      </c>
      <c r="E177" s="5">
        <v>5.5970000000000004</v>
      </c>
      <c r="F177" s="5">
        <f t="shared" si="7"/>
        <v>2.2560803042242158E-3</v>
      </c>
      <c r="G177" s="3" cm="1">
        <f t="array" ref="G177">SUMPRODUCT(IF(((H177-$F$4:$F$515)/$B$10)&lt;=-1,0,IF(((H177-$F$4:$F$515)/$B$10)&gt;=1,1,(15/16)*(((H177-$F$4:$F$515)/$B$10)-(2/3)*((H177-$F$4:$F$515)/$B$10)^3+(1/5)*((H177-$F$4:$F$515)/$B$10)^5+8/15))))/COUNT($F$4:$F$515)</f>
        <v>1.7056369921462544E-3</v>
      </c>
      <c r="H177" s="5">
        <f t="shared" si="8"/>
        <v>-8.0154939878500323E-2</v>
      </c>
      <c r="K177" s="4">
        <v>0.01</v>
      </c>
      <c r="L177" s="5">
        <f t="shared" si="6"/>
        <v>-1.6954939878499008E-2</v>
      </c>
    </row>
    <row r="178" spans="4:12" ht="14.4" customHeight="1">
      <c r="D178" s="14">
        <v>42256</v>
      </c>
      <c r="E178" s="15">
        <v>5.6040000000000001</v>
      </c>
      <c r="F178" s="15">
        <f t="shared" si="7"/>
        <v>5.4281970700715144E-4</v>
      </c>
      <c r="G178" s="16" cm="1">
        <f t="array" ref="G178">SUMPRODUCT(IF(((H178-$F$4:$F$515)/$B$10)&lt;=-1,0,IF(((H178-$F$4:$F$515)/$B$10)&gt;=1,1,(15/16)*(((H178-$F$4:$F$515)/$B$10)-(2/3)*((H178-$F$4:$F$515)/$B$10)^3+(1/5)*((H178-$F$4:$F$515)/$B$10)^5+8/15))))/COUNT($F$4:$F$515)</f>
        <v>1.7401633066715311E-3</v>
      </c>
      <c r="H178" s="15">
        <f t="shared" si="8"/>
        <v>-8.005493987850032E-2</v>
      </c>
      <c r="K178" s="14">
        <v>0.01</v>
      </c>
      <c r="L178" s="15">
        <f t="shared" si="6"/>
        <v>-1.6954939878499008E-2</v>
      </c>
    </row>
    <row r="179" spans="4:12" ht="14.4" customHeight="1">
      <c r="D179" s="4">
        <v>42257</v>
      </c>
      <c r="E179" s="5">
        <v>5.5259999999999998</v>
      </c>
      <c r="F179" s="5">
        <f t="shared" si="7"/>
        <v>-6.0872460332444828E-3</v>
      </c>
      <c r="G179" s="3" cm="1">
        <f t="array" ref="G179">SUMPRODUCT(IF(((H179-$F$4:$F$515)/$B$10)&lt;=-1,0,IF(((H179-$F$4:$F$515)/$B$10)&gt;=1,1,(15/16)*(((H179-$F$4:$F$515)/$B$10)-(2/3)*((H179-$F$4:$F$515)/$B$10)^3+(1/5)*((H179-$F$4:$F$515)/$B$10)^5+8/15))))/COUNT($F$4:$F$515)</f>
        <v>1.7720083386996638E-3</v>
      </c>
      <c r="H179" s="5">
        <f t="shared" si="8"/>
        <v>-7.9954939878500317E-2</v>
      </c>
      <c r="K179" s="4">
        <v>0.01</v>
      </c>
      <c r="L179" s="5">
        <f t="shared" si="6"/>
        <v>-1.6954939878499008E-2</v>
      </c>
    </row>
    <row r="180" spans="4:12" ht="14.4" customHeight="1">
      <c r="D180" s="14">
        <v>42258</v>
      </c>
      <c r="E180" s="15">
        <v>5.4480000000000004</v>
      </c>
      <c r="F180" s="15">
        <f t="shared" si="7"/>
        <v>-6.173781675763765E-3</v>
      </c>
      <c r="G180" s="16" cm="1">
        <f t="array" ref="G180">SUMPRODUCT(IF(((H180-$F$4:$F$515)/$B$10)&lt;=-1,0,IF(((H180-$F$4:$F$515)/$B$10)&gt;=1,1,(15/16)*(((H180-$F$4:$F$515)/$B$10)-(2/3)*((H180-$F$4:$F$515)/$B$10)^3+(1/5)*((H180-$F$4:$F$515)/$B$10)^5+8/15))))/COUNT($F$4:$F$515)</f>
        <v>1.801119385359551E-3</v>
      </c>
      <c r="H180" s="15">
        <f t="shared" si="8"/>
        <v>-7.9854939878500314E-2</v>
      </c>
      <c r="K180" s="14">
        <v>0.01</v>
      </c>
      <c r="L180" s="15">
        <f t="shared" si="6"/>
        <v>-1.6954939878499008E-2</v>
      </c>
    </row>
    <row r="181" spans="4:12" ht="14.4" customHeight="1">
      <c r="D181" s="4">
        <v>42261</v>
      </c>
      <c r="E181" s="5">
        <v>5.375</v>
      </c>
      <c r="F181" s="5">
        <f t="shared" si="7"/>
        <v>-5.8586303170858117E-3</v>
      </c>
      <c r="G181" s="3" cm="1">
        <f t="array" ref="G181">SUMPRODUCT(IF(((H181-$F$4:$F$515)/$B$10)&lt;=-1,0,IF(((H181-$F$4:$F$515)/$B$10)&gt;=1,1,(15/16)*(((H181-$F$4:$F$515)/$B$10)-(2/3)*((H181-$F$4:$F$515)/$B$10)^3+(1/5)*((H181-$F$4:$F$515)/$B$10)^5+8/15))))/COUNT($F$4:$F$515)</f>
        <v>1.827465916517126E-3</v>
      </c>
      <c r="H181" s="5">
        <f t="shared" si="8"/>
        <v>-7.9754939878500311E-2</v>
      </c>
      <c r="K181" s="4">
        <v>0.01</v>
      </c>
      <c r="L181" s="5">
        <f t="shared" si="6"/>
        <v>-1.6954939878499008E-2</v>
      </c>
    </row>
    <row r="182" spans="4:12" ht="14.4" customHeight="1">
      <c r="D182" s="14">
        <v>42262</v>
      </c>
      <c r="E182" s="15">
        <v>5.41</v>
      </c>
      <c r="F182" s="15">
        <f t="shared" si="7"/>
        <v>2.8187965189265165E-3</v>
      </c>
      <c r="G182" s="16" cm="1">
        <f t="array" ref="G182">SUMPRODUCT(IF(((H182-$F$4:$F$515)/$B$10)&lt;=-1,0,IF(((H182-$F$4:$F$515)/$B$10)&gt;=1,1,(15/16)*(((H182-$F$4:$F$515)/$B$10)-(2/3)*((H182-$F$4:$F$515)/$B$10)^3+(1/5)*((H182-$F$4:$F$515)/$B$10)^5+8/15))))/COUNT($F$4:$F$515)</f>
        <v>1.8510409096935082E-3</v>
      </c>
      <c r="H182" s="15">
        <f t="shared" si="8"/>
        <v>-7.9654939878500308E-2</v>
      </c>
      <c r="K182" s="14">
        <v>0.01</v>
      </c>
      <c r="L182" s="15">
        <f t="shared" si="6"/>
        <v>-1.6954939878499008E-2</v>
      </c>
    </row>
    <row r="183" spans="4:12" ht="14.4" customHeight="1">
      <c r="D183" s="4">
        <v>42263</v>
      </c>
      <c r="E183" s="5">
        <v>5.3689999999999998</v>
      </c>
      <c r="F183" s="5">
        <f t="shared" si="7"/>
        <v>-3.3038611433316594E-3</v>
      </c>
      <c r="G183" s="3" cm="1">
        <f t="array" ref="G183">SUMPRODUCT(IF(((H183-$F$4:$F$515)/$B$10)&lt;=-1,0,IF(((H183-$F$4:$F$515)/$B$10)&gt;=1,1,(15/16)*(((H183-$F$4:$F$515)/$B$10)-(2/3)*((H183-$F$4:$F$515)/$B$10)^3+(1/5)*((H183-$F$4:$F$515)/$B$10)^5+8/15))))/COUNT($F$4:$F$515)</f>
        <v>1.8718621849831587E-3</v>
      </c>
      <c r="H183" s="5">
        <f t="shared" si="8"/>
        <v>-7.9554939878500305E-2</v>
      </c>
      <c r="K183" s="4">
        <v>0.01</v>
      </c>
      <c r="L183" s="5">
        <f t="shared" si="6"/>
        <v>-1.6954939878499008E-2</v>
      </c>
    </row>
    <row r="184" spans="4:12" ht="14.4" customHeight="1">
      <c r="D184" s="14">
        <v>42264</v>
      </c>
      <c r="E184" s="15">
        <v>5.4530000000000003</v>
      </c>
      <c r="F184" s="15">
        <f t="shared" si="7"/>
        <v>6.7420937235835371E-3</v>
      </c>
      <c r="G184" s="16" cm="1">
        <f t="array" ref="G184">SUMPRODUCT(IF(((H184-$F$4:$F$515)/$B$10)&lt;=-1,0,IF(((H184-$F$4:$F$515)/$B$10)&gt;=1,1,(15/16)*(((H184-$F$4:$F$515)/$B$10)-(2/3)*((H184-$F$4:$F$515)/$B$10)^3+(1/5)*((H184-$F$4:$F$515)/$B$10)^5+8/15))))/COUNT($F$4:$F$515)</f>
        <v>1.8899737399720291E-3</v>
      </c>
      <c r="H184" s="15">
        <f t="shared" si="8"/>
        <v>-7.9454939878500302E-2</v>
      </c>
      <c r="K184" s="14">
        <v>0.01</v>
      </c>
      <c r="L184" s="15">
        <f t="shared" si="6"/>
        <v>-1.6954939878499008E-2</v>
      </c>
    </row>
    <row r="185" spans="4:12" ht="14.4" customHeight="1">
      <c r="D185" s="4">
        <v>42265</v>
      </c>
      <c r="E185" s="5">
        <v>5.258</v>
      </c>
      <c r="F185" s="5">
        <f t="shared" si="7"/>
        <v>-1.5814915916477403E-2</v>
      </c>
      <c r="G185" s="3" cm="1">
        <f t="array" ref="G185">SUMPRODUCT(IF(((H185-$F$4:$F$515)/$B$10)&lt;=-1,0,IF(((H185-$F$4:$F$515)/$B$10)&gt;=1,1,(15/16)*(((H185-$F$4:$F$515)/$B$10)-(2/3)*((H185-$F$4:$F$515)/$B$10)^3+(1/5)*((H185-$F$4:$F$515)/$B$10)^5+8/15))))/COUNT($F$4:$F$515)</f>
        <v>1.9054470846557162E-3</v>
      </c>
      <c r="H185" s="5">
        <f t="shared" si="8"/>
        <v>-7.93549398785003E-2</v>
      </c>
      <c r="K185" s="4">
        <v>0.01</v>
      </c>
      <c r="L185" s="5">
        <f t="shared" si="6"/>
        <v>-1.6954939878499008E-2</v>
      </c>
    </row>
    <row r="186" spans="4:12" ht="14.4" customHeight="1">
      <c r="D186" s="14">
        <v>42268</v>
      </c>
      <c r="E186" s="15">
        <v>5.2750000000000004</v>
      </c>
      <c r="F186" s="15">
        <f t="shared" si="7"/>
        <v>1.4018821993863387E-3</v>
      </c>
      <c r="G186" s="16" cm="1">
        <f t="array" ref="G186">SUMPRODUCT(IF(((H186-$F$4:$F$515)/$B$10)&lt;=-1,0,IF(((H186-$F$4:$F$515)/$B$10)&gt;=1,1,(15/16)*(((H186-$F$4:$F$515)/$B$10)-(2/3)*((H186-$F$4:$F$515)/$B$10)^3+(1/5)*((H186-$F$4:$F$515)/$B$10)^5+8/15))))/COUNT($F$4:$F$515)</f>
        <v>1.9183825763576144E-3</v>
      </c>
      <c r="H186" s="15">
        <f t="shared" si="8"/>
        <v>-7.9254939878500297E-2</v>
      </c>
      <c r="K186" s="14">
        <v>0.01</v>
      </c>
      <c r="L186" s="15">
        <f t="shared" si="6"/>
        <v>-1.6954939878499008E-2</v>
      </c>
    </row>
    <row r="187" spans="4:12" ht="14.4" customHeight="1">
      <c r="D187" s="4">
        <v>42269</v>
      </c>
      <c r="E187" s="5">
        <v>5.0599999999999996</v>
      </c>
      <c r="F187" s="5">
        <f t="shared" si="7"/>
        <v>-1.8071947129931199E-2</v>
      </c>
      <c r="G187" s="3" cm="1">
        <f t="array" ref="G187">SUMPRODUCT(IF(((H187-$F$4:$F$515)/$B$10)&lt;=-1,0,IF(((H187-$F$4:$F$515)/$B$10)&gt;=1,1,(15/16)*(((H187-$F$4:$F$515)/$B$10)-(2/3)*((H187-$F$4:$F$515)/$B$10)^3+(1/5)*((H187-$F$4:$F$515)/$B$10)^5+8/15))))/COUNT($F$4:$F$515)</f>
        <v>1.9289107546470691E-3</v>
      </c>
      <c r="H187" s="5">
        <f t="shared" si="8"/>
        <v>-7.9154939878500294E-2</v>
      </c>
      <c r="K187" s="4">
        <v>0.01</v>
      </c>
      <c r="L187" s="5">
        <f t="shared" si="6"/>
        <v>-1.6954939878499008E-2</v>
      </c>
    </row>
    <row r="188" spans="4:12" ht="14.4" customHeight="1">
      <c r="D188" s="14">
        <v>42270</v>
      </c>
      <c r="E188" s="15">
        <v>4.9889999999999999</v>
      </c>
      <c r="F188" s="15">
        <f t="shared" si="7"/>
        <v>-6.1370129006174026E-3</v>
      </c>
      <c r="G188" s="16" cm="1">
        <f t="array" ref="G188">SUMPRODUCT(IF(((H188-$F$4:$F$515)/$B$10)&lt;=-1,0,IF(((H188-$F$4:$F$515)/$B$10)&gt;=1,1,(15/16)*(((H188-$F$4:$F$515)/$B$10)-(2/3)*((H188-$F$4:$F$515)/$B$10)^3+(1/5)*((H188-$F$4:$F$515)/$B$10)^5+8/15))))/COUNT($F$4:$F$515)</f>
        <v>1.9371936762575257E-3</v>
      </c>
      <c r="H188" s="15">
        <f t="shared" si="8"/>
        <v>-7.9054939878500291E-2</v>
      </c>
      <c r="K188" s="14">
        <v>0.01</v>
      </c>
      <c r="L188" s="15">
        <f t="shared" si="6"/>
        <v>-1.6954939878499008E-2</v>
      </c>
    </row>
    <row r="189" spans="4:12" ht="14.4" customHeight="1">
      <c r="D189" s="4">
        <v>42271</v>
      </c>
      <c r="E189" s="5">
        <v>5.0519999999999996</v>
      </c>
      <c r="F189" s="5">
        <f t="shared" si="7"/>
        <v>5.44983794411142E-3</v>
      </c>
      <c r="G189" s="3" cm="1">
        <f t="array" ref="G189">SUMPRODUCT(IF(((H189-$F$4:$F$515)/$B$10)&lt;=-1,0,IF(((H189-$F$4:$F$515)/$B$10)&gt;=1,1,(15/16)*(((H189-$F$4:$F$515)/$B$10)-(2/3)*((H189-$F$4:$F$515)/$B$10)^3+(1/5)*((H189-$F$4:$F$515)/$B$10)^5+8/15))))/COUNT($F$4:$F$515)</f>
        <v>1.9434262500046874E-3</v>
      </c>
      <c r="H189" s="5">
        <f t="shared" si="8"/>
        <v>-7.8954939878500288E-2</v>
      </c>
      <c r="K189" s="4">
        <v>0.01</v>
      </c>
      <c r="L189" s="5">
        <f t="shared" si="6"/>
        <v>-1.6954939878499008E-2</v>
      </c>
    </row>
    <row r="190" spans="4:12" ht="14.4" customHeight="1">
      <c r="D190" s="14">
        <v>42272</v>
      </c>
      <c r="E190" s="15">
        <v>5.2279999999999998</v>
      </c>
      <c r="F190" s="15">
        <f t="shared" si="7"/>
        <v>1.487223702521354E-2</v>
      </c>
      <c r="G190" s="16" cm="1">
        <f t="array" ref="G190">SUMPRODUCT(IF(((H190-$F$4:$F$515)/$B$10)&lt;=-1,0,IF(((H190-$F$4:$F$515)/$B$10)&gt;=1,1,(15/16)*(((H190-$F$4:$F$515)/$B$10)-(2/3)*((H190-$F$4:$F$515)/$B$10)^3+(1/5)*((H190-$F$4:$F$515)/$B$10)^5+8/15))))/COUNT($F$4:$F$515)</f>
        <v>1.9478375717046645E-3</v>
      </c>
      <c r="H190" s="15">
        <f t="shared" si="8"/>
        <v>-7.8854939878500285E-2</v>
      </c>
      <c r="K190" s="14">
        <v>0.01</v>
      </c>
      <c r="L190" s="15">
        <f t="shared" si="6"/>
        <v>-1.6954939878499008E-2</v>
      </c>
    </row>
    <row r="191" spans="4:12" ht="14.4" customHeight="1">
      <c r="D191" s="4">
        <v>42275</v>
      </c>
      <c r="E191" s="5">
        <v>5.0460000000000003</v>
      </c>
      <c r="F191" s="5">
        <f t="shared" si="7"/>
        <v>-1.538833272695086E-2</v>
      </c>
      <c r="G191" s="3" cm="1">
        <f t="array" ref="G191">SUMPRODUCT(IF(((H191-$F$4:$F$515)/$B$10)&lt;=-1,0,IF(((H191-$F$4:$F$515)/$B$10)&gt;=1,1,(15/16)*(((H191-$F$4:$F$515)/$B$10)-(2/3)*((H191-$F$4:$F$515)/$B$10)^3+(1/5)*((H191-$F$4:$F$515)/$B$10)^5+8/15))))/COUNT($F$4:$F$515)</f>
        <v>1.9506922590921262E-3</v>
      </c>
      <c r="H191" s="5">
        <f t="shared" si="8"/>
        <v>-7.8754939878500282E-2</v>
      </c>
      <c r="K191" s="4">
        <v>0.01</v>
      </c>
      <c r="L191" s="5">
        <f t="shared" si="6"/>
        <v>-1.6954939878499008E-2</v>
      </c>
    </row>
    <row r="192" spans="4:12" ht="14.4" customHeight="1">
      <c r="D192" s="14">
        <v>42276</v>
      </c>
      <c r="E192" s="15">
        <v>4.819</v>
      </c>
      <c r="F192" s="15">
        <f t="shared" si="7"/>
        <v>-1.9990319880347371E-2</v>
      </c>
      <c r="G192" s="16" cm="1">
        <f t="array" ref="G192">SUMPRODUCT(IF(((H192-$F$4:$F$515)/$B$10)&lt;=-1,0,IF(((H192-$F$4:$F$515)/$B$10)&gt;=1,1,(15/16)*(((H192-$F$4:$F$515)/$B$10)-(2/3)*((H192-$F$4:$F$515)/$B$10)^3+(1/5)*((H192-$F$4:$F$515)/$B$10)^5+8/15))))/COUNT($F$4:$F$515)</f>
        <v>1.9522917867384562E-3</v>
      </c>
      <c r="H192" s="15">
        <f t="shared" si="8"/>
        <v>-7.865493987850028E-2</v>
      </c>
      <c r="K192" s="14">
        <v>0.01</v>
      </c>
      <c r="L192" s="15">
        <f t="shared" si="6"/>
        <v>-1.6954939878499008E-2</v>
      </c>
    </row>
    <row r="193" spans="4:12" ht="14.4" customHeight="1">
      <c r="D193" s="4">
        <v>42277</v>
      </c>
      <c r="E193" s="5">
        <v>4.9390000000000001</v>
      </c>
      <c r="F193" s="5">
        <f t="shared" si="7"/>
        <v>1.0682099860339772E-2</v>
      </c>
      <c r="G193" s="3" cm="1">
        <f t="array" ref="G193">SUMPRODUCT(IF(((H193-$F$4:$F$515)/$B$10)&lt;=-1,0,IF(((H193-$F$4:$F$515)/$B$10)&gt;=1,1,(15/16)*(((H193-$F$4:$F$515)/$B$10)-(2/3)*((H193-$F$4:$F$515)/$B$10)^3+(1/5)*((H193-$F$4:$F$515)/$B$10)^5+8/15))))/COUNT($F$4:$F$515)</f>
        <v>1.952975820969903E-3</v>
      </c>
      <c r="H193" s="5">
        <f t="shared" si="8"/>
        <v>-7.8554939878500277E-2</v>
      </c>
      <c r="K193" s="4">
        <v>0.01</v>
      </c>
      <c r="L193" s="5">
        <f t="shared" si="6"/>
        <v>-1.6954939878499008E-2</v>
      </c>
    </row>
    <row r="194" spans="4:12" ht="14.4" customHeight="1">
      <c r="D194" s="14">
        <v>42278</v>
      </c>
      <c r="E194" s="15">
        <v>4.9059999999999997</v>
      </c>
      <c r="F194" s="15">
        <f t="shared" si="7"/>
        <v>-2.9114822911813516E-3</v>
      </c>
      <c r="G194" s="16" cm="1">
        <f t="array" ref="G194">SUMPRODUCT(IF(((H194-$F$4:$F$515)/$B$10)&lt;=-1,0,IF(((H194-$F$4:$F$515)/$B$10)&gt;=1,1,(15/16)*(((H194-$F$4:$F$515)/$B$10)-(2/3)*((H194-$F$4:$F$515)/$B$10)^3+(1/5)*((H194-$F$4:$F$515)/$B$10)^5+8/15))))/COUNT($F$4:$F$515)</f>
        <v>1.9531235547857336E-3</v>
      </c>
      <c r="H194" s="15">
        <f t="shared" si="8"/>
        <v>-7.8454939878500274E-2</v>
      </c>
      <c r="K194" s="14">
        <v>0.01</v>
      </c>
      <c r="L194" s="15">
        <f t="shared" si="6"/>
        <v>-1.6954939878499008E-2</v>
      </c>
    </row>
    <row r="195" spans="4:12" ht="14.4" customHeight="1">
      <c r="D195" s="4">
        <v>42279</v>
      </c>
      <c r="E195" s="5">
        <v>4.9550000000000001</v>
      </c>
      <c r="F195" s="5">
        <f t="shared" si="7"/>
        <v>4.3161149509272408E-3</v>
      </c>
      <c r="G195" s="3" cm="1">
        <f t="array" ref="G195">SUMPRODUCT(IF(((H195-$F$4:$F$515)/$B$10)&lt;=-1,0,IF(((H195-$F$4:$F$515)/$B$10)&gt;=1,1,(15/16)*(((H195-$F$4:$F$515)/$B$10)-(2/3)*((H195-$F$4:$F$515)/$B$10)^3+(1/5)*((H195-$F$4:$F$515)/$B$10)^5+8/15))))/COUNT($F$4:$F$515)</f>
        <v>1.953125E-3</v>
      </c>
      <c r="H195" s="5">
        <f t="shared" si="8"/>
        <v>-7.8354939878500271E-2</v>
      </c>
      <c r="K195" s="4">
        <v>0.01</v>
      </c>
      <c r="L195" s="5">
        <f t="shared" si="6"/>
        <v>-1.6954939878499008E-2</v>
      </c>
    </row>
    <row r="196" spans="4:12" ht="14.4" customHeight="1">
      <c r="D196" s="14">
        <v>42282</v>
      </c>
      <c r="E196" s="15">
        <v>5.1079999999999997</v>
      </c>
      <c r="F196" s="15">
        <f t="shared" si="7"/>
        <v>1.3207229770083489E-2</v>
      </c>
      <c r="G196" s="16" cm="1">
        <f t="array" ref="G196">SUMPRODUCT(IF(((H196-$F$4:$F$515)/$B$10)&lt;=-1,0,IF(((H196-$F$4:$F$515)/$B$10)&gt;=1,1,(15/16)*(((H196-$F$4:$F$515)/$B$10)-(2/3)*((H196-$F$4:$F$515)/$B$10)^3+(1/5)*((H196-$F$4:$F$515)/$B$10)^5+8/15))))/COUNT($F$4:$F$515)</f>
        <v>1.953125E-3</v>
      </c>
      <c r="H196" s="15">
        <f t="shared" si="8"/>
        <v>-7.8254939878500268E-2</v>
      </c>
      <c r="K196" s="14">
        <v>0.01</v>
      </c>
      <c r="L196" s="15">
        <f t="shared" ref="L196:L259" si="9">$B$7</f>
        <v>-1.6954939878499008E-2</v>
      </c>
    </row>
    <row r="197" spans="4:12" ht="14.4" customHeight="1">
      <c r="D197" s="4">
        <v>42283</v>
      </c>
      <c r="E197" s="5">
        <v>5.3120000000000003</v>
      </c>
      <c r="F197" s="5">
        <f t="shared" ref="F197:F260" si="10">LOG(E197/E196)</f>
        <v>1.7007177768583407E-2</v>
      </c>
      <c r="G197" s="3" cm="1">
        <f t="array" ref="G197">SUMPRODUCT(IF(((H197-$F$4:$F$515)/$B$10)&lt;=-1,0,IF(((H197-$F$4:$F$515)/$B$10)&gt;=1,1,(15/16)*(((H197-$F$4:$F$515)/$B$10)-(2/3)*((H197-$F$4:$F$515)/$B$10)^3+(1/5)*((H197-$F$4:$F$515)/$B$10)^5+8/15))))/COUNT($F$4:$F$515)</f>
        <v>1.953125E-3</v>
      </c>
      <c r="H197" s="5">
        <f t="shared" ref="H197:H260" si="11">H196+0.0001</f>
        <v>-7.8154939878500265E-2</v>
      </c>
      <c r="K197" s="4">
        <v>0.01</v>
      </c>
      <c r="L197" s="5">
        <f t="shared" si="9"/>
        <v>-1.6954939878499008E-2</v>
      </c>
    </row>
    <row r="198" spans="4:12" ht="14.4" customHeight="1">
      <c r="D198" s="14">
        <v>42284</v>
      </c>
      <c r="E198" s="15">
        <v>5.5419999999999998</v>
      </c>
      <c r="F198" s="15">
        <f t="shared" si="10"/>
        <v>1.8408455086251826E-2</v>
      </c>
      <c r="G198" s="16" cm="1">
        <f t="array" ref="G198">SUMPRODUCT(IF(((H198-$F$4:$F$515)/$B$10)&lt;=-1,0,IF(((H198-$F$4:$F$515)/$B$10)&gt;=1,1,(15/16)*(((H198-$F$4:$F$515)/$B$10)-(2/3)*((H198-$F$4:$F$515)/$B$10)^3+(1/5)*((H198-$F$4:$F$515)/$B$10)^5+8/15))))/COUNT($F$4:$F$515)</f>
        <v>1.953125E-3</v>
      </c>
      <c r="H198" s="15">
        <f t="shared" si="11"/>
        <v>-7.8054939878500262E-2</v>
      </c>
      <c r="K198" s="14">
        <v>0.01</v>
      </c>
      <c r="L198" s="15">
        <f t="shared" si="9"/>
        <v>-1.6954939878499008E-2</v>
      </c>
    </row>
    <row r="199" spans="4:12" ht="14.4" customHeight="1">
      <c r="D199" s="4">
        <v>42285</v>
      </c>
      <c r="E199" s="5">
        <v>5.61</v>
      </c>
      <c r="F199" s="5">
        <f t="shared" si="10"/>
        <v>5.2963398099485403E-3</v>
      </c>
      <c r="G199" s="3" cm="1">
        <f t="array" ref="G199">SUMPRODUCT(IF(((H199-$F$4:$F$515)/$B$10)&lt;=-1,0,IF(((H199-$F$4:$F$515)/$B$10)&gt;=1,1,(15/16)*(((H199-$F$4:$F$515)/$B$10)-(2/3)*((H199-$F$4:$F$515)/$B$10)^3+(1/5)*((H199-$F$4:$F$515)/$B$10)^5+8/15))))/COUNT($F$4:$F$515)</f>
        <v>1.953125E-3</v>
      </c>
      <c r="H199" s="5">
        <f t="shared" si="11"/>
        <v>-7.795493987850026E-2</v>
      </c>
      <c r="K199" s="4">
        <v>0.01</v>
      </c>
      <c r="L199" s="5">
        <f t="shared" si="9"/>
        <v>-1.6954939878499008E-2</v>
      </c>
    </row>
    <row r="200" spans="4:12" ht="14.4" customHeight="1">
      <c r="D200" s="14">
        <v>42286</v>
      </c>
      <c r="E200" s="15">
        <v>5.6740000000000004</v>
      </c>
      <c r="F200" s="15">
        <f t="shared" si="10"/>
        <v>4.9264702036721005E-3</v>
      </c>
      <c r="G200" s="16" cm="1">
        <f t="array" ref="G200">SUMPRODUCT(IF(((H200-$F$4:$F$515)/$B$10)&lt;=-1,0,IF(((H200-$F$4:$F$515)/$B$10)&gt;=1,1,(15/16)*(((H200-$F$4:$F$515)/$B$10)-(2/3)*((H200-$F$4:$F$515)/$B$10)^3+(1/5)*((H200-$F$4:$F$515)/$B$10)^5+8/15))))/COUNT($F$4:$F$515)</f>
        <v>1.953125E-3</v>
      </c>
      <c r="H200" s="15">
        <f t="shared" si="11"/>
        <v>-7.7854939878500257E-2</v>
      </c>
      <c r="K200" s="14">
        <v>0.01</v>
      </c>
      <c r="L200" s="15">
        <f t="shared" si="9"/>
        <v>-1.6954939878499008E-2</v>
      </c>
    </row>
    <row r="201" spans="4:12" ht="14.4" customHeight="1">
      <c r="D201" s="4">
        <v>42289</v>
      </c>
      <c r="E201" s="5">
        <v>5.5469999999999997</v>
      </c>
      <c r="F201" s="5">
        <f t="shared" si="10"/>
        <v>-9.8311655809980598E-3</v>
      </c>
      <c r="G201" s="3" cm="1">
        <f t="array" ref="G201">SUMPRODUCT(IF(((H201-$F$4:$F$515)/$B$10)&lt;=-1,0,IF(((H201-$F$4:$F$515)/$B$10)&gt;=1,1,(15/16)*(((H201-$F$4:$F$515)/$B$10)-(2/3)*((H201-$F$4:$F$515)/$B$10)^3+(1/5)*((H201-$F$4:$F$515)/$B$10)^5+8/15))))/COUNT($F$4:$F$515)</f>
        <v>1.953125E-3</v>
      </c>
      <c r="H201" s="5">
        <f t="shared" si="11"/>
        <v>-7.7754939878500254E-2</v>
      </c>
      <c r="K201" s="4">
        <v>0.01</v>
      </c>
      <c r="L201" s="5">
        <f t="shared" si="9"/>
        <v>-1.6954939878499008E-2</v>
      </c>
    </row>
    <row r="202" spans="4:12" ht="14.4" customHeight="1">
      <c r="D202" s="14">
        <v>42290</v>
      </c>
      <c r="E202" s="15">
        <v>5.4589999999999996</v>
      </c>
      <c r="F202" s="15">
        <f t="shared" si="10"/>
        <v>-6.9450715728742417E-3</v>
      </c>
      <c r="G202" s="16" cm="1">
        <f t="array" ref="G202">SUMPRODUCT(IF(((H202-$F$4:$F$515)/$B$10)&lt;=-1,0,IF(((H202-$F$4:$F$515)/$B$10)&gt;=1,1,(15/16)*(((H202-$F$4:$F$515)/$B$10)-(2/3)*((H202-$F$4:$F$515)/$B$10)^3+(1/5)*((H202-$F$4:$F$515)/$B$10)^5+8/15))))/COUNT($F$4:$F$515)</f>
        <v>1.953125E-3</v>
      </c>
      <c r="H202" s="15">
        <f t="shared" si="11"/>
        <v>-7.7654939878500251E-2</v>
      </c>
      <c r="K202" s="14">
        <v>0.01</v>
      </c>
      <c r="L202" s="15">
        <f t="shared" si="9"/>
        <v>-1.6954939878499008E-2</v>
      </c>
    </row>
    <row r="203" spans="4:12" ht="14.4" customHeight="1">
      <c r="D203" s="4">
        <v>42291</v>
      </c>
      <c r="E203" s="5">
        <v>5.4089999999999998</v>
      </c>
      <c r="F203" s="5">
        <f t="shared" si="10"/>
        <v>-3.9961128638968555E-3</v>
      </c>
      <c r="G203" s="3" cm="1">
        <f t="array" ref="G203">SUMPRODUCT(IF(((H203-$F$4:$F$515)/$B$10)&lt;=-1,0,IF(((H203-$F$4:$F$515)/$B$10)&gt;=1,1,(15/16)*(((H203-$F$4:$F$515)/$B$10)-(2/3)*((H203-$F$4:$F$515)/$B$10)^3+(1/5)*((H203-$F$4:$F$515)/$B$10)^5+8/15))))/COUNT($F$4:$F$515)</f>
        <v>1.953125E-3</v>
      </c>
      <c r="H203" s="5">
        <f t="shared" si="11"/>
        <v>-7.7554939878500248E-2</v>
      </c>
      <c r="K203" s="4">
        <v>0.01</v>
      </c>
      <c r="L203" s="5">
        <f t="shared" si="9"/>
        <v>-1.6954939878499008E-2</v>
      </c>
    </row>
    <row r="204" spans="4:12" ht="14.4" customHeight="1">
      <c r="D204" s="14">
        <v>42292</v>
      </c>
      <c r="E204" s="15">
        <v>5.4189999999999996</v>
      </c>
      <c r="F204" s="15">
        <f t="shared" si="10"/>
        <v>8.0216957032647077E-4</v>
      </c>
      <c r="G204" s="16" cm="1">
        <f t="array" ref="G204">SUMPRODUCT(IF(((H204-$F$4:$F$515)/$B$10)&lt;=-1,0,IF(((H204-$F$4:$F$515)/$B$10)&gt;=1,1,(15/16)*(((H204-$F$4:$F$515)/$B$10)-(2/3)*((H204-$F$4:$F$515)/$B$10)^3+(1/5)*((H204-$F$4:$F$515)/$B$10)^5+8/15))))/COUNT($F$4:$F$515)</f>
        <v>1.953125E-3</v>
      </c>
      <c r="H204" s="15">
        <f t="shared" si="11"/>
        <v>-7.7454939878500245E-2</v>
      </c>
      <c r="K204" s="14">
        <v>0.01</v>
      </c>
      <c r="L204" s="15">
        <f t="shared" si="9"/>
        <v>-1.6954939878499008E-2</v>
      </c>
    </row>
    <row r="205" spans="4:12" ht="14.4" customHeight="1">
      <c r="D205" s="4">
        <v>42293</v>
      </c>
      <c r="E205" s="5">
        <v>5.52</v>
      </c>
      <c r="F205" s="5">
        <f t="shared" si="10"/>
        <v>8.019926716807995E-3</v>
      </c>
      <c r="G205" s="3" cm="1">
        <f t="array" ref="G205">SUMPRODUCT(IF(((H205-$F$4:$F$515)/$B$10)&lt;=-1,0,IF(((H205-$F$4:$F$515)/$B$10)&gt;=1,1,(15/16)*(((H205-$F$4:$F$515)/$B$10)-(2/3)*((H205-$F$4:$F$515)/$B$10)^3+(1/5)*((H205-$F$4:$F$515)/$B$10)^5+8/15))))/COUNT($F$4:$F$515)</f>
        <v>1.953125E-3</v>
      </c>
      <c r="H205" s="5">
        <f t="shared" si="11"/>
        <v>-7.7354939878500242E-2</v>
      </c>
      <c r="K205" s="4">
        <v>0.01</v>
      </c>
      <c r="L205" s="5">
        <f t="shared" si="9"/>
        <v>-1.6954939878499008E-2</v>
      </c>
    </row>
    <row r="206" spans="4:12" ht="14.4" customHeight="1">
      <c r="D206" s="14">
        <v>42296</v>
      </c>
      <c r="E206" s="15">
        <v>5.5090000000000003</v>
      </c>
      <c r="F206" s="15">
        <f t="shared" si="10"/>
        <v>-8.6630535587746329E-4</v>
      </c>
      <c r="G206" s="16" cm="1">
        <f t="array" ref="G206">SUMPRODUCT(IF(((H206-$F$4:$F$515)/$B$10)&lt;=-1,0,IF(((H206-$F$4:$F$515)/$B$10)&gt;=1,1,(15/16)*(((H206-$F$4:$F$515)/$B$10)-(2/3)*((H206-$F$4:$F$515)/$B$10)^3+(1/5)*((H206-$F$4:$F$515)/$B$10)^5+8/15))))/COUNT($F$4:$F$515)</f>
        <v>1.953125E-3</v>
      </c>
      <c r="H206" s="15">
        <f t="shared" si="11"/>
        <v>-7.7254939878500239E-2</v>
      </c>
      <c r="K206" s="14">
        <v>0.01</v>
      </c>
      <c r="L206" s="15">
        <f t="shared" si="9"/>
        <v>-1.6954939878499008E-2</v>
      </c>
    </row>
    <row r="207" spans="4:12" ht="14.4" customHeight="1">
      <c r="D207" s="4">
        <v>42297</v>
      </c>
      <c r="E207" s="5">
        <v>5.3970000000000002</v>
      </c>
      <c r="F207" s="5">
        <f t="shared" si="10"/>
        <v>-8.9203543081076125E-3</v>
      </c>
      <c r="G207" s="3" cm="1">
        <f t="array" ref="G207">SUMPRODUCT(IF(((H207-$F$4:$F$515)/$B$10)&lt;=-1,0,IF(((H207-$F$4:$F$515)/$B$10)&gt;=1,1,(15/16)*(((H207-$F$4:$F$515)/$B$10)-(2/3)*((H207-$F$4:$F$515)/$B$10)^3+(1/5)*((H207-$F$4:$F$515)/$B$10)^5+8/15))))/COUNT($F$4:$F$515)</f>
        <v>1.953125E-3</v>
      </c>
      <c r="H207" s="5">
        <f t="shared" si="11"/>
        <v>-7.7154939878500237E-2</v>
      </c>
      <c r="K207" s="4">
        <v>0.01</v>
      </c>
      <c r="L207" s="5">
        <f t="shared" si="9"/>
        <v>-1.6954939878499008E-2</v>
      </c>
    </row>
    <row r="208" spans="4:12" ht="14.4" customHeight="1">
      <c r="D208" s="14">
        <v>42298</v>
      </c>
      <c r="E208" s="15">
        <v>5.3860000000000001</v>
      </c>
      <c r="F208" s="15">
        <f t="shared" si="10"/>
        <v>-8.8606898972217287E-4</v>
      </c>
      <c r="G208" s="16" cm="1">
        <f t="array" ref="G208">SUMPRODUCT(IF(((H208-$F$4:$F$515)/$B$10)&lt;=-1,0,IF(((H208-$F$4:$F$515)/$B$10)&gt;=1,1,(15/16)*(((H208-$F$4:$F$515)/$B$10)-(2/3)*((H208-$F$4:$F$515)/$B$10)^3+(1/5)*((H208-$F$4:$F$515)/$B$10)^5+8/15))))/COUNT($F$4:$F$515)</f>
        <v>1.953125E-3</v>
      </c>
      <c r="H208" s="15">
        <f t="shared" si="11"/>
        <v>-7.7054939878500234E-2</v>
      </c>
      <c r="K208" s="14">
        <v>0.01</v>
      </c>
      <c r="L208" s="15">
        <f t="shared" si="9"/>
        <v>-1.6954939878499008E-2</v>
      </c>
    </row>
    <row r="209" spans="4:12" ht="14.4" customHeight="1">
      <c r="D209" s="4">
        <v>42299</v>
      </c>
      <c r="E209" s="5">
        <v>5.4690000000000003</v>
      </c>
      <c r="F209" s="5">
        <f t="shared" si="10"/>
        <v>6.6415742991471089E-3</v>
      </c>
      <c r="G209" s="3" cm="1">
        <f t="array" ref="G209">SUMPRODUCT(IF(((H209-$F$4:$F$515)/$B$10)&lt;=-1,0,IF(((H209-$F$4:$F$515)/$B$10)&gt;=1,1,(15/16)*(((H209-$F$4:$F$515)/$B$10)-(2/3)*((H209-$F$4:$F$515)/$B$10)^3+(1/5)*((H209-$F$4:$F$515)/$B$10)^5+8/15))))/COUNT($F$4:$F$515)</f>
        <v>1.953125E-3</v>
      </c>
      <c r="H209" s="5">
        <f t="shared" si="11"/>
        <v>-7.6954939878500231E-2</v>
      </c>
      <c r="K209" s="4">
        <v>0.01</v>
      </c>
      <c r="L209" s="5">
        <f t="shared" si="9"/>
        <v>-1.6954939878499008E-2</v>
      </c>
    </row>
    <row r="210" spans="4:12" ht="14.4" customHeight="1">
      <c r="D210" s="14">
        <v>42300</v>
      </c>
      <c r="E210" s="15">
        <v>5.6379999999999999</v>
      </c>
      <c r="F210" s="15">
        <f t="shared" si="10"/>
        <v>1.3217148160944724E-2</v>
      </c>
      <c r="G210" s="16" cm="1">
        <f t="array" ref="G210">SUMPRODUCT(IF(((H210-$F$4:$F$515)/$B$10)&lt;=-1,0,IF(((H210-$F$4:$F$515)/$B$10)&gt;=1,1,(15/16)*(((H210-$F$4:$F$515)/$B$10)-(2/3)*((H210-$F$4:$F$515)/$B$10)^3+(1/5)*((H210-$F$4:$F$515)/$B$10)^5+8/15))))/COUNT($F$4:$F$515)</f>
        <v>1.953125E-3</v>
      </c>
      <c r="H210" s="15">
        <f t="shared" si="11"/>
        <v>-7.6854939878500228E-2</v>
      </c>
      <c r="K210" s="14">
        <v>0.01</v>
      </c>
      <c r="L210" s="15">
        <f t="shared" si="9"/>
        <v>-1.6954939878499008E-2</v>
      </c>
    </row>
    <row r="211" spans="4:12" ht="14.4" customHeight="1">
      <c r="D211" s="4">
        <v>42303</v>
      </c>
      <c r="E211" s="5">
        <v>5.6070000000000002</v>
      </c>
      <c r="F211" s="5">
        <f t="shared" si="10"/>
        <v>-2.3945154370890198E-3</v>
      </c>
      <c r="G211" s="3" cm="1">
        <f t="array" ref="G211">SUMPRODUCT(IF(((H211-$F$4:$F$515)/$B$10)&lt;=-1,0,IF(((H211-$F$4:$F$515)/$B$10)&gt;=1,1,(15/16)*(((H211-$F$4:$F$515)/$B$10)-(2/3)*((H211-$F$4:$F$515)/$B$10)^3+(1/5)*((H211-$F$4:$F$515)/$B$10)^5+8/15))))/COUNT($F$4:$F$515)</f>
        <v>1.953125E-3</v>
      </c>
      <c r="H211" s="5">
        <f t="shared" si="11"/>
        <v>-7.6754939878500225E-2</v>
      </c>
      <c r="K211" s="4">
        <v>0.01</v>
      </c>
      <c r="L211" s="5">
        <f t="shared" si="9"/>
        <v>-1.6954939878499008E-2</v>
      </c>
    </row>
    <row r="212" spans="4:12" ht="14.4" customHeight="1">
      <c r="D212" s="14">
        <v>42304</v>
      </c>
      <c r="E212" s="15">
        <v>5.5789999999999997</v>
      </c>
      <c r="F212" s="15">
        <f t="shared" si="10"/>
        <v>-2.1741946881253657E-3</v>
      </c>
      <c r="G212" s="16" cm="1">
        <f t="array" ref="G212">SUMPRODUCT(IF(((H212-$F$4:$F$515)/$B$10)&lt;=-1,0,IF(((H212-$F$4:$F$515)/$B$10)&gt;=1,1,(15/16)*(((H212-$F$4:$F$515)/$B$10)-(2/3)*((H212-$F$4:$F$515)/$B$10)^3+(1/5)*((H212-$F$4:$F$515)/$B$10)^5+8/15))))/COUNT($F$4:$F$515)</f>
        <v>1.953125E-3</v>
      </c>
      <c r="H212" s="15">
        <f t="shared" si="11"/>
        <v>-7.6654939878500222E-2</v>
      </c>
      <c r="K212" s="14">
        <v>0.01</v>
      </c>
      <c r="L212" s="15">
        <f t="shared" si="9"/>
        <v>-1.6954939878499008E-2</v>
      </c>
    </row>
    <row r="213" spans="4:12" ht="14.4" customHeight="1">
      <c r="D213" s="4">
        <v>42305</v>
      </c>
      <c r="E213" s="5">
        <v>5.601</v>
      </c>
      <c r="F213" s="5">
        <f t="shared" si="10"/>
        <v>1.7092112583715999E-3</v>
      </c>
      <c r="G213" s="3" cm="1">
        <f t="array" ref="G213">SUMPRODUCT(IF(((H213-$F$4:$F$515)/$B$10)&lt;=-1,0,IF(((H213-$F$4:$F$515)/$B$10)&gt;=1,1,(15/16)*(((H213-$F$4:$F$515)/$B$10)-(2/3)*((H213-$F$4:$F$515)/$B$10)^3+(1/5)*((H213-$F$4:$F$515)/$B$10)^5+8/15))))/COUNT($F$4:$F$515)</f>
        <v>1.953125E-3</v>
      </c>
      <c r="H213" s="5">
        <f t="shared" si="11"/>
        <v>-7.6554939878500219E-2</v>
      </c>
      <c r="K213" s="4">
        <v>0.01</v>
      </c>
      <c r="L213" s="5">
        <f t="shared" si="9"/>
        <v>-1.6954939878499008E-2</v>
      </c>
    </row>
    <row r="214" spans="4:12" ht="14.4" customHeight="1">
      <c r="D214" s="14">
        <v>42306</v>
      </c>
      <c r="E214" s="15">
        <v>5.508</v>
      </c>
      <c r="F214" s="15">
        <f t="shared" si="10"/>
        <v>-7.2716410838546946E-3</v>
      </c>
      <c r="G214" s="16" cm="1">
        <f t="array" ref="G214">SUMPRODUCT(IF(((H214-$F$4:$F$515)/$B$10)&lt;=-1,0,IF(((H214-$F$4:$F$515)/$B$10)&gt;=1,1,(15/16)*(((H214-$F$4:$F$515)/$B$10)-(2/3)*((H214-$F$4:$F$515)/$B$10)^3+(1/5)*((H214-$F$4:$F$515)/$B$10)^5+8/15))))/COUNT($F$4:$F$515)</f>
        <v>1.953125E-3</v>
      </c>
      <c r="H214" s="15">
        <f t="shared" si="11"/>
        <v>-7.6454939878500217E-2</v>
      </c>
      <c r="K214" s="14">
        <v>0.01</v>
      </c>
      <c r="L214" s="15">
        <f t="shared" si="9"/>
        <v>-1.6954939878499008E-2</v>
      </c>
    </row>
    <row r="215" spans="4:12" ht="14.4" customHeight="1">
      <c r="D215" s="4">
        <v>42307</v>
      </c>
      <c r="E215" s="5">
        <v>5.58</v>
      </c>
      <c r="F215" s="5">
        <f t="shared" si="10"/>
        <v>5.6402673526926616E-3</v>
      </c>
      <c r="G215" s="3" cm="1">
        <f t="array" ref="G215">SUMPRODUCT(IF(((H215-$F$4:$F$515)/$B$10)&lt;=-1,0,IF(((H215-$F$4:$F$515)/$B$10)&gt;=1,1,(15/16)*(((H215-$F$4:$F$515)/$B$10)-(2/3)*((H215-$F$4:$F$515)/$B$10)^3+(1/5)*((H215-$F$4:$F$515)/$B$10)^5+8/15))))/COUNT($F$4:$F$515)</f>
        <v>1.953125E-3</v>
      </c>
      <c r="H215" s="5">
        <f t="shared" si="11"/>
        <v>-7.6354939878500214E-2</v>
      </c>
      <c r="K215" s="4">
        <v>0.01</v>
      </c>
      <c r="L215" s="5">
        <f t="shared" si="9"/>
        <v>-1.6954939878499008E-2</v>
      </c>
    </row>
    <row r="216" spans="4:12" ht="14.4" customHeight="1">
      <c r="D216" s="14">
        <v>42310</v>
      </c>
      <c r="E216" s="15">
        <v>5.53</v>
      </c>
      <c r="F216" s="15">
        <f t="shared" si="10"/>
        <v>-3.9090676328804551E-3</v>
      </c>
      <c r="G216" s="16" cm="1">
        <f t="array" ref="G216">SUMPRODUCT(IF(((H216-$F$4:$F$515)/$B$10)&lt;=-1,0,IF(((H216-$F$4:$F$515)/$B$10)&gt;=1,1,(15/16)*(((H216-$F$4:$F$515)/$B$10)-(2/3)*((H216-$F$4:$F$515)/$B$10)^3+(1/5)*((H216-$F$4:$F$515)/$B$10)^5+8/15))))/COUNT($F$4:$F$515)</f>
        <v>1.953125E-3</v>
      </c>
      <c r="H216" s="15">
        <f t="shared" si="11"/>
        <v>-7.6254939878500211E-2</v>
      </c>
      <c r="K216" s="14">
        <v>0.01</v>
      </c>
      <c r="L216" s="15">
        <f t="shared" si="9"/>
        <v>-1.6954939878499008E-2</v>
      </c>
    </row>
    <row r="217" spans="4:12" ht="14.4" customHeight="1">
      <c r="D217" s="4">
        <v>42311</v>
      </c>
      <c r="E217" s="5">
        <v>5.476</v>
      </c>
      <c r="F217" s="5">
        <f t="shared" si="10"/>
        <v>-4.2616918427459041E-3</v>
      </c>
      <c r="G217" s="3" cm="1">
        <f t="array" ref="G217">SUMPRODUCT(IF(((H217-$F$4:$F$515)/$B$10)&lt;=-1,0,IF(((H217-$F$4:$F$515)/$B$10)&gt;=1,1,(15/16)*(((H217-$F$4:$F$515)/$B$10)-(2/3)*((H217-$F$4:$F$515)/$B$10)^3+(1/5)*((H217-$F$4:$F$515)/$B$10)^5+8/15))))/COUNT($F$4:$F$515)</f>
        <v>1.953125E-3</v>
      </c>
      <c r="H217" s="5">
        <f t="shared" si="11"/>
        <v>-7.6154939878500208E-2</v>
      </c>
      <c r="K217" s="4">
        <v>0.01</v>
      </c>
      <c r="L217" s="5">
        <f t="shared" si="9"/>
        <v>-1.6954939878499008E-2</v>
      </c>
    </row>
    <row r="218" spans="4:12" ht="14.4" customHeight="1">
      <c r="D218" s="14">
        <v>42312</v>
      </c>
      <c r="E218" s="15">
        <v>5.5090000000000003</v>
      </c>
      <c r="F218" s="15">
        <f t="shared" si="10"/>
        <v>2.6093329113690343E-3</v>
      </c>
      <c r="G218" s="16" cm="1">
        <f t="array" ref="G218">SUMPRODUCT(IF(((H218-$F$4:$F$515)/$B$10)&lt;=-1,0,IF(((H218-$F$4:$F$515)/$B$10)&gt;=1,1,(15/16)*(((H218-$F$4:$F$515)/$B$10)-(2/3)*((H218-$F$4:$F$515)/$B$10)^3+(1/5)*((H218-$F$4:$F$515)/$B$10)^5+8/15))))/COUNT($F$4:$F$515)</f>
        <v>1.953125E-3</v>
      </c>
      <c r="H218" s="15">
        <f t="shared" si="11"/>
        <v>-7.6054939878500205E-2</v>
      </c>
      <c r="K218" s="14">
        <v>0.01</v>
      </c>
      <c r="L218" s="15">
        <f t="shared" si="9"/>
        <v>-1.6954939878499008E-2</v>
      </c>
    </row>
    <row r="219" spans="4:12" ht="14.4" customHeight="1">
      <c r="D219" s="4">
        <v>42313</v>
      </c>
      <c r="E219" s="5">
        <v>5.7930000000000001</v>
      </c>
      <c r="F219" s="5">
        <f t="shared" si="10"/>
        <v>2.1830756125735751E-2</v>
      </c>
      <c r="G219" s="3" cm="1">
        <f t="array" ref="G219">SUMPRODUCT(IF(((H219-$F$4:$F$515)/$B$10)&lt;=-1,0,IF(((H219-$F$4:$F$515)/$B$10)&gt;=1,1,(15/16)*(((H219-$F$4:$F$515)/$B$10)-(2/3)*((H219-$F$4:$F$515)/$B$10)^3+(1/5)*((H219-$F$4:$F$515)/$B$10)^5+8/15))))/COUNT($F$4:$F$515)</f>
        <v>1.953125E-3</v>
      </c>
      <c r="H219" s="5">
        <f t="shared" si="11"/>
        <v>-7.5954939878500202E-2</v>
      </c>
      <c r="K219" s="4">
        <v>0.01</v>
      </c>
      <c r="L219" s="5">
        <f t="shared" si="9"/>
        <v>-1.6954939878499008E-2</v>
      </c>
    </row>
    <row r="220" spans="4:12" ht="14.4" customHeight="1">
      <c r="D220" s="14">
        <v>42314</v>
      </c>
      <c r="E220" s="15">
        <v>5.9370000000000003</v>
      </c>
      <c r="F220" s="15">
        <f t="shared" si="10"/>
        <v>1.0663520427001553E-2</v>
      </c>
      <c r="G220" s="16" cm="1">
        <f t="array" ref="G220">SUMPRODUCT(IF(((H220-$F$4:$F$515)/$B$10)&lt;=-1,0,IF(((H220-$F$4:$F$515)/$B$10)&gt;=1,1,(15/16)*(((H220-$F$4:$F$515)/$B$10)-(2/3)*((H220-$F$4:$F$515)/$B$10)^3+(1/5)*((H220-$F$4:$F$515)/$B$10)^5+8/15))))/COUNT($F$4:$F$515)</f>
        <v>1.953125E-3</v>
      </c>
      <c r="H220" s="15">
        <f t="shared" si="11"/>
        <v>-7.5854939878500199E-2</v>
      </c>
      <c r="K220" s="14">
        <v>0.01</v>
      </c>
      <c r="L220" s="15">
        <f t="shared" si="9"/>
        <v>-1.6954939878499008E-2</v>
      </c>
    </row>
    <row r="221" spans="4:12" ht="14.4" customHeight="1">
      <c r="D221" s="4">
        <v>42317</v>
      </c>
      <c r="E221" s="5">
        <v>5.8120000000000003</v>
      </c>
      <c r="F221" s="5">
        <f t="shared" si="10"/>
        <v>-9.241443300074802E-3</v>
      </c>
      <c r="G221" s="3" cm="1">
        <f t="array" ref="G221">SUMPRODUCT(IF(((H221-$F$4:$F$515)/$B$10)&lt;=-1,0,IF(((H221-$F$4:$F$515)/$B$10)&gt;=1,1,(15/16)*(((H221-$F$4:$F$515)/$B$10)-(2/3)*((H221-$F$4:$F$515)/$B$10)^3+(1/5)*((H221-$F$4:$F$515)/$B$10)^5+8/15))))/COUNT($F$4:$F$515)</f>
        <v>1.953125E-3</v>
      </c>
      <c r="H221" s="5">
        <f t="shared" si="11"/>
        <v>-7.5754939878500197E-2</v>
      </c>
      <c r="K221" s="4">
        <v>0.01</v>
      </c>
      <c r="L221" s="5">
        <f t="shared" si="9"/>
        <v>-1.6954939878499008E-2</v>
      </c>
    </row>
    <row r="222" spans="4:12" ht="14.4" customHeight="1">
      <c r="D222" s="14">
        <v>42318</v>
      </c>
      <c r="E222" s="15">
        <v>5.7640000000000002</v>
      </c>
      <c r="F222" s="15">
        <f t="shared" si="10"/>
        <v>-3.6016334840322352E-3</v>
      </c>
      <c r="G222" s="16" cm="1">
        <f t="array" ref="G222">SUMPRODUCT(IF(((H222-$F$4:$F$515)/$B$10)&lt;=-1,0,IF(((H222-$F$4:$F$515)/$B$10)&gt;=1,1,(15/16)*(((H222-$F$4:$F$515)/$B$10)-(2/3)*((H222-$F$4:$F$515)/$B$10)^3+(1/5)*((H222-$F$4:$F$515)/$B$10)^5+8/15))))/COUNT($F$4:$F$515)</f>
        <v>1.953125E-3</v>
      </c>
      <c r="H222" s="15">
        <f t="shared" si="11"/>
        <v>-7.5654939878500194E-2</v>
      </c>
      <c r="K222" s="14">
        <v>0.01</v>
      </c>
      <c r="L222" s="15">
        <f t="shared" si="9"/>
        <v>-1.6954939878499008E-2</v>
      </c>
    </row>
    <row r="223" spans="4:12" ht="14.4" customHeight="1">
      <c r="D223" s="4">
        <v>42319</v>
      </c>
      <c r="E223" s="5">
        <v>5.8609999999999998</v>
      </c>
      <c r="F223" s="5">
        <f t="shared" si="10"/>
        <v>7.2477492396671537E-3</v>
      </c>
      <c r="G223" s="3" cm="1">
        <f t="array" ref="G223">SUMPRODUCT(IF(((H223-$F$4:$F$515)/$B$10)&lt;=-1,0,IF(((H223-$F$4:$F$515)/$B$10)&gt;=1,1,(15/16)*(((H223-$F$4:$F$515)/$B$10)-(2/3)*((H223-$F$4:$F$515)/$B$10)^3+(1/5)*((H223-$F$4:$F$515)/$B$10)^5+8/15))))/COUNT($F$4:$F$515)</f>
        <v>1.953125E-3</v>
      </c>
      <c r="H223" s="5">
        <f t="shared" si="11"/>
        <v>-7.5554939878500191E-2</v>
      </c>
      <c r="K223" s="4">
        <v>0.01</v>
      </c>
      <c r="L223" s="5">
        <f t="shared" si="9"/>
        <v>-1.6954939878499008E-2</v>
      </c>
    </row>
    <row r="224" spans="4:12" ht="14.4" customHeight="1">
      <c r="D224" s="14">
        <v>42320</v>
      </c>
      <c r="E224" s="15">
        <v>5.7039999999999997</v>
      </c>
      <c r="F224" s="15">
        <f t="shared" si="10"/>
        <v>-1.179220453780973E-2</v>
      </c>
      <c r="G224" s="16" cm="1">
        <f t="array" ref="G224">SUMPRODUCT(IF(((H224-$F$4:$F$515)/$B$10)&lt;=-1,0,IF(((H224-$F$4:$F$515)/$B$10)&gt;=1,1,(15/16)*(((H224-$F$4:$F$515)/$B$10)-(2/3)*((H224-$F$4:$F$515)/$B$10)^3+(1/5)*((H224-$F$4:$F$515)/$B$10)^5+8/15))))/COUNT($F$4:$F$515)</f>
        <v>1.953125E-3</v>
      </c>
      <c r="H224" s="15">
        <f t="shared" si="11"/>
        <v>-7.5454939878500188E-2</v>
      </c>
      <c r="K224" s="14">
        <v>0.01</v>
      </c>
      <c r="L224" s="15">
        <f t="shared" si="9"/>
        <v>-1.6954939878499008E-2</v>
      </c>
    </row>
    <row r="225" spans="4:12" ht="14.4" customHeight="1">
      <c r="D225" s="4">
        <v>42321</v>
      </c>
      <c r="E225" s="5">
        <v>5.6639999999999997</v>
      </c>
      <c r="F225" s="5">
        <f t="shared" si="10"/>
        <v>-3.0562721620965524E-3</v>
      </c>
      <c r="G225" s="3" cm="1">
        <f t="array" ref="G225">SUMPRODUCT(IF(((H225-$F$4:$F$515)/$B$10)&lt;=-1,0,IF(((H225-$F$4:$F$515)/$B$10)&gt;=1,1,(15/16)*(((H225-$F$4:$F$515)/$B$10)-(2/3)*((H225-$F$4:$F$515)/$B$10)^3+(1/5)*((H225-$F$4:$F$515)/$B$10)^5+8/15))))/COUNT($F$4:$F$515)</f>
        <v>1.953125E-3</v>
      </c>
      <c r="H225" s="5">
        <f t="shared" si="11"/>
        <v>-7.5354939878500185E-2</v>
      </c>
      <c r="K225" s="4">
        <v>0.01</v>
      </c>
      <c r="L225" s="5">
        <f t="shared" si="9"/>
        <v>-1.6954939878499008E-2</v>
      </c>
    </row>
    <row r="226" spans="4:12" ht="14.4" customHeight="1">
      <c r="D226" s="14">
        <v>42324</v>
      </c>
      <c r="E226" s="15">
        <v>5.6050000000000004</v>
      </c>
      <c r="F226" s="15">
        <f t="shared" si="10"/>
        <v>-4.5476277507205823E-3</v>
      </c>
      <c r="G226" s="16" cm="1">
        <f t="array" ref="G226">SUMPRODUCT(IF(((H226-$F$4:$F$515)/$B$10)&lt;=-1,0,IF(((H226-$F$4:$F$515)/$B$10)&gt;=1,1,(15/16)*(((H226-$F$4:$F$515)/$B$10)-(2/3)*((H226-$F$4:$F$515)/$B$10)^3+(1/5)*((H226-$F$4:$F$515)/$B$10)^5+8/15))))/COUNT($F$4:$F$515)</f>
        <v>1.953125E-3</v>
      </c>
      <c r="H226" s="15">
        <f t="shared" si="11"/>
        <v>-7.5254939878500182E-2</v>
      </c>
      <c r="K226" s="14">
        <v>0.01</v>
      </c>
      <c r="L226" s="15">
        <f t="shared" si="9"/>
        <v>-1.6954939878499008E-2</v>
      </c>
    </row>
    <row r="227" spans="4:12" ht="14.4" customHeight="1">
      <c r="D227" s="4">
        <v>42325</v>
      </c>
      <c r="E227" s="5">
        <v>5.6989999999999998</v>
      </c>
      <c r="F227" s="5">
        <f t="shared" si="10"/>
        <v>7.2230400428386051E-3</v>
      </c>
      <c r="G227" s="3" cm="1">
        <f t="array" ref="G227">SUMPRODUCT(IF(((H227-$F$4:$F$515)/$B$10)&lt;=-1,0,IF(((H227-$F$4:$F$515)/$B$10)&gt;=1,1,(15/16)*(((H227-$F$4:$F$515)/$B$10)-(2/3)*((H227-$F$4:$F$515)/$B$10)^3+(1/5)*((H227-$F$4:$F$515)/$B$10)^5+8/15))))/COUNT($F$4:$F$515)</f>
        <v>1.953125E-3</v>
      </c>
      <c r="H227" s="5">
        <f t="shared" si="11"/>
        <v>-7.5154939878500179E-2</v>
      </c>
      <c r="K227" s="4">
        <v>0.01</v>
      </c>
      <c r="L227" s="5">
        <f t="shared" si="9"/>
        <v>-1.6954939878499008E-2</v>
      </c>
    </row>
    <row r="228" spans="4:12" ht="14.4" customHeight="1">
      <c r="D228" s="14">
        <v>42326</v>
      </c>
      <c r="E228" s="15">
        <v>5.6859999999999999</v>
      </c>
      <c r="F228" s="15">
        <f t="shared" si="10"/>
        <v>-9.9180161940724864E-4</v>
      </c>
      <c r="G228" s="16" cm="1">
        <f t="array" ref="G228">SUMPRODUCT(IF(((H228-$F$4:$F$515)/$B$10)&lt;=-1,0,IF(((H228-$F$4:$F$515)/$B$10)&gt;=1,1,(15/16)*(((H228-$F$4:$F$515)/$B$10)-(2/3)*((H228-$F$4:$F$515)/$B$10)^3+(1/5)*((H228-$F$4:$F$515)/$B$10)^5+8/15))))/COUNT($F$4:$F$515)</f>
        <v>1.953125E-3</v>
      </c>
      <c r="H228" s="15">
        <f t="shared" si="11"/>
        <v>-7.5054939878500176E-2</v>
      </c>
      <c r="K228" s="14">
        <v>0.01</v>
      </c>
      <c r="L228" s="15">
        <f t="shared" si="9"/>
        <v>-1.6954939878499008E-2</v>
      </c>
    </row>
    <row r="229" spans="4:12" ht="14.4" customHeight="1">
      <c r="D229" s="4">
        <v>42327</v>
      </c>
      <c r="E229" s="5">
        <v>5.7640000000000002</v>
      </c>
      <c r="F229" s="5">
        <f t="shared" si="10"/>
        <v>5.9171167875283794E-3</v>
      </c>
      <c r="G229" s="3" cm="1">
        <f t="array" ref="G229">SUMPRODUCT(IF(((H229-$F$4:$F$515)/$B$10)&lt;=-1,0,IF(((H229-$F$4:$F$515)/$B$10)&gt;=1,1,(15/16)*(((H229-$F$4:$F$515)/$B$10)-(2/3)*((H229-$F$4:$F$515)/$B$10)^3+(1/5)*((H229-$F$4:$F$515)/$B$10)^5+8/15))))/COUNT($F$4:$F$515)</f>
        <v>1.953125E-3</v>
      </c>
      <c r="H229" s="5">
        <f t="shared" si="11"/>
        <v>-7.4954939878500174E-2</v>
      </c>
      <c r="K229" s="4">
        <v>0.01</v>
      </c>
      <c r="L229" s="5">
        <f t="shared" si="9"/>
        <v>-1.6954939878499008E-2</v>
      </c>
    </row>
    <row r="230" spans="4:12" ht="14.4" customHeight="1">
      <c r="D230" s="14">
        <v>42328</v>
      </c>
      <c r="E230" s="15">
        <v>5.6</v>
      </c>
      <c r="F230" s="15">
        <f t="shared" si="10"/>
        <v>-1.2535945135751334E-2</v>
      </c>
      <c r="G230" s="16" cm="1">
        <f t="array" ref="G230">SUMPRODUCT(IF(((H230-$F$4:$F$515)/$B$10)&lt;=-1,0,IF(((H230-$F$4:$F$515)/$B$10)&gt;=1,1,(15/16)*(((H230-$F$4:$F$515)/$B$10)-(2/3)*((H230-$F$4:$F$515)/$B$10)^3+(1/5)*((H230-$F$4:$F$515)/$B$10)^5+8/15))))/COUNT($F$4:$F$515)</f>
        <v>1.953125E-3</v>
      </c>
      <c r="H230" s="15">
        <f t="shared" si="11"/>
        <v>-7.4854939878500171E-2</v>
      </c>
      <c r="K230" s="14">
        <v>0.01</v>
      </c>
      <c r="L230" s="15">
        <f t="shared" si="9"/>
        <v>-1.6954939878499008E-2</v>
      </c>
    </row>
    <row r="231" spans="4:12" ht="14.4" customHeight="1">
      <c r="D231" s="4">
        <v>42331</v>
      </c>
      <c r="E231" s="5">
        <v>5.6159999999999997</v>
      </c>
      <c r="F231" s="5">
        <f t="shared" si="10"/>
        <v>1.2390721155484605E-3</v>
      </c>
      <c r="G231" s="3" cm="1">
        <f t="array" ref="G231">SUMPRODUCT(IF(((H231-$F$4:$F$515)/$B$10)&lt;=-1,0,IF(((H231-$F$4:$F$515)/$B$10)&gt;=1,1,(15/16)*(((H231-$F$4:$F$515)/$B$10)-(2/3)*((H231-$F$4:$F$515)/$B$10)^3+(1/5)*((H231-$F$4:$F$515)/$B$10)^5+8/15))))/COUNT($F$4:$F$515)</f>
        <v>1.953125E-3</v>
      </c>
      <c r="H231" s="5">
        <f t="shared" si="11"/>
        <v>-7.4754939878500168E-2</v>
      </c>
      <c r="K231" s="4">
        <v>0.01</v>
      </c>
      <c r="L231" s="5">
        <f t="shared" si="9"/>
        <v>-1.6954939878499008E-2</v>
      </c>
    </row>
    <row r="232" spans="4:12" ht="14.4" customHeight="1">
      <c r="D232" s="14">
        <v>42332</v>
      </c>
      <c r="E232" s="15">
        <v>5.569</v>
      </c>
      <c r="F232" s="15">
        <f t="shared" si="10"/>
        <v>-3.6498812319897488E-3</v>
      </c>
      <c r="G232" s="16" cm="1">
        <f t="array" ref="G232">SUMPRODUCT(IF(((H232-$F$4:$F$515)/$B$10)&lt;=-1,0,IF(((H232-$F$4:$F$515)/$B$10)&gt;=1,1,(15/16)*(((H232-$F$4:$F$515)/$B$10)-(2/3)*((H232-$F$4:$F$515)/$B$10)^3+(1/5)*((H232-$F$4:$F$515)/$B$10)^5+8/15))))/COUNT($F$4:$F$515)</f>
        <v>1.953125E-3</v>
      </c>
      <c r="H232" s="15">
        <f t="shared" si="11"/>
        <v>-7.4654939878500165E-2</v>
      </c>
      <c r="K232" s="14">
        <v>0.01</v>
      </c>
      <c r="L232" s="15">
        <f t="shared" si="9"/>
        <v>-1.6954939878499008E-2</v>
      </c>
    </row>
    <row r="233" spans="4:12" ht="14.4" customHeight="1">
      <c r="D233" s="4">
        <v>42333</v>
      </c>
      <c r="E233" s="5">
        <v>5.5810000000000004</v>
      </c>
      <c r="F233" s="5">
        <f t="shared" si="10"/>
        <v>9.3480462690139496E-4</v>
      </c>
      <c r="G233" s="3" cm="1">
        <f t="array" ref="G233">SUMPRODUCT(IF(((H233-$F$4:$F$515)/$B$10)&lt;=-1,0,IF(((H233-$F$4:$F$515)/$B$10)&gt;=1,1,(15/16)*(((H233-$F$4:$F$515)/$B$10)-(2/3)*((H233-$F$4:$F$515)/$B$10)^3+(1/5)*((H233-$F$4:$F$515)/$B$10)^5+8/15))))/COUNT($F$4:$F$515)</f>
        <v>1.953125E-3</v>
      </c>
      <c r="H233" s="5">
        <f t="shared" si="11"/>
        <v>-7.4554939878500162E-2</v>
      </c>
      <c r="K233" s="4">
        <v>0.01</v>
      </c>
      <c r="L233" s="5">
        <f t="shared" si="9"/>
        <v>-1.6954939878499008E-2</v>
      </c>
    </row>
    <row r="234" spans="4:12" ht="14.4" customHeight="1">
      <c r="D234" s="14">
        <v>42334</v>
      </c>
      <c r="E234" s="15">
        <v>5.7190000000000003</v>
      </c>
      <c r="F234" s="15">
        <f t="shared" si="10"/>
        <v>1.060807403001186E-2</v>
      </c>
      <c r="G234" s="16" cm="1">
        <f t="array" ref="G234">SUMPRODUCT(IF(((H234-$F$4:$F$515)/$B$10)&lt;=-1,0,IF(((H234-$F$4:$F$515)/$B$10)&gt;=1,1,(15/16)*(((H234-$F$4:$F$515)/$B$10)-(2/3)*((H234-$F$4:$F$515)/$B$10)^3+(1/5)*((H234-$F$4:$F$515)/$B$10)^5+8/15))))/COUNT($F$4:$F$515)</f>
        <v>1.953125E-3</v>
      </c>
      <c r="H234" s="15">
        <f t="shared" si="11"/>
        <v>-7.4454939878500159E-2</v>
      </c>
      <c r="K234" s="14">
        <v>0.01</v>
      </c>
      <c r="L234" s="15">
        <f t="shared" si="9"/>
        <v>-1.6954939878499008E-2</v>
      </c>
    </row>
    <row r="235" spans="4:12" ht="14.4" customHeight="1">
      <c r="D235" s="4">
        <v>42335</v>
      </c>
      <c r="E235" s="5">
        <v>5.6619999999999999</v>
      </c>
      <c r="F235" s="5">
        <f t="shared" si="10"/>
        <v>-4.3502315175881524E-3</v>
      </c>
      <c r="G235" s="3" cm="1">
        <f t="array" ref="G235">SUMPRODUCT(IF(((H235-$F$4:$F$515)/$B$10)&lt;=-1,0,IF(((H235-$F$4:$F$515)/$B$10)&gt;=1,1,(15/16)*(((H235-$F$4:$F$515)/$B$10)-(2/3)*((H235-$F$4:$F$515)/$B$10)^3+(1/5)*((H235-$F$4:$F$515)/$B$10)^5+8/15))))/COUNT($F$4:$F$515)</f>
        <v>1.953125E-3</v>
      </c>
      <c r="H235" s="5">
        <f t="shared" si="11"/>
        <v>-7.4354939878500156E-2</v>
      </c>
      <c r="K235" s="4">
        <v>0.01</v>
      </c>
      <c r="L235" s="5">
        <f t="shared" si="9"/>
        <v>-1.6954939878499008E-2</v>
      </c>
    </row>
    <row r="236" spans="4:12" ht="14.4" customHeight="1">
      <c r="D236" s="14">
        <v>42338</v>
      </c>
      <c r="E236" s="15">
        <v>5.74</v>
      </c>
      <c r="F236" s="15">
        <f t="shared" si="10"/>
        <v>5.9420273688893148E-3</v>
      </c>
      <c r="G236" s="16" cm="1">
        <f t="array" ref="G236">SUMPRODUCT(IF(((H236-$F$4:$F$515)/$B$10)&lt;=-1,0,IF(((H236-$F$4:$F$515)/$B$10)&gt;=1,1,(15/16)*(((H236-$F$4:$F$515)/$B$10)-(2/3)*((H236-$F$4:$F$515)/$B$10)^3+(1/5)*((H236-$F$4:$F$515)/$B$10)^5+8/15))))/COUNT($F$4:$F$515)</f>
        <v>1.953125E-3</v>
      </c>
      <c r="H236" s="15">
        <f t="shared" si="11"/>
        <v>-7.4254939878500154E-2</v>
      </c>
      <c r="K236" s="14">
        <v>0.01</v>
      </c>
      <c r="L236" s="15">
        <f t="shared" si="9"/>
        <v>-1.6954939878499008E-2</v>
      </c>
    </row>
    <row r="237" spans="4:12" ht="14.4" customHeight="1">
      <c r="D237" s="4">
        <v>42339</v>
      </c>
      <c r="E237" s="5">
        <v>5.7549999999999999</v>
      </c>
      <c r="F237" s="5">
        <f t="shared" si="10"/>
        <v>1.133435567837101E-3</v>
      </c>
      <c r="G237" s="3" cm="1">
        <f t="array" ref="G237">SUMPRODUCT(IF(((H237-$F$4:$F$515)/$B$10)&lt;=-1,0,IF(((H237-$F$4:$F$515)/$B$10)&gt;=1,1,(15/16)*(((H237-$F$4:$F$515)/$B$10)-(2/3)*((H237-$F$4:$F$515)/$B$10)^3+(1/5)*((H237-$F$4:$F$515)/$B$10)^5+8/15))))/COUNT($F$4:$F$515)</f>
        <v>1.953125E-3</v>
      </c>
      <c r="H237" s="5">
        <f t="shared" si="11"/>
        <v>-7.4154939878500151E-2</v>
      </c>
      <c r="K237" s="4">
        <v>0.01</v>
      </c>
      <c r="L237" s="5">
        <f t="shared" si="9"/>
        <v>-1.6954939878499008E-2</v>
      </c>
    </row>
    <row r="238" spans="4:12" ht="14.4" customHeight="1">
      <c r="D238" s="14">
        <v>42340</v>
      </c>
      <c r="E238" s="15">
        <v>5.6310000000000002</v>
      </c>
      <c r="F238" s="15">
        <f t="shared" si="10"/>
        <v>-9.45980062480185E-3</v>
      </c>
      <c r="G238" s="16" cm="1">
        <f t="array" ref="G238">SUMPRODUCT(IF(((H238-$F$4:$F$515)/$B$10)&lt;=-1,0,IF(((H238-$F$4:$F$515)/$B$10)&gt;=1,1,(15/16)*(((H238-$F$4:$F$515)/$B$10)-(2/3)*((H238-$F$4:$F$515)/$B$10)^3+(1/5)*((H238-$F$4:$F$515)/$B$10)^5+8/15))))/COUNT($F$4:$F$515)</f>
        <v>1.953125E-3</v>
      </c>
      <c r="H238" s="15">
        <f t="shared" si="11"/>
        <v>-7.4054939878500148E-2</v>
      </c>
      <c r="K238" s="14">
        <v>0.01</v>
      </c>
      <c r="L238" s="15">
        <f t="shared" si="9"/>
        <v>-1.6954939878499008E-2</v>
      </c>
    </row>
    <row r="239" spans="4:12" ht="14.4" customHeight="1">
      <c r="D239" s="4">
        <v>42341</v>
      </c>
      <c r="E239" s="5">
        <v>5.6059999999999999</v>
      </c>
      <c r="F239" s="5">
        <f t="shared" si="10"/>
        <v>-1.9324339167414431E-3</v>
      </c>
      <c r="G239" s="3" cm="1">
        <f t="array" ref="G239">SUMPRODUCT(IF(((H239-$F$4:$F$515)/$B$10)&lt;=-1,0,IF(((H239-$F$4:$F$515)/$B$10)&gt;=1,1,(15/16)*(((H239-$F$4:$F$515)/$B$10)-(2/3)*((H239-$F$4:$F$515)/$B$10)^3+(1/5)*((H239-$F$4:$F$515)/$B$10)^5+8/15))))/COUNT($F$4:$F$515)</f>
        <v>1.953125E-3</v>
      </c>
      <c r="H239" s="5">
        <f t="shared" si="11"/>
        <v>-7.3954939878500145E-2</v>
      </c>
      <c r="K239" s="4">
        <v>0.01</v>
      </c>
      <c r="L239" s="5">
        <f t="shared" si="9"/>
        <v>-1.6954939878499008E-2</v>
      </c>
    </row>
    <row r="240" spans="4:12" ht="14.4" customHeight="1">
      <c r="D240" s="14">
        <v>42342</v>
      </c>
      <c r="E240" s="15">
        <v>5.4480000000000004</v>
      </c>
      <c r="F240" s="15">
        <f t="shared" si="10"/>
        <v>-1.2415994519538549E-2</v>
      </c>
      <c r="G240" s="16" cm="1">
        <f t="array" ref="G240">SUMPRODUCT(IF(((H240-$F$4:$F$515)/$B$10)&lt;=-1,0,IF(((H240-$F$4:$F$515)/$B$10)&gt;=1,1,(15/16)*(((H240-$F$4:$F$515)/$B$10)-(2/3)*((H240-$F$4:$F$515)/$B$10)^3+(1/5)*((H240-$F$4:$F$515)/$B$10)^5+8/15))))/COUNT($F$4:$F$515)</f>
        <v>1.953125E-3</v>
      </c>
      <c r="H240" s="15">
        <f t="shared" si="11"/>
        <v>-7.3854939878500142E-2</v>
      </c>
      <c r="K240" s="14">
        <v>0.01</v>
      </c>
      <c r="L240" s="15">
        <f t="shared" si="9"/>
        <v>-1.6954939878499008E-2</v>
      </c>
    </row>
    <row r="241" spans="4:12" ht="14.4" customHeight="1">
      <c r="D241" s="4">
        <v>42345</v>
      </c>
      <c r="E241" s="5">
        <v>5.4530000000000003</v>
      </c>
      <c r="F241" s="5">
        <f t="shared" si="10"/>
        <v>3.9839878209255885E-4</v>
      </c>
      <c r="G241" s="3" cm="1">
        <f t="array" ref="G241">SUMPRODUCT(IF(((H241-$F$4:$F$515)/$B$10)&lt;=-1,0,IF(((H241-$F$4:$F$515)/$B$10)&gt;=1,1,(15/16)*(((H241-$F$4:$F$515)/$B$10)-(2/3)*((H241-$F$4:$F$515)/$B$10)^3+(1/5)*((H241-$F$4:$F$515)/$B$10)^5+8/15))))/COUNT($F$4:$F$515)</f>
        <v>1.953125E-3</v>
      </c>
      <c r="H241" s="5">
        <f t="shared" si="11"/>
        <v>-7.3754939878500139E-2</v>
      </c>
      <c r="K241" s="4">
        <v>0.01</v>
      </c>
      <c r="L241" s="5">
        <f t="shared" si="9"/>
        <v>-1.6954939878499008E-2</v>
      </c>
    </row>
    <row r="242" spans="4:12" ht="14.4" customHeight="1">
      <c r="D242" s="14">
        <v>42346</v>
      </c>
      <c r="E242" s="15">
        <v>5.21</v>
      </c>
      <c r="F242" s="15">
        <f t="shared" si="10"/>
        <v>-1.9797774387296862E-2</v>
      </c>
      <c r="G242" s="16" cm="1">
        <f t="array" ref="G242">SUMPRODUCT(IF(((H242-$F$4:$F$515)/$B$10)&lt;=-1,0,IF(((H242-$F$4:$F$515)/$B$10)&gt;=1,1,(15/16)*(((H242-$F$4:$F$515)/$B$10)-(2/3)*((H242-$F$4:$F$515)/$B$10)^3+(1/5)*((H242-$F$4:$F$515)/$B$10)^5+8/15))))/COUNT($F$4:$F$515)</f>
        <v>1.953125E-3</v>
      </c>
      <c r="H242" s="15">
        <f t="shared" si="11"/>
        <v>-7.3654939878500136E-2</v>
      </c>
      <c r="K242" s="14">
        <v>0.01</v>
      </c>
      <c r="L242" s="15">
        <f t="shared" si="9"/>
        <v>-1.6954939878499008E-2</v>
      </c>
    </row>
    <row r="243" spans="4:12" ht="14.4" customHeight="1">
      <c r="D243" s="4">
        <v>42347</v>
      </c>
      <c r="E243" s="5">
        <v>5.21</v>
      </c>
      <c r="F243" s="5">
        <f t="shared" si="10"/>
        <v>0</v>
      </c>
      <c r="G243" s="3" cm="1">
        <f t="array" ref="G243">SUMPRODUCT(IF(((H243-$F$4:$F$515)/$B$10)&lt;=-1,0,IF(((H243-$F$4:$F$515)/$B$10)&gt;=1,1,(15/16)*(((H243-$F$4:$F$515)/$B$10)-(2/3)*((H243-$F$4:$F$515)/$B$10)^3+(1/5)*((H243-$F$4:$F$515)/$B$10)^5+8/15))))/COUNT($F$4:$F$515)</f>
        <v>1.953125E-3</v>
      </c>
      <c r="H243" s="5">
        <f t="shared" si="11"/>
        <v>-7.3554939878500133E-2</v>
      </c>
      <c r="K243" s="4">
        <v>0.01</v>
      </c>
      <c r="L243" s="5">
        <f t="shared" si="9"/>
        <v>-1.6954939878499008E-2</v>
      </c>
    </row>
    <row r="244" spans="4:12" ht="14.4" customHeight="1">
      <c r="D244" s="14">
        <v>42348</v>
      </c>
      <c r="E244" s="15">
        <v>5.0880000000000001</v>
      </c>
      <c r="F244" s="15">
        <f t="shared" si="10"/>
        <v>-1.0290620659166989E-2</v>
      </c>
      <c r="G244" s="16" cm="1">
        <f t="array" ref="G244">SUMPRODUCT(IF(((H244-$F$4:$F$515)/$B$10)&lt;=-1,0,IF(((H244-$F$4:$F$515)/$B$10)&gt;=1,1,(15/16)*(((H244-$F$4:$F$515)/$B$10)-(2/3)*((H244-$F$4:$F$515)/$B$10)^3+(1/5)*((H244-$F$4:$F$515)/$B$10)^5+8/15))))/COUNT($F$4:$F$515)</f>
        <v>1.953125E-3</v>
      </c>
      <c r="H244" s="15">
        <f t="shared" si="11"/>
        <v>-7.3454939878500131E-2</v>
      </c>
      <c r="K244" s="14">
        <v>0.01</v>
      </c>
      <c r="L244" s="15">
        <f t="shared" si="9"/>
        <v>-1.6954939878499008E-2</v>
      </c>
    </row>
    <row r="245" spans="4:12" ht="14.4" customHeight="1">
      <c r="D245" s="4">
        <v>42349</v>
      </c>
      <c r="E245" s="5">
        <v>5.0019999999999998</v>
      </c>
      <c r="F245" s="5">
        <f t="shared" si="10"/>
        <v>-7.4034152458737641E-3</v>
      </c>
      <c r="G245" s="3" cm="1">
        <f t="array" ref="G245">SUMPRODUCT(IF(((H245-$F$4:$F$515)/$B$10)&lt;=-1,0,IF(((H245-$F$4:$F$515)/$B$10)&gt;=1,1,(15/16)*(((H245-$F$4:$F$515)/$B$10)-(2/3)*((H245-$F$4:$F$515)/$B$10)^3+(1/5)*((H245-$F$4:$F$515)/$B$10)^5+8/15))))/COUNT($F$4:$F$515)</f>
        <v>1.953125E-3</v>
      </c>
      <c r="H245" s="5">
        <f t="shared" si="11"/>
        <v>-7.3354939878500128E-2</v>
      </c>
      <c r="K245" s="4">
        <v>0.01</v>
      </c>
      <c r="L245" s="5">
        <f t="shared" si="9"/>
        <v>-1.6954939878499008E-2</v>
      </c>
    </row>
    <row r="246" spans="4:12" ht="14.4" customHeight="1">
      <c r="D246" s="14">
        <v>42352</v>
      </c>
      <c r="E246" s="15">
        <v>4.8280000000000003</v>
      </c>
      <c r="F246" s="15">
        <f t="shared" si="10"/>
        <v>-1.5376425969172061E-2</v>
      </c>
      <c r="G246" s="16" cm="1">
        <f t="array" ref="G246">SUMPRODUCT(IF(((H246-$F$4:$F$515)/$B$10)&lt;=-1,0,IF(((H246-$F$4:$F$515)/$B$10)&gt;=1,1,(15/16)*(((H246-$F$4:$F$515)/$B$10)-(2/3)*((H246-$F$4:$F$515)/$B$10)^3+(1/5)*((H246-$F$4:$F$515)/$B$10)^5+8/15))))/COUNT($F$4:$F$515)</f>
        <v>1.953125E-3</v>
      </c>
      <c r="H246" s="15">
        <f t="shared" si="11"/>
        <v>-7.3254939878500125E-2</v>
      </c>
      <c r="K246" s="14">
        <v>0.01</v>
      </c>
      <c r="L246" s="15">
        <f t="shared" si="9"/>
        <v>-1.6954939878499008E-2</v>
      </c>
    </row>
    <row r="247" spans="4:12" ht="14.4" customHeight="1">
      <c r="D247" s="4">
        <v>42353</v>
      </c>
      <c r="E247" s="5">
        <v>5.0339999999999998</v>
      </c>
      <c r="F247" s="5">
        <f t="shared" si="10"/>
        <v>1.8145949787032302E-2</v>
      </c>
      <c r="G247" s="3" cm="1">
        <f t="array" ref="G247">SUMPRODUCT(IF(((H247-$F$4:$F$515)/$B$10)&lt;=-1,0,IF(((H247-$F$4:$F$515)/$B$10)&gt;=1,1,(15/16)*(((H247-$F$4:$F$515)/$B$10)-(2/3)*((H247-$F$4:$F$515)/$B$10)^3+(1/5)*((H247-$F$4:$F$515)/$B$10)^5+8/15))))/COUNT($F$4:$F$515)</f>
        <v>1.953125E-3</v>
      </c>
      <c r="H247" s="5">
        <f t="shared" si="11"/>
        <v>-7.3154939878500122E-2</v>
      </c>
      <c r="K247" s="4">
        <v>0.01</v>
      </c>
      <c r="L247" s="5">
        <f t="shared" si="9"/>
        <v>-1.6954939878499008E-2</v>
      </c>
    </row>
    <row r="248" spans="4:12" ht="14.4" customHeight="1">
      <c r="D248" s="14">
        <v>42354</v>
      </c>
      <c r="E248" s="15">
        <v>5.048</v>
      </c>
      <c r="F248" s="15">
        <f t="shared" si="10"/>
        <v>1.2061350237340062E-3</v>
      </c>
      <c r="G248" s="16" cm="1">
        <f t="array" ref="G248">SUMPRODUCT(IF(((H248-$F$4:$F$515)/$B$10)&lt;=-1,0,IF(((H248-$F$4:$F$515)/$B$10)&gt;=1,1,(15/16)*(((H248-$F$4:$F$515)/$B$10)-(2/3)*((H248-$F$4:$F$515)/$B$10)^3+(1/5)*((H248-$F$4:$F$515)/$B$10)^5+8/15))))/COUNT($F$4:$F$515)</f>
        <v>1.953125E-3</v>
      </c>
      <c r="H248" s="15">
        <f t="shared" si="11"/>
        <v>-7.3054939878500119E-2</v>
      </c>
      <c r="K248" s="14">
        <v>0.01</v>
      </c>
      <c r="L248" s="15">
        <f t="shared" si="9"/>
        <v>-1.6954939878499008E-2</v>
      </c>
    </row>
    <row r="249" spans="4:12" ht="14.4" customHeight="1">
      <c r="D249" s="4">
        <v>42355</v>
      </c>
      <c r="E249" s="5">
        <v>5.2530000000000001</v>
      </c>
      <c r="F249" s="5">
        <f t="shared" si="10"/>
        <v>1.7288054567030656E-2</v>
      </c>
      <c r="G249" s="3" cm="1">
        <f t="array" ref="G249">SUMPRODUCT(IF(((H249-$F$4:$F$515)/$B$10)&lt;=-1,0,IF(((H249-$F$4:$F$515)/$B$10)&gt;=1,1,(15/16)*(((H249-$F$4:$F$515)/$B$10)-(2/3)*((H249-$F$4:$F$515)/$B$10)^3+(1/5)*((H249-$F$4:$F$515)/$B$10)^5+8/15))))/COUNT($F$4:$F$515)</f>
        <v>1.953125E-3</v>
      </c>
      <c r="H249" s="5">
        <f t="shared" si="11"/>
        <v>-7.2954939878500116E-2</v>
      </c>
      <c r="K249" s="4">
        <v>0.01</v>
      </c>
      <c r="L249" s="5">
        <f t="shared" si="9"/>
        <v>-1.6954939878499008E-2</v>
      </c>
    </row>
    <row r="250" spans="4:12" ht="14.4" customHeight="1">
      <c r="D250" s="14">
        <v>42356</v>
      </c>
      <c r="E250" s="15">
        <v>5.1660000000000004</v>
      </c>
      <c r="F250" s="15">
        <f t="shared" si="10"/>
        <v>-7.2529989658101351E-3</v>
      </c>
      <c r="G250" s="16" cm="1">
        <f t="array" ref="G250">SUMPRODUCT(IF(((H250-$F$4:$F$515)/$B$10)&lt;=-1,0,IF(((H250-$F$4:$F$515)/$B$10)&gt;=1,1,(15/16)*(((H250-$F$4:$F$515)/$B$10)-(2/3)*((H250-$F$4:$F$515)/$B$10)^3+(1/5)*((H250-$F$4:$F$515)/$B$10)^5+8/15))))/COUNT($F$4:$F$515)</f>
        <v>1.953125E-3</v>
      </c>
      <c r="H250" s="15">
        <f t="shared" si="11"/>
        <v>-7.2854939878500113E-2</v>
      </c>
      <c r="K250" s="14">
        <v>0.01</v>
      </c>
      <c r="L250" s="15">
        <f t="shared" si="9"/>
        <v>-1.6954939878499008E-2</v>
      </c>
    </row>
    <row r="251" spans="4:12" ht="14.4" customHeight="1">
      <c r="D251" s="4">
        <v>42359</v>
      </c>
      <c r="E251" s="5">
        <v>5.04</v>
      </c>
      <c r="F251" s="5">
        <f t="shared" si="10"/>
        <v>-1.0723865391773113E-2</v>
      </c>
      <c r="G251" s="3" cm="1">
        <f t="array" ref="G251">SUMPRODUCT(IF(((H251-$F$4:$F$515)/$B$10)&lt;=-1,0,IF(((H251-$F$4:$F$515)/$B$10)&gt;=1,1,(15/16)*(((H251-$F$4:$F$515)/$B$10)-(2/3)*((H251-$F$4:$F$515)/$B$10)^3+(1/5)*((H251-$F$4:$F$515)/$B$10)^5+8/15))))/COUNT($F$4:$F$515)</f>
        <v>1.953125E-3</v>
      </c>
      <c r="H251" s="5">
        <f t="shared" si="11"/>
        <v>-7.2754939878500111E-2</v>
      </c>
      <c r="K251" s="4">
        <v>0.01</v>
      </c>
      <c r="L251" s="5">
        <f t="shared" si="9"/>
        <v>-1.6954939878499008E-2</v>
      </c>
    </row>
    <row r="252" spans="4:12" ht="14.4" customHeight="1">
      <c r="D252" s="14">
        <v>42360</v>
      </c>
      <c r="E252" s="15">
        <v>5.133</v>
      </c>
      <c r="F252" s="15">
        <f t="shared" si="10"/>
        <v>7.9407278152373965E-3</v>
      </c>
      <c r="G252" s="16" cm="1">
        <f t="array" ref="G252">SUMPRODUCT(IF(((H252-$F$4:$F$515)/$B$10)&lt;=-1,0,IF(((H252-$F$4:$F$515)/$B$10)&gt;=1,1,(15/16)*(((H252-$F$4:$F$515)/$B$10)-(2/3)*((H252-$F$4:$F$515)/$B$10)^3+(1/5)*((H252-$F$4:$F$515)/$B$10)^5+8/15))))/COUNT($F$4:$F$515)</f>
        <v>1.953125E-3</v>
      </c>
      <c r="H252" s="15">
        <f t="shared" si="11"/>
        <v>-7.2654939878500108E-2</v>
      </c>
      <c r="K252" s="14">
        <v>0.01</v>
      </c>
      <c r="L252" s="15">
        <f t="shared" si="9"/>
        <v>-1.6954939878499008E-2</v>
      </c>
    </row>
    <row r="253" spans="4:12" ht="14.4" customHeight="1">
      <c r="D253" s="4">
        <v>42361</v>
      </c>
      <c r="E253" s="5">
        <v>5.2569999999999997</v>
      </c>
      <c r="F253" s="5">
        <f t="shared" si="10"/>
        <v>1.036671275766244E-2</v>
      </c>
      <c r="G253" s="3" cm="1">
        <f t="array" ref="G253">SUMPRODUCT(IF(((H253-$F$4:$F$515)/$B$10)&lt;=-1,0,IF(((H253-$F$4:$F$515)/$B$10)&gt;=1,1,(15/16)*(((H253-$F$4:$F$515)/$B$10)-(2/3)*((H253-$F$4:$F$515)/$B$10)^3+(1/5)*((H253-$F$4:$F$515)/$B$10)^5+8/15))))/COUNT($F$4:$F$515)</f>
        <v>1.953125E-3</v>
      </c>
      <c r="H253" s="5">
        <f t="shared" si="11"/>
        <v>-7.2554939878500105E-2</v>
      </c>
      <c r="K253" s="4">
        <v>0.01</v>
      </c>
      <c r="L253" s="5">
        <f t="shared" si="9"/>
        <v>-1.6954939878499008E-2</v>
      </c>
    </row>
    <row r="254" spans="4:12" ht="14.4" customHeight="1">
      <c r="D254" s="14">
        <v>42362</v>
      </c>
      <c r="E254" s="15">
        <v>5.2910000000000004</v>
      </c>
      <c r="F254" s="15">
        <f t="shared" si="10"/>
        <v>2.799784513631629E-3</v>
      </c>
      <c r="G254" s="16" cm="1">
        <f t="array" ref="G254">SUMPRODUCT(IF(((H254-$F$4:$F$515)/$B$10)&lt;=-1,0,IF(((H254-$F$4:$F$515)/$B$10)&gt;=1,1,(15/16)*(((H254-$F$4:$F$515)/$B$10)-(2/3)*((H254-$F$4:$F$515)/$B$10)^3+(1/5)*((H254-$F$4:$F$515)/$B$10)^5+8/15))))/COUNT($F$4:$F$515)</f>
        <v>1.953125E-3</v>
      </c>
      <c r="H254" s="15">
        <f t="shared" si="11"/>
        <v>-7.2454939878500102E-2</v>
      </c>
      <c r="K254" s="14">
        <v>0.01</v>
      </c>
      <c r="L254" s="15">
        <f t="shared" si="9"/>
        <v>-1.6954939878499008E-2</v>
      </c>
    </row>
    <row r="255" spans="4:12" ht="14.4" customHeight="1">
      <c r="D255" s="4">
        <v>42366</v>
      </c>
      <c r="E255" s="5">
        <v>5.24</v>
      </c>
      <c r="F255" s="5">
        <f t="shared" si="10"/>
        <v>-4.2064745483301625E-3</v>
      </c>
      <c r="G255" s="3" cm="1">
        <f t="array" ref="G255">SUMPRODUCT(IF(((H255-$F$4:$F$515)/$B$10)&lt;=-1,0,IF(((H255-$F$4:$F$515)/$B$10)&gt;=1,1,(15/16)*(((H255-$F$4:$F$515)/$B$10)-(2/3)*((H255-$F$4:$F$515)/$B$10)^3+(1/5)*((H255-$F$4:$F$515)/$B$10)^5+8/15))))/COUNT($F$4:$F$515)</f>
        <v>1.953125E-3</v>
      </c>
      <c r="H255" s="5">
        <f t="shared" si="11"/>
        <v>-7.2354939878500099E-2</v>
      </c>
      <c r="K255" s="4">
        <v>0.01</v>
      </c>
      <c r="L255" s="5">
        <f t="shared" si="9"/>
        <v>-1.6954939878499008E-2</v>
      </c>
    </row>
    <row r="256" spans="4:12" ht="14.4" customHeight="1">
      <c r="D256" s="14">
        <v>42367</v>
      </c>
      <c r="E256" s="15">
        <v>5.2649999999999997</v>
      </c>
      <c r="F256" s="15">
        <f t="shared" si="10"/>
        <v>2.0670885377786215E-3</v>
      </c>
      <c r="G256" s="16" cm="1">
        <f t="array" ref="G256">SUMPRODUCT(IF(((H256-$F$4:$F$515)/$B$10)&lt;=-1,0,IF(((H256-$F$4:$F$515)/$B$10)&gt;=1,1,(15/16)*(((H256-$F$4:$F$515)/$B$10)-(2/3)*((H256-$F$4:$F$515)/$B$10)^3+(1/5)*((H256-$F$4:$F$515)/$B$10)^5+8/15))))/COUNT($F$4:$F$515)</f>
        <v>1.953125E-3</v>
      </c>
      <c r="H256" s="15">
        <f t="shared" si="11"/>
        <v>-7.2254939878500096E-2</v>
      </c>
      <c r="K256" s="14">
        <v>0.01</v>
      </c>
      <c r="L256" s="15">
        <f t="shared" si="9"/>
        <v>-1.6954939878499008E-2</v>
      </c>
    </row>
    <row r="257" spans="4:12" ht="14.4" customHeight="1">
      <c r="D257" s="4">
        <v>42368</v>
      </c>
      <c r="E257" s="5">
        <v>5.2039999999999997</v>
      </c>
      <c r="F257" s="5">
        <f t="shared" si="10"/>
        <v>-5.0610876319566655E-3</v>
      </c>
      <c r="G257" s="3" cm="1">
        <f t="array" ref="G257">SUMPRODUCT(IF(((H257-$F$4:$F$515)/$B$10)&lt;=-1,0,IF(((H257-$F$4:$F$515)/$B$10)&gt;=1,1,(15/16)*(((H257-$F$4:$F$515)/$B$10)-(2/3)*((H257-$F$4:$F$515)/$B$10)^3+(1/5)*((H257-$F$4:$F$515)/$B$10)^5+8/15))))/COUNT($F$4:$F$515)</f>
        <v>1.953125E-3</v>
      </c>
      <c r="H257" s="5">
        <f t="shared" si="11"/>
        <v>-7.2154939878500093E-2</v>
      </c>
      <c r="K257" s="4">
        <v>0.01</v>
      </c>
      <c r="L257" s="5">
        <f t="shared" si="9"/>
        <v>-1.6954939878499008E-2</v>
      </c>
    </row>
    <row r="258" spans="4:12" ht="14.4" customHeight="1">
      <c r="D258" s="14">
        <v>42369</v>
      </c>
      <c r="E258" s="15">
        <v>5.2169999999999996</v>
      </c>
      <c r="F258" s="15">
        <f t="shared" si="10"/>
        <v>1.0835488328262617E-3</v>
      </c>
      <c r="G258" s="16" cm="1">
        <f t="array" ref="G258">SUMPRODUCT(IF(((H258-$F$4:$F$515)/$B$10)&lt;=-1,0,IF(((H258-$F$4:$F$515)/$B$10)&gt;=1,1,(15/16)*(((H258-$F$4:$F$515)/$B$10)-(2/3)*((H258-$F$4:$F$515)/$B$10)^3+(1/5)*((H258-$F$4:$F$515)/$B$10)^5+8/15))))/COUNT($F$4:$F$515)</f>
        <v>1.953125E-3</v>
      </c>
      <c r="H258" s="15">
        <f t="shared" si="11"/>
        <v>-7.2054939878500091E-2</v>
      </c>
      <c r="K258" s="14">
        <v>0.01</v>
      </c>
      <c r="L258" s="15">
        <f t="shared" si="9"/>
        <v>-1.6954939878499008E-2</v>
      </c>
    </row>
    <row r="259" spans="4:12" ht="14.4" customHeight="1">
      <c r="D259" s="4">
        <v>42373</v>
      </c>
      <c r="E259" s="5">
        <v>4.984</v>
      </c>
      <c r="F259" s="5">
        <f t="shared" si="10"/>
        <v>-1.9842803071261648E-2</v>
      </c>
      <c r="G259" s="3" cm="1">
        <f t="array" ref="G259">SUMPRODUCT(IF(((H259-$F$4:$F$515)/$B$10)&lt;=-1,0,IF(((H259-$F$4:$F$515)/$B$10)&gt;=1,1,(15/16)*(((H259-$F$4:$F$515)/$B$10)-(2/3)*((H259-$F$4:$F$515)/$B$10)^3+(1/5)*((H259-$F$4:$F$515)/$B$10)^5+8/15))))/COUNT($F$4:$F$515)</f>
        <v>1.953125E-3</v>
      </c>
      <c r="H259" s="5">
        <f t="shared" si="11"/>
        <v>-7.1954939878500088E-2</v>
      </c>
      <c r="K259" s="4">
        <v>0.01</v>
      </c>
      <c r="L259" s="5">
        <f t="shared" si="9"/>
        <v>-1.6954939878499008E-2</v>
      </c>
    </row>
    <row r="260" spans="4:12" ht="14.4" customHeight="1">
      <c r="D260" s="14">
        <v>42374</v>
      </c>
      <c r="E260" s="15">
        <v>5.0119999999999996</v>
      </c>
      <c r="F260" s="15">
        <f t="shared" si="10"/>
        <v>2.4330286709991476E-3</v>
      </c>
      <c r="G260" s="16" cm="1">
        <f t="array" ref="G260">SUMPRODUCT(IF(((H260-$F$4:$F$515)/$B$10)&lt;=-1,0,IF(((H260-$F$4:$F$515)/$B$10)&gt;=1,1,(15/16)*(((H260-$F$4:$F$515)/$B$10)-(2/3)*((H260-$F$4:$F$515)/$B$10)^3+(1/5)*((H260-$F$4:$F$515)/$B$10)^5+8/15))))/COUNT($F$4:$F$515)</f>
        <v>1.953125E-3</v>
      </c>
      <c r="H260" s="15">
        <f t="shared" si="11"/>
        <v>-7.1854939878500085E-2</v>
      </c>
      <c r="K260" s="14">
        <v>0.01</v>
      </c>
      <c r="L260" s="15">
        <f t="shared" ref="L260:L323" si="12">$B$7</f>
        <v>-1.6954939878499008E-2</v>
      </c>
    </row>
    <row r="261" spans="4:12" ht="14.4" customHeight="1">
      <c r="D261" s="4">
        <v>42375</v>
      </c>
      <c r="E261" s="5">
        <v>4.8520000000000003</v>
      </c>
      <c r="F261" s="5">
        <f t="shared" ref="F261:F324" si="13">LOG(E261/E260)</f>
        <v>-1.4090270127576954E-2</v>
      </c>
      <c r="G261" s="3" cm="1">
        <f t="array" ref="G261">SUMPRODUCT(IF(((H261-$F$4:$F$515)/$B$10)&lt;=-1,0,IF(((H261-$F$4:$F$515)/$B$10)&gt;=1,1,(15/16)*(((H261-$F$4:$F$515)/$B$10)-(2/3)*((H261-$F$4:$F$515)/$B$10)^3+(1/5)*((H261-$F$4:$F$515)/$B$10)^5+8/15))))/COUNT($F$4:$F$515)</f>
        <v>1.953125E-3</v>
      </c>
      <c r="H261" s="5">
        <f t="shared" ref="H261:H324" si="14">H260+0.0001</f>
        <v>-7.1754939878500082E-2</v>
      </c>
      <c r="K261" s="4">
        <v>0.01</v>
      </c>
      <c r="L261" s="5">
        <f t="shared" si="12"/>
        <v>-1.6954939878499008E-2</v>
      </c>
    </row>
    <row r="262" spans="4:12" ht="14.4" customHeight="1">
      <c r="D262" s="14">
        <v>42376</v>
      </c>
      <c r="E262" s="15">
        <v>4.6909999999999998</v>
      </c>
      <c r="F262" s="15">
        <f t="shared" si="13"/>
        <v>-1.4655359247377042E-2</v>
      </c>
      <c r="G262" s="16" cm="1">
        <f t="array" ref="G262">SUMPRODUCT(IF(((H262-$F$4:$F$515)/$B$10)&lt;=-1,0,IF(((H262-$F$4:$F$515)/$B$10)&gt;=1,1,(15/16)*(((H262-$F$4:$F$515)/$B$10)-(2/3)*((H262-$F$4:$F$515)/$B$10)^3+(1/5)*((H262-$F$4:$F$515)/$B$10)^5+8/15))))/COUNT($F$4:$F$515)</f>
        <v>1.953125E-3</v>
      </c>
      <c r="H262" s="15">
        <f t="shared" si="14"/>
        <v>-7.1654939878500079E-2</v>
      </c>
      <c r="K262" s="14">
        <v>0.01</v>
      </c>
      <c r="L262" s="15">
        <f t="shared" si="12"/>
        <v>-1.6954939878499008E-2</v>
      </c>
    </row>
    <row r="263" spans="4:12" ht="14.4" customHeight="1">
      <c r="D263" s="4">
        <v>42377</v>
      </c>
      <c r="E263" s="5">
        <v>4.59</v>
      </c>
      <c r="F263" s="5">
        <f t="shared" si="13"/>
        <v>-9.4527474098971293E-3</v>
      </c>
      <c r="G263" s="3" cm="1">
        <f t="array" ref="G263">SUMPRODUCT(IF(((H263-$F$4:$F$515)/$B$10)&lt;=-1,0,IF(((H263-$F$4:$F$515)/$B$10)&gt;=1,1,(15/16)*(((H263-$F$4:$F$515)/$B$10)-(2/3)*((H263-$F$4:$F$515)/$B$10)^3+(1/5)*((H263-$F$4:$F$515)/$B$10)^5+8/15))))/COUNT($F$4:$F$515)</f>
        <v>1.953125E-3</v>
      </c>
      <c r="H263" s="5">
        <f t="shared" si="14"/>
        <v>-7.1554939878500076E-2</v>
      </c>
      <c r="K263" s="4">
        <v>0.01</v>
      </c>
      <c r="L263" s="5">
        <f t="shared" si="12"/>
        <v>-1.6954939878499008E-2</v>
      </c>
    </row>
    <row r="264" spans="4:12" ht="14.4" customHeight="1">
      <c r="D264" s="14">
        <v>42380</v>
      </c>
      <c r="E264" s="15">
        <v>4.5170000000000003</v>
      </c>
      <c r="F264" s="15">
        <f t="shared" si="13"/>
        <v>-6.96259497586698E-3</v>
      </c>
      <c r="G264" s="16" cm="1">
        <f t="array" ref="G264">SUMPRODUCT(IF(((H264-$F$4:$F$515)/$B$10)&lt;=-1,0,IF(((H264-$F$4:$F$515)/$B$10)&gt;=1,1,(15/16)*(((H264-$F$4:$F$515)/$B$10)-(2/3)*((H264-$F$4:$F$515)/$B$10)^3+(1/5)*((H264-$F$4:$F$515)/$B$10)^5+8/15))))/COUNT($F$4:$F$515)</f>
        <v>1.953125E-3</v>
      </c>
      <c r="H264" s="15">
        <f t="shared" si="14"/>
        <v>-7.1454939878500073E-2</v>
      </c>
      <c r="K264" s="14">
        <v>0.01</v>
      </c>
      <c r="L264" s="15">
        <f t="shared" si="12"/>
        <v>-1.6954939878499008E-2</v>
      </c>
    </row>
    <row r="265" spans="4:12" ht="14.4" customHeight="1">
      <c r="D265" s="4">
        <v>42381</v>
      </c>
      <c r="E265" s="5">
        <v>4.5709999999999997</v>
      </c>
      <c r="F265" s="5">
        <f t="shared" si="13"/>
        <v>5.1611307279365104E-3</v>
      </c>
      <c r="G265" s="3" cm="1">
        <f t="array" ref="G265">SUMPRODUCT(IF(((H265-$F$4:$F$515)/$B$10)&lt;=-1,0,IF(((H265-$F$4:$F$515)/$B$10)&gt;=1,1,(15/16)*(((H265-$F$4:$F$515)/$B$10)-(2/3)*((H265-$F$4:$F$515)/$B$10)^3+(1/5)*((H265-$F$4:$F$515)/$B$10)^5+8/15))))/COUNT($F$4:$F$515)</f>
        <v>1.953125E-3</v>
      </c>
      <c r="H265" s="5">
        <f t="shared" si="14"/>
        <v>-7.135493987850007E-2</v>
      </c>
      <c r="K265" s="4">
        <v>0.01</v>
      </c>
      <c r="L265" s="5">
        <f t="shared" si="12"/>
        <v>-1.6954939878499008E-2</v>
      </c>
    </row>
    <row r="266" spans="4:12" ht="14.4" customHeight="1">
      <c r="D266" s="14">
        <v>42382</v>
      </c>
      <c r="E266" s="15">
        <v>4.577</v>
      </c>
      <c r="F266" s="15">
        <f t="shared" si="13"/>
        <v>5.6969113796877962E-4</v>
      </c>
      <c r="G266" s="16" cm="1">
        <f t="array" ref="G266">SUMPRODUCT(IF(((H266-$F$4:$F$515)/$B$10)&lt;=-1,0,IF(((H266-$F$4:$F$515)/$B$10)&gt;=1,1,(15/16)*(((H266-$F$4:$F$515)/$B$10)-(2/3)*((H266-$F$4:$F$515)/$B$10)^3+(1/5)*((H266-$F$4:$F$515)/$B$10)^5+8/15))))/COUNT($F$4:$F$515)</f>
        <v>1.953125E-3</v>
      </c>
      <c r="H266" s="15">
        <f t="shared" si="14"/>
        <v>-7.1254939878500068E-2</v>
      </c>
      <c r="K266" s="14">
        <v>0.01</v>
      </c>
      <c r="L266" s="15">
        <f t="shared" si="12"/>
        <v>-1.6954939878499008E-2</v>
      </c>
    </row>
    <row r="267" spans="4:12" ht="14.4" customHeight="1">
      <c r="D267" s="4">
        <v>42383</v>
      </c>
      <c r="E267" s="5">
        <v>4.4630000000000001</v>
      </c>
      <c r="F267" s="5">
        <f t="shared" si="13"/>
        <v>-1.0954025586770102E-2</v>
      </c>
      <c r="G267" s="3" cm="1">
        <f t="array" ref="G267">SUMPRODUCT(IF(((H267-$F$4:$F$515)/$B$10)&lt;=-1,0,IF(((H267-$F$4:$F$515)/$B$10)&gt;=1,1,(15/16)*(((H267-$F$4:$F$515)/$B$10)-(2/3)*((H267-$F$4:$F$515)/$B$10)^3+(1/5)*((H267-$F$4:$F$515)/$B$10)^5+8/15))))/COUNT($F$4:$F$515)</f>
        <v>1.953125E-3</v>
      </c>
      <c r="H267" s="5">
        <f t="shared" si="14"/>
        <v>-7.1154939878500065E-2</v>
      </c>
      <c r="K267" s="4">
        <v>0.01</v>
      </c>
      <c r="L267" s="5">
        <f t="shared" si="12"/>
        <v>-1.6954939878499008E-2</v>
      </c>
    </row>
    <row r="268" spans="4:12" ht="14.4" customHeight="1">
      <c r="D268" s="14">
        <v>42384</v>
      </c>
      <c r="E268" s="15">
        <v>4.26</v>
      </c>
      <c r="F268" s="15">
        <f t="shared" si="13"/>
        <v>-2.0217287737810542E-2</v>
      </c>
      <c r="G268" s="16" cm="1">
        <f t="array" ref="G268">SUMPRODUCT(IF(((H268-$F$4:$F$515)/$B$10)&lt;=-1,0,IF(((H268-$F$4:$F$515)/$B$10)&gt;=1,1,(15/16)*(((H268-$F$4:$F$515)/$B$10)-(2/3)*((H268-$F$4:$F$515)/$B$10)^3+(1/5)*((H268-$F$4:$F$515)/$B$10)^5+8/15))))/COUNT($F$4:$F$515)</f>
        <v>1.953125E-3</v>
      </c>
      <c r="H268" s="15">
        <f t="shared" si="14"/>
        <v>-7.1054939878500062E-2</v>
      </c>
      <c r="K268" s="14">
        <v>0.01</v>
      </c>
      <c r="L268" s="15">
        <f t="shared" si="12"/>
        <v>-1.6954939878499008E-2</v>
      </c>
    </row>
    <row r="269" spans="4:12" ht="14.4" customHeight="1">
      <c r="D269" s="4">
        <v>42387</v>
      </c>
      <c r="E269" s="5">
        <v>4.0170000000000003</v>
      </c>
      <c r="F269" s="5">
        <f t="shared" si="13"/>
        <v>-2.5507767371047471E-2</v>
      </c>
      <c r="G269" s="3" cm="1">
        <f t="array" ref="G269">SUMPRODUCT(IF(((H269-$F$4:$F$515)/$B$10)&lt;=-1,0,IF(((H269-$F$4:$F$515)/$B$10)&gt;=1,1,(15/16)*(((H269-$F$4:$F$515)/$B$10)-(2/3)*((H269-$F$4:$F$515)/$B$10)^3+(1/5)*((H269-$F$4:$F$515)/$B$10)^5+8/15))))/COUNT($F$4:$F$515)</f>
        <v>1.953125E-3</v>
      </c>
      <c r="H269" s="5">
        <f t="shared" si="14"/>
        <v>-7.0954939878500059E-2</v>
      </c>
      <c r="K269" s="4">
        <v>0.01</v>
      </c>
      <c r="L269" s="5">
        <f t="shared" si="12"/>
        <v>-1.6954939878499008E-2</v>
      </c>
    </row>
    <row r="270" spans="4:12" ht="14.4" customHeight="1">
      <c r="D270" s="14">
        <v>42388</v>
      </c>
      <c r="E270" s="15">
        <v>4.1630000000000003</v>
      </c>
      <c r="F270" s="15">
        <f t="shared" si="13"/>
        <v>1.5504579155105946E-2</v>
      </c>
      <c r="G270" s="16" cm="1">
        <f t="array" ref="G270">SUMPRODUCT(IF(((H270-$F$4:$F$515)/$B$10)&lt;=-1,0,IF(((H270-$F$4:$F$515)/$B$10)&gt;=1,1,(15/16)*(((H270-$F$4:$F$515)/$B$10)-(2/3)*((H270-$F$4:$F$515)/$B$10)^3+(1/5)*((H270-$F$4:$F$515)/$B$10)^5+8/15))))/COUNT($F$4:$F$515)</f>
        <v>1.953125E-3</v>
      </c>
      <c r="H270" s="15">
        <f t="shared" si="14"/>
        <v>-7.0854939878500056E-2</v>
      </c>
      <c r="K270" s="14">
        <v>0.01</v>
      </c>
      <c r="L270" s="15">
        <f t="shared" si="12"/>
        <v>-1.6954939878499008E-2</v>
      </c>
    </row>
    <row r="271" spans="4:12" ht="14.4" customHeight="1">
      <c r="D271" s="4">
        <v>42389</v>
      </c>
      <c r="E271" s="5">
        <v>3.9849999999999999</v>
      </c>
      <c r="F271" s="5">
        <f t="shared" si="13"/>
        <v>-1.8978085154646263E-2</v>
      </c>
      <c r="G271" s="3" cm="1">
        <f t="array" ref="G271">SUMPRODUCT(IF(((H271-$F$4:$F$515)/$B$10)&lt;=-1,0,IF(((H271-$F$4:$F$515)/$B$10)&gt;=1,1,(15/16)*(((H271-$F$4:$F$515)/$B$10)-(2/3)*((H271-$F$4:$F$515)/$B$10)^3+(1/5)*((H271-$F$4:$F$515)/$B$10)^5+8/15))))/COUNT($F$4:$F$515)</f>
        <v>1.953125E-3</v>
      </c>
      <c r="H271" s="5">
        <f t="shared" si="14"/>
        <v>-7.0754939878500053E-2</v>
      </c>
      <c r="K271" s="4">
        <v>0.01</v>
      </c>
      <c r="L271" s="5">
        <f t="shared" si="12"/>
        <v>-1.6954939878499008E-2</v>
      </c>
    </row>
    <row r="272" spans="4:12" ht="14.4" customHeight="1">
      <c r="D272" s="14">
        <v>42390</v>
      </c>
      <c r="E272" s="15">
        <v>4.16</v>
      </c>
      <c r="F272" s="15">
        <f t="shared" si="13"/>
        <v>1.8665004894611578E-2</v>
      </c>
      <c r="G272" s="16" cm="1">
        <f t="array" ref="G272">SUMPRODUCT(IF(((H272-$F$4:$F$515)/$B$10)&lt;=-1,0,IF(((H272-$F$4:$F$515)/$B$10)&gt;=1,1,(15/16)*(((H272-$F$4:$F$515)/$B$10)-(2/3)*((H272-$F$4:$F$515)/$B$10)^3+(1/5)*((H272-$F$4:$F$515)/$B$10)^5+8/15))))/COUNT($F$4:$F$515)</f>
        <v>1.953125E-3</v>
      </c>
      <c r="H272" s="15">
        <f t="shared" si="14"/>
        <v>-7.065493987850005E-2</v>
      </c>
      <c r="K272" s="14">
        <v>0.01</v>
      </c>
      <c r="L272" s="15">
        <f t="shared" si="12"/>
        <v>-1.6954939878499008E-2</v>
      </c>
    </row>
    <row r="273" spans="4:12" ht="14.4" customHeight="1">
      <c r="D273" s="4">
        <v>42391</v>
      </c>
      <c r="E273" s="5">
        <v>4.375</v>
      </c>
      <c r="F273" s="5">
        <f t="shared" si="13"/>
        <v>2.1884726731589296E-2</v>
      </c>
      <c r="G273" s="3" cm="1">
        <f t="array" ref="G273">SUMPRODUCT(IF(((H273-$F$4:$F$515)/$B$10)&lt;=-1,0,IF(((H273-$F$4:$F$515)/$B$10)&gt;=1,1,(15/16)*(((H273-$F$4:$F$515)/$B$10)-(2/3)*((H273-$F$4:$F$515)/$B$10)^3+(1/5)*((H273-$F$4:$F$515)/$B$10)^5+8/15))))/COUNT($F$4:$F$515)</f>
        <v>1.953125E-3</v>
      </c>
      <c r="H273" s="5">
        <f t="shared" si="14"/>
        <v>-7.0554939878500048E-2</v>
      </c>
      <c r="K273" s="4">
        <v>0.01</v>
      </c>
      <c r="L273" s="5">
        <f t="shared" si="12"/>
        <v>-1.6954939878499008E-2</v>
      </c>
    </row>
    <row r="274" spans="4:12" ht="14.4" customHeight="1">
      <c r="D274" s="14">
        <v>42394</v>
      </c>
      <c r="E274" s="15">
        <v>4.26</v>
      </c>
      <c r="F274" s="15">
        <f t="shared" si="13"/>
        <v>-1.1568458255613163E-2</v>
      </c>
      <c r="G274" s="16" cm="1">
        <f t="array" ref="G274">SUMPRODUCT(IF(((H274-$F$4:$F$515)/$B$10)&lt;=-1,0,IF(((H274-$F$4:$F$515)/$B$10)&gt;=1,1,(15/16)*(((H274-$F$4:$F$515)/$B$10)-(2/3)*((H274-$F$4:$F$515)/$B$10)^3+(1/5)*((H274-$F$4:$F$515)/$B$10)^5+8/15))))/COUNT($F$4:$F$515)</f>
        <v>1.953125E-3</v>
      </c>
      <c r="H274" s="15">
        <f t="shared" si="14"/>
        <v>-7.0454939878500045E-2</v>
      </c>
      <c r="K274" s="14">
        <v>0.01</v>
      </c>
      <c r="L274" s="15">
        <f t="shared" si="12"/>
        <v>-1.6954939878499008E-2</v>
      </c>
    </row>
    <row r="275" spans="4:12" ht="14.4" customHeight="1">
      <c r="D275" s="4">
        <v>42395</v>
      </c>
      <c r="E275" s="5">
        <v>4.367</v>
      </c>
      <c r="F275" s="5">
        <f t="shared" si="13"/>
        <v>1.0773592818621253E-2</v>
      </c>
      <c r="G275" s="3" cm="1">
        <f t="array" ref="G275">SUMPRODUCT(IF(((H275-$F$4:$F$515)/$B$10)&lt;=-1,0,IF(((H275-$F$4:$F$515)/$B$10)&gt;=1,1,(15/16)*(((H275-$F$4:$F$515)/$B$10)-(2/3)*((H275-$F$4:$F$515)/$B$10)^3+(1/5)*((H275-$F$4:$F$515)/$B$10)^5+8/15))))/COUNT($F$4:$F$515)</f>
        <v>1.953125E-3</v>
      </c>
      <c r="H275" s="5">
        <f t="shared" si="14"/>
        <v>-7.0354939878500042E-2</v>
      </c>
      <c r="K275" s="4">
        <v>0.01</v>
      </c>
      <c r="L275" s="5">
        <f t="shared" si="12"/>
        <v>-1.6954939878499008E-2</v>
      </c>
    </row>
    <row r="276" spans="4:12" ht="14.4" customHeight="1">
      <c r="D276" s="14">
        <v>42396</v>
      </c>
      <c r="E276" s="15">
        <v>4.3079999999999998</v>
      </c>
      <c r="F276" s="15">
        <f t="shared" si="13"/>
        <v>-5.9074972953961488E-3</v>
      </c>
      <c r="G276" s="16" cm="1">
        <f t="array" ref="G276">SUMPRODUCT(IF(((H276-$F$4:$F$515)/$B$10)&lt;=-1,0,IF(((H276-$F$4:$F$515)/$B$10)&gt;=1,1,(15/16)*(((H276-$F$4:$F$515)/$B$10)-(2/3)*((H276-$F$4:$F$515)/$B$10)^3+(1/5)*((H276-$F$4:$F$515)/$B$10)^5+8/15))))/COUNT($F$4:$F$515)</f>
        <v>1.953125E-3</v>
      </c>
      <c r="H276" s="15">
        <f t="shared" si="14"/>
        <v>-7.0254939878500039E-2</v>
      </c>
      <c r="K276" s="14">
        <v>0.01</v>
      </c>
      <c r="L276" s="15">
        <f t="shared" si="12"/>
        <v>-1.6954939878499008E-2</v>
      </c>
    </row>
    <row r="277" spans="4:12" ht="14.4" customHeight="1">
      <c r="D277" s="4">
        <v>42397</v>
      </c>
      <c r="E277" s="5">
        <v>4.4370000000000003</v>
      </c>
      <c r="F277" s="5">
        <f t="shared" si="13"/>
        <v>1.2813734090611005E-2</v>
      </c>
      <c r="G277" s="3" cm="1">
        <f t="array" ref="G277">SUMPRODUCT(IF(((H277-$F$4:$F$515)/$B$10)&lt;=-1,0,IF(((H277-$F$4:$F$515)/$B$10)&gt;=1,1,(15/16)*(((H277-$F$4:$F$515)/$B$10)-(2/3)*((H277-$F$4:$F$515)/$B$10)^3+(1/5)*((H277-$F$4:$F$515)/$B$10)^5+8/15))))/COUNT($F$4:$F$515)</f>
        <v>1.953125E-3</v>
      </c>
      <c r="H277" s="5">
        <f t="shared" si="14"/>
        <v>-7.0154939878500036E-2</v>
      </c>
      <c r="K277" s="4">
        <v>0.01</v>
      </c>
      <c r="L277" s="5">
        <f t="shared" si="12"/>
        <v>-1.6954939878499008E-2</v>
      </c>
    </row>
    <row r="278" spans="4:12" ht="14.4" customHeight="1">
      <c r="D278" s="14">
        <v>42398</v>
      </c>
      <c r="E278" s="15">
        <v>4.5149999999999997</v>
      </c>
      <c r="F278" s="15">
        <f t="shared" si="13"/>
        <v>7.5683259329696493E-3</v>
      </c>
      <c r="G278" s="16" cm="1">
        <f t="array" ref="G278">SUMPRODUCT(IF(((H278-$F$4:$F$515)/$B$10)&lt;=-1,0,IF(((H278-$F$4:$F$515)/$B$10)&gt;=1,1,(15/16)*(((H278-$F$4:$F$515)/$B$10)-(2/3)*((H278-$F$4:$F$515)/$B$10)^3+(1/5)*((H278-$F$4:$F$515)/$B$10)^5+8/15))))/COUNT($F$4:$F$515)</f>
        <v>1.953125E-3</v>
      </c>
      <c r="H278" s="15">
        <f t="shared" si="14"/>
        <v>-7.0054939878500033E-2</v>
      </c>
      <c r="K278" s="14">
        <v>0.01</v>
      </c>
      <c r="L278" s="15">
        <f t="shared" si="12"/>
        <v>-1.6954939878499008E-2</v>
      </c>
    </row>
    <row r="279" spans="4:12" ht="14.4" customHeight="1">
      <c r="D279" s="4">
        <v>42401</v>
      </c>
      <c r="E279" s="5">
        <v>4.47</v>
      </c>
      <c r="F279" s="5">
        <f t="shared" si="13"/>
        <v>-4.3502315175881039E-3</v>
      </c>
      <c r="G279" s="3" cm="1">
        <f t="array" ref="G279">SUMPRODUCT(IF(((H279-$F$4:$F$515)/$B$10)&lt;=-1,0,IF(((H279-$F$4:$F$515)/$B$10)&gt;=1,1,(15/16)*(((H279-$F$4:$F$515)/$B$10)-(2/3)*((H279-$F$4:$F$515)/$B$10)^3+(1/5)*((H279-$F$4:$F$515)/$B$10)^5+8/15))))/COUNT($F$4:$F$515)</f>
        <v>1.953125E-3</v>
      </c>
      <c r="H279" s="5">
        <f t="shared" si="14"/>
        <v>-6.995493987850003E-2</v>
      </c>
      <c r="K279" s="4">
        <v>0.01</v>
      </c>
      <c r="L279" s="5">
        <f t="shared" si="12"/>
        <v>-1.6954939878499008E-2</v>
      </c>
    </row>
    <row r="280" spans="4:12" ht="14.4" customHeight="1">
      <c r="D280" s="14">
        <v>42402</v>
      </c>
      <c r="E280" s="15">
        <v>4.2080000000000002</v>
      </c>
      <c r="F280" s="15">
        <f t="shared" si="13"/>
        <v>-2.6231791986253784E-2</v>
      </c>
      <c r="G280" s="16" cm="1">
        <f t="array" ref="G280">SUMPRODUCT(IF(((H280-$F$4:$F$515)/$B$10)&lt;=-1,0,IF(((H280-$F$4:$F$515)/$B$10)&gt;=1,1,(15/16)*(((H280-$F$4:$F$515)/$B$10)-(2/3)*((H280-$F$4:$F$515)/$B$10)^3+(1/5)*((H280-$F$4:$F$515)/$B$10)^5+8/15))))/COUNT($F$4:$F$515)</f>
        <v>1.953125E-3</v>
      </c>
      <c r="H280" s="15">
        <f t="shared" si="14"/>
        <v>-6.9854939878500028E-2</v>
      </c>
      <c r="K280" s="14">
        <v>0.01</v>
      </c>
      <c r="L280" s="15">
        <f t="shared" si="12"/>
        <v>-1.6954939878499008E-2</v>
      </c>
    </row>
    <row r="281" spans="4:12" ht="14.4" customHeight="1">
      <c r="D281" s="4">
        <v>42403</v>
      </c>
      <c r="E281" s="5">
        <v>4.0250000000000004</v>
      </c>
      <c r="F281" s="5">
        <f t="shared" si="13"/>
        <v>-1.9309846441795307E-2</v>
      </c>
      <c r="G281" s="3" cm="1">
        <f t="array" ref="G281">SUMPRODUCT(IF(((H281-$F$4:$F$515)/$B$10)&lt;=-1,0,IF(((H281-$F$4:$F$515)/$B$10)&gt;=1,1,(15/16)*(((H281-$F$4:$F$515)/$B$10)-(2/3)*((H281-$F$4:$F$515)/$B$10)^3+(1/5)*((H281-$F$4:$F$515)/$B$10)^5+8/15))))/COUNT($F$4:$F$515)</f>
        <v>1.953125E-3</v>
      </c>
      <c r="H281" s="5">
        <f t="shared" si="14"/>
        <v>-6.9754939878500025E-2</v>
      </c>
      <c r="K281" s="4">
        <v>0.01</v>
      </c>
      <c r="L281" s="5">
        <f t="shared" si="12"/>
        <v>-1.6954939878499008E-2</v>
      </c>
    </row>
    <row r="282" spans="4:12" ht="14.4" customHeight="1">
      <c r="D282" s="14">
        <v>42404</v>
      </c>
      <c r="E282" s="15">
        <v>4.1619999999999999</v>
      </c>
      <c r="F282" s="15">
        <f t="shared" si="13"/>
        <v>1.4536191171720739E-2</v>
      </c>
      <c r="G282" s="16" cm="1">
        <f t="array" ref="G282">SUMPRODUCT(IF(((H282-$F$4:$F$515)/$B$10)&lt;=-1,0,IF(((H282-$F$4:$F$515)/$B$10)&gt;=1,1,(15/16)*(((H282-$F$4:$F$515)/$B$10)-(2/3)*((H282-$F$4:$F$515)/$B$10)^3+(1/5)*((H282-$F$4:$F$515)/$B$10)^5+8/15))))/COUNT($F$4:$F$515)</f>
        <v>1.953125E-3</v>
      </c>
      <c r="H282" s="15">
        <f t="shared" si="14"/>
        <v>-6.9654939878500022E-2</v>
      </c>
      <c r="K282" s="14">
        <v>0.01</v>
      </c>
      <c r="L282" s="15">
        <f t="shared" si="12"/>
        <v>-1.6954939878499008E-2</v>
      </c>
    </row>
    <row r="283" spans="4:12" ht="14.4" customHeight="1">
      <c r="D283" s="4">
        <v>42405</v>
      </c>
      <c r="E283" s="5">
        <v>4.2770000000000001</v>
      </c>
      <c r="F283" s="5">
        <f t="shared" si="13"/>
        <v>1.1837174381202962E-2</v>
      </c>
      <c r="G283" s="3" cm="1">
        <f t="array" ref="G283">SUMPRODUCT(IF(((H283-$F$4:$F$515)/$B$10)&lt;=-1,0,IF(((H283-$F$4:$F$515)/$B$10)&gt;=1,1,(15/16)*(((H283-$F$4:$F$515)/$B$10)-(2/3)*((H283-$F$4:$F$515)/$B$10)^3+(1/5)*((H283-$F$4:$F$515)/$B$10)^5+8/15))))/COUNT($F$4:$F$515)</f>
        <v>1.953125E-3</v>
      </c>
      <c r="H283" s="5">
        <f t="shared" si="14"/>
        <v>-6.9554939878500019E-2</v>
      </c>
      <c r="K283" s="4">
        <v>0.01</v>
      </c>
      <c r="L283" s="5">
        <f t="shared" si="12"/>
        <v>-1.6954939878499008E-2</v>
      </c>
    </row>
    <row r="284" spans="4:12" ht="14.4" customHeight="1">
      <c r="D284" s="14">
        <v>42408</v>
      </c>
      <c r="E284" s="15">
        <v>4.0830000000000002</v>
      </c>
      <c r="F284" s="15">
        <f t="shared" si="13"/>
        <v>-2.0159870333813917E-2</v>
      </c>
      <c r="G284" s="16" cm="1">
        <f t="array" ref="G284">SUMPRODUCT(IF(((H284-$F$4:$F$515)/$B$10)&lt;=-1,0,IF(((H284-$F$4:$F$515)/$B$10)&gt;=1,1,(15/16)*(((H284-$F$4:$F$515)/$B$10)-(2/3)*((H284-$F$4:$F$515)/$B$10)^3+(1/5)*((H284-$F$4:$F$515)/$B$10)^5+8/15))))/COUNT($F$4:$F$515)</f>
        <v>1.953125E-3</v>
      </c>
      <c r="H284" s="15">
        <f t="shared" si="14"/>
        <v>-6.9454939878500016E-2</v>
      </c>
      <c r="K284" s="14">
        <v>0.01</v>
      </c>
      <c r="L284" s="15">
        <f t="shared" si="12"/>
        <v>-1.6954939878499008E-2</v>
      </c>
    </row>
    <row r="285" spans="4:12" ht="14.4" customHeight="1">
      <c r="D285" s="4">
        <v>42409</v>
      </c>
      <c r="E285" s="5">
        <v>3.86</v>
      </c>
      <c r="F285" s="5">
        <f t="shared" si="13"/>
        <v>-2.4392075251242221E-2</v>
      </c>
      <c r="G285" s="3" cm="1">
        <f t="array" ref="G285">SUMPRODUCT(IF(((H285-$F$4:$F$515)/$B$10)&lt;=-1,0,IF(((H285-$F$4:$F$515)/$B$10)&gt;=1,1,(15/16)*(((H285-$F$4:$F$515)/$B$10)-(2/3)*((H285-$F$4:$F$515)/$B$10)^3+(1/5)*((H285-$F$4:$F$515)/$B$10)^5+8/15))))/COUNT($F$4:$F$515)</f>
        <v>1.953125E-3</v>
      </c>
      <c r="H285" s="5">
        <f t="shared" si="14"/>
        <v>-6.9354939878500013E-2</v>
      </c>
      <c r="K285" s="4">
        <v>0.01</v>
      </c>
      <c r="L285" s="5">
        <f t="shared" si="12"/>
        <v>-1.6954939878499008E-2</v>
      </c>
    </row>
    <row r="286" spans="4:12" ht="14.4" customHeight="1">
      <c r="D286" s="14">
        <v>42410</v>
      </c>
      <c r="E286" s="15">
        <v>4.101</v>
      </c>
      <c r="F286" s="15">
        <f t="shared" si="13"/>
        <v>2.6302464615729743E-2</v>
      </c>
      <c r="G286" s="16" cm="1">
        <f t="array" ref="G286">SUMPRODUCT(IF(((H286-$F$4:$F$515)/$B$10)&lt;=-1,0,IF(((H286-$F$4:$F$515)/$B$10)&gt;=1,1,(15/16)*(((H286-$F$4:$F$515)/$B$10)-(2/3)*((H286-$F$4:$F$515)/$B$10)^3+(1/5)*((H286-$F$4:$F$515)/$B$10)^5+8/15))))/COUNT($F$4:$F$515)</f>
        <v>1.953125E-3</v>
      </c>
      <c r="H286" s="15">
        <f t="shared" si="14"/>
        <v>-6.925493987850001E-2</v>
      </c>
      <c r="K286" s="14">
        <v>0.01</v>
      </c>
      <c r="L286" s="15">
        <f t="shared" si="12"/>
        <v>-1.6954939878499008E-2</v>
      </c>
    </row>
    <row r="287" spans="4:12" ht="14.4" customHeight="1">
      <c r="D287" s="4">
        <v>42411</v>
      </c>
      <c r="E287" s="5">
        <v>4.3289999999999997</v>
      </c>
      <c r="F287" s="5">
        <f t="shared" si="13"/>
        <v>2.3497816525671927E-2</v>
      </c>
      <c r="G287" s="3" cm="1">
        <f t="array" ref="G287">SUMPRODUCT(IF(((H287-$F$4:$F$515)/$B$10)&lt;=-1,0,IF(((H287-$F$4:$F$515)/$B$10)&gt;=1,1,(15/16)*(((H287-$F$4:$F$515)/$B$10)-(2/3)*((H287-$F$4:$F$515)/$B$10)^3+(1/5)*((H287-$F$4:$F$515)/$B$10)^5+8/15))))/COUNT($F$4:$F$515)</f>
        <v>1.953125E-3</v>
      </c>
      <c r="H287" s="5">
        <f t="shared" si="14"/>
        <v>-6.9154939878500007E-2</v>
      </c>
      <c r="K287" s="4">
        <v>0.01</v>
      </c>
      <c r="L287" s="5">
        <f t="shared" si="12"/>
        <v>-1.6954939878499008E-2</v>
      </c>
    </row>
    <row r="288" spans="4:12" ht="14.4" customHeight="1">
      <c r="D288" s="14">
        <v>42412</v>
      </c>
      <c r="E288" s="15">
        <v>4.4089999999999998</v>
      </c>
      <c r="F288" s="15">
        <f t="shared" si="13"/>
        <v>7.952513013165935E-3</v>
      </c>
      <c r="G288" s="16" cm="1">
        <f t="array" ref="G288">SUMPRODUCT(IF(((H288-$F$4:$F$515)/$B$10)&lt;=-1,0,IF(((H288-$F$4:$F$515)/$B$10)&gt;=1,1,(15/16)*(((H288-$F$4:$F$515)/$B$10)-(2/3)*((H288-$F$4:$F$515)/$B$10)^3+(1/5)*((H288-$F$4:$F$515)/$B$10)^5+8/15))))/COUNT($F$4:$F$515)</f>
        <v>1.953125E-3</v>
      </c>
      <c r="H288" s="15">
        <f t="shared" si="14"/>
        <v>-6.9054939878500005E-2</v>
      </c>
      <c r="K288" s="14">
        <v>0.01</v>
      </c>
      <c r="L288" s="15">
        <f t="shared" si="12"/>
        <v>-1.6954939878499008E-2</v>
      </c>
    </row>
    <row r="289" spans="4:12" ht="14.4" customHeight="1">
      <c r="D289" s="4">
        <v>42415</v>
      </c>
      <c r="E289" s="5">
        <v>4.6520000000000001</v>
      </c>
      <c r="F289" s="5">
        <f t="shared" si="13"/>
        <v>2.3299607230088223E-2</v>
      </c>
      <c r="G289" s="3" cm="1">
        <f t="array" ref="G289">SUMPRODUCT(IF(((H289-$F$4:$F$515)/$B$10)&lt;=-1,0,IF(((H289-$F$4:$F$515)/$B$10)&gt;=1,1,(15/16)*(((H289-$F$4:$F$515)/$B$10)-(2/3)*((H289-$F$4:$F$515)/$B$10)^3+(1/5)*((H289-$F$4:$F$515)/$B$10)^5+8/15))))/COUNT($F$4:$F$515)</f>
        <v>1.953125E-3</v>
      </c>
      <c r="H289" s="5">
        <f t="shared" si="14"/>
        <v>-6.8954939878500002E-2</v>
      </c>
      <c r="K289" s="4">
        <v>0.01</v>
      </c>
      <c r="L289" s="5">
        <f t="shared" si="12"/>
        <v>-1.6954939878499008E-2</v>
      </c>
    </row>
    <row r="290" spans="4:12" ht="14.4" customHeight="1">
      <c r="D290" s="14">
        <v>42416</v>
      </c>
      <c r="E290" s="15">
        <v>4.7089999999999996</v>
      </c>
      <c r="F290" s="15">
        <f t="shared" si="13"/>
        <v>5.2889843863115982E-3</v>
      </c>
      <c r="G290" s="16" cm="1">
        <f t="array" ref="G290">SUMPRODUCT(IF(((H290-$F$4:$F$515)/$B$10)&lt;=-1,0,IF(((H290-$F$4:$F$515)/$B$10)&gt;=1,1,(15/16)*(((H290-$F$4:$F$515)/$B$10)-(2/3)*((H290-$F$4:$F$515)/$B$10)^3+(1/5)*((H290-$F$4:$F$515)/$B$10)^5+8/15))))/COUNT($F$4:$F$515)</f>
        <v>1.953125E-3</v>
      </c>
      <c r="H290" s="15">
        <f t="shared" si="14"/>
        <v>-6.8854939878499999E-2</v>
      </c>
      <c r="K290" s="14">
        <v>0.01</v>
      </c>
      <c r="L290" s="15">
        <f t="shared" si="12"/>
        <v>-1.6954939878499008E-2</v>
      </c>
    </row>
    <row r="291" spans="4:12" ht="14.4" customHeight="1">
      <c r="D291" s="4">
        <v>42417</v>
      </c>
      <c r="E291" s="5">
        <v>4.7320000000000002</v>
      </c>
      <c r="F291" s="5">
        <f t="shared" si="13"/>
        <v>2.1160455131703413E-3</v>
      </c>
      <c r="G291" s="3" cm="1">
        <f t="array" ref="G291">SUMPRODUCT(IF(((H291-$F$4:$F$515)/$B$10)&lt;=-1,0,IF(((H291-$F$4:$F$515)/$B$10)&gt;=1,1,(15/16)*(((H291-$F$4:$F$515)/$B$10)-(2/3)*((H291-$F$4:$F$515)/$B$10)^3+(1/5)*((H291-$F$4:$F$515)/$B$10)^5+8/15))))/COUNT($F$4:$F$515)</f>
        <v>1.953125E-3</v>
      </c>
      <c r="H291" s="5">
        <f t="shared" si="14"/>
        <v>-6.8754939878499996E-2</v>
      </c>
      <c r="K291" s="4">
        <v>0.01</v>
      </c>
      <c r="L291" s="5">
        <f t="shared" si="12"/>
        <v>-1.6954939878499008E-2</v>
      </c>
    </row>
    <row r="292" spans="4:12" ht="14.4" customHeight="1">
      <c r="D292" s="14">
        <v>42418</v>
      </c>
      <c r="E292" s="15">
        <v>4.6319999999999997</v>
      </c>
      <c r="F292" s="15">
        <f t="shared" si="13"/>
        <v>-9.2761852365130446E-3</v>
      </c>
      <c r="G292" s="16" cm="1">
        <f t="array" ref="G292">SUMPRODUCT(IF(((H292-$F$4:$F$515)/$B$10)&lt;=-1,0,IF(((H292-$F$4:$F$515)/$B$10)&gt;=1,1,(15/16)*(((H292-$F$4:$F$515)/$B$10)-(2/3)*((H292-$F$4:$F$515)/$B$10)^3+(1/5)*((H292-$F$4:$F$515)/$B$10)^5+8/15))))/COUNT($F$4:$F$515)</f>
        <v>1.953125E-3</v>
      </c>
      <c r="H292" s="15">
        <f t="shared" si="14"/>
        <v>-6.8654939878499993E-2</v>
      </c>
      <c r="K292" s="14">
        <v>0.01</v>
      </c>
      <c r="L292" s="15">
        <f t="shared" si="12"/>
        <v>-1.6954939878499008E-2</v>
      </c>
    </row>
    <row r="293" spans="4:12" ht="14.4" customHeight="1">
      <c r="D293" s="4">
        <v>42419</v>
      </c>
      <c r="E293" s="5">
        <v>4.54</v>
      </c>
      <c r="F293" s="5">
        <f t="shared" si="13"/>
        <v>-8.7126978622758342E-3</v>
      </c>
      <c r="G293" s="3" cm="1">
        <f t="array" ref="G293">SUMPRODUCT(IF(((H293-$F$4:$F$515)/$B$10)&lt;=-1,0,IF(((H293-$F$4:$F$515)/$B$10)&gt;=1,1,(15/16)*(((H293-$F$4:$F$515)/$B$10)-(2/3)*((H293-$F$4:$F$515)/$B$10)^3+(1/5)*((H293-$F$4:$F$515)/$B$10)^5+8/15))))/COUNT($F$4:$F$515)</f>
        <v>1.953125E-3</v>
      </c>
      <c r="H293" s="5">
        <f t="shared" si="14"/>
        <v>-6.855493987849999E-2</v>
      </c>
      <c r="K293" s="4">
        <v>0.01</v>
      </c>
      <c r="L293" s="5">
        <f t="shared" si="12"/>
        <v>-1.6954939878499008E-2</v>
      </c>
    </row>
    <row r="294" spans="4:12" ht="14.4" customHeight="1">
      <c r="D294" s="14">
        <v>42422</v>
      </c>
      <c r="E294" s="15">
        <v>4.7389999999999999</v>
      </c>
      <c r="F294" s="15">
        <f t="shared" si="13"/>
        <v>1.8630855842297248E-2</v>
      </c>
      <c r="G294" s="16" cm="1">
        <f t="array" ref="G294">SUMPRODUCT(IF(((H294-$F$4:$F$515)/$B$10)&lt;=-1,0,IF(((H294-$F$4:$F$515)/$B$10)&gt;=1,1,(15/16)*(((H294-$F$4:$F$515)/$B$10)-(2/3)*((H294-$F$4:$F$515)/$B$10)^3+(1/5)*((H294-$F$4:$F$515)/$B$10)^5+8/15))))/COUNT($F$4:$F$515)</f>
        <v>1.953125E-3</v>
      </c>
      <c r="H294" s="15">
        <f t="shared" si="14"/>
        <v>-6.8454939878499987E-2</v>
      </c>
      <c r="K294" s="14">
        <v>0.01</v>
      </c>
      <c r="L294" s="15">
        <f t="shared" si="12"/>
        <v>-1.6954939878499008E-2</v>
      </c>
    </row>
    <row r="295" spans="4:12" ht="14.4" customHeight="1">
      <c r="D295" s="4">
        <v>42423</v>
      </c>
      <c r="E295" s="5">
        <v>4.6429999999999998</v>
      </c>
      <c r="F295" s="5">
        <f t="shared" si="13"/>
        <v>-8.8880250332270937E-3</v>
      </c>
      <c r="G295" s="3" cm="1">
        <f t="array" ref="G295">SUMPRODUCT(IF(((H295-$F$4:$F$515)/$B$10)&lt;=-1,0,IF(((H295-$F$4:$F$515)/$B$10)&gt;=1,1,(15/16)*(((H295-$F$4:$F$515)/$B$10)-(2/3)*((H295-$F$4:$F$515)/$B$10)^3+(1/5)*((H295-$F$4:$F$515)/$B$10)^5+8/15))))/COUNT($F$4:$F$515)</f>
        <v>1.953125E-3</v>
      </c>
      <c r="H295" s="5">
        <f t="shared" si="14"/>
        <v>-6.8354939878499985E-2</v>
      </c>
      <c r="K295" s="4">
        <v>0.01</v>
      </c>
      <c r="L295" s="5">
        <f t="shared" si="12"/>
        <v>-1.6954939878499008E-2</v>
      </c>
    </row>
    <row r="296" spans="4:12" ht="14.4" customHeight="1">
      <c r="D296" s="14">
        <v>42424</v>
      </c>
      <c r="E296" s="15">
        <v>4.5209999999999999</v>
      </c>
      <c r="F296" s="15">
        <f t="shared" si="13"/>
        <v>-1.1564176631879813E-2</v>
      </c>
      <c r="G296" s="16" cm="1">
        <f t="array" ref="G296">SUMPRODUCT(IF(((H296-$F$4:$F$515)/$B$10)&lt;=-1,0,IF(((H296-$F$4:$F$515)/$B$10)&gt;=1,1,(15/16)*(((H296-$F$4:$F$515)/$B$10)-(2/3)*((H296-$F$4:$F$515)/$B$10)^3+(1/5)*((H296-$F$4:$F$515)/$B$10)^5+8/15))))/COUNT($F$4:$F$515)</f>
        <v>1.953125E-3</v>
      </c>
      <c r="H296" s="15">
        <f t="shared" si="14"/>
        <v>-6.8254939878499982E-2</v>
      </c>
      <c r="K296" s="14">
        <v>0.01</v>
      </c>
      <c r="L296" s="15">
        <f t="shared" si="12"/>
        <v>-1.6954939878499008E-2</v>
      </c>
    </row>
    <row r="297" spans="4:12" ht="14.4" customHeight="1">
      <c r="D297" s="4">
        <v>42425</v>
      </c>
      <c r="E297" s="5">
        <v>4.6500000000000004</v>
      </c>
      <c r="F297" s="5">
        <f t="shared" si="13"/>
        <v>1.2218445855659734E-2</v>
      </c>
      <c r="G297" s="3" cm="1">
        <f t="array" ref="G297">SUMPRODUCT(IF(((H297-$F$4:$F$515)/$B$10)&lt;=-1,0,IF(((H297-$F$4:$F$515)/$B$10)&gt;=1,1,(15/16)*(((H297-$F$4:$F$515)/$B$10)-(2/3)*((H297-$F$4:$F$515)/$B$10)^3+(1/5)*((H297-$F$4:$F$515)/$B$10)^5+8/15))))/COUNT($F$4:$F$515)</f>
        <v>1.953125E-3</v>
      </c>
      <c r="H297" s="5">
        <f t="shared" si="14"/>
        <v>-6.8154939878499979E-2</v>
      </c>
      <c r="K297" s="4">
        <v>0.01</v>
      </c>
      <c r="L297" s="5">
        <f t="shared" si="12"/>
        <v>-1.6954939878499008E-2</v>
      </c>
    </row>
    <row r="298" spans="4:12" ht="14.4" customHeight="1">
      <c r="D298" s="14">
        <v>42426</v>
      </c>
      <c r="E298" s="15">
        <v>4.8689999999999998</v>
      </c>
      <c r="F298" s="15">
        <f t="shared" si="13"/>
        <v>1.9986821655940307E-2</v>
      </c>
      <c r="G298" s="16" cm="1">
        <f t="array" ref="G298">SUMPRODUCT(IF(((H298-$F$4:$F$515)/$B$10)&lt;=-1,0,IF(((H298-$F$4:$F$515)/$B$10)&gt;=1,1,(15/16)*(((H298-$F$4:$F$515)/$B$10)-(2/3)*((H298-$F$4:$F$515)/$B$10)^3+(1/5)*((H298-$F$4:$F$515)/$B$10)^5+8/15))))/COUNT($F$4:$F$515)</f>
        <v>1.953125E-3</v>
      </c>
      <c r="H298" s="15">
        <f t="shared" si="14"/>
        <v>-6.8054939878499976E-2</v>
      </c>
      <c r="K298" s="14">
        <v>0.01</v>
      </c>
      <c r="L298" s="15">
        <f t="shared" si="12"/>
        <v>-1.6954939878499008E-2</v>
      </c>
    </row>
    <row r="299" spans="4:12" ht="14.4" customHeight="1">
      <c r="D299" s="4">
        <v>42429</v>
      </c>
      <c r="E299" s="5">
        <v>4.9359999999999999</v>
      </c>
      <c r="F299" s="5">
        <f t="shared" si="13"/>
        <v>5.9353764792909889E-3</v>
      </c>
      <c r="G299" s="3" cm="1">
        <f t="array" ref="G299">SUMPRODUCT(IF(((H299-$F$4:$F$515)/$B$10)&lt;=-1,0,IF(((H299-$F$4:$F$515)/$B$10)&gt;=1,1,(15/16)*(((H299-$F$4:$F$515)/$B$10)-(2/3)*((H299-$F$4:$F$515)/$B$10)^3+(1/5)*((H299-$F$4:$F$515)/$B$10)^5+8/15))))/COUNT($F$4:$F$515)</f>
        <v>1.953125E-3</v>
      </c>
      <c r="H299" s="5">
        <f t="shared" si="14"/>
        <v>-6.7954939878499973E-2</v>
      </c>
      <c r="K299" s="4">
        <v>0.01</v>
      </c>
      <c r="L299" s="5">
        <f t="shared" si="12"/>
        <v>-1.6954939878499008E-2</v>
      </c>
    </row>
    <row r="300" spans="4:12" ht="14.4" customHeight="1">
      <c r="D300" s="14">
        <v>42430</v>
      </c>
      <c r="E300" s="15">
        <v>5.0599999999999996</v>
      </c>
      <c r="F300" s="15">
        <f t="shared" si="13"/>
        <v>1.0775365814613826E-2</v>
      </c>
      <c r="G300" s="16" cm="1">
        <f t="array" ref="G300">SUMPRODUCT(IF(((H300-$F$4:$F$515)/$B$10)&lt;=-1,0,IF(((H300-$F$4:$F$515)/$B$10)&gt;=1,1,(15/16)*(((H300-$F$4:$F$515)/$B$10)-(2/3)*((H300-$F$4:$F$515)/$B$10)^3+(1/5)*((H300-$F$4:$F$515)/$B$10)^5+8/15))))/COUNT($F$4:$F$515)</f>
        <v>1.953125E-3</v>
      </c>
      <c r="H300" s="15">
        <f t="shared" si="14"/>
        <v>-6.785493987849997E-2</v>
      </c>
      <c r="K300" s="14">
        <v>0.01</v>
      </c>
      <c r="L300" s="15">
        <f t="shared" si="12"/>
        <v>-1.6954939878499008E-2</v>
      </c>
    </row>
    <row r="301" spans="4:12" ht="14.4" customHeight="1">
      <c r="D301" s="4">
        <v>42431</v>
      </c>
      <c r="E301" s="5">
        <v>5.1449999999999996</v>
      </c>
      <c r="F301" s="5">
        <f t="shared" si="13"/>
        <v>7.2348622586526252E-3</v>
      </c>
      <c r="G301" s="3" cm="1">
        <f t="array" ref="G301">SUMPRODUCT(IF(((H301-$F$4:$F$515)/$B$10)&lt;=-1,0,IF(((H301-$F$4:$F$515)/$B$10)&gt;=1,1,(15/16)*(((H301-$F$4:$F$515)/$B$10)-(2/3)*((H301-$F$4:$F$515)/$B$10)^3+(1/5)*((H301-$F$4:$F$515)/$B$10)^5+8/15))))/COUNT($F$4:$F$515)</f>
        <v>1.953125E-3</v>
      </c>
      <c r="H301" s="5">
        <f t="shared" si="14"/>
        <v>-6.7754939878499967E-2</v>
      </c>
      <c r="K301" s="4">
        <v>0.01</v>
      </c>
      <c r="L301" s="5">
        <f t="shared" si="12"/>
        <v>-1.6954939878499008E-2</v>
      </c>
    </row>
    <row r="302" spans="4:12" ht="14.4" customHeight="1">
      <c r="D302" s="14">
        <v>42432</v>
      </c>
      <c r="E302" s="15">
        <v>5.202</v>
      </c>
      <c r="F302" s="15">
        <f t="shared" si="13"/>
        <v>4.7849687614021814E-3</v>
      </c>
      <c r="G302" s="16" cm="1">
        <f t="array" ref="G302">SUMPRODUCT(IF(((H302-$F$4:$F$515)/$B$10)&lt;=-1,0,IF(((H302-$F$4:$F$515)/$B$10)&gt;=1,1,(15/16)*(((H302-$F$4:$F$515)/$B$10)-(2/3)*((H302-$F$4:$F$515)/$B$10)^3+(1/5)*((H302-$F$4:$F$515)/$B$10)^5+8/15))))/COUNT($F$4:$F$515)</f>
        <v>1.953125E-3</v>
      </c>
      <c r="H302" s="15">
        <f t="shared" si="14"/>
        <v>-6.7654939878499964E-2</v>
      </c>
      <c r="K302" s="14">
        <v>0.01</v>
      </c>
      <c r="L302" s="15">
        <f t="shared" si="12"/>
        <v>-1.6954939878499008E-2</v>
      </c>
    </row>
    <row r="303" spans="4:12" ht="14.4" customHeight="1">
      <c r="D303" s="4">
        <v>42433</v>
      </c>
      <c r="E303" s="5">
        <v>5.1689999999999996</v>
      </c>
      <c r="F303" s="5">
        <f t="shared" si="13"/>
        <v>-2.7638156921630081E-3</v>
      </c>
      <c r="G303" s="3" cm="1">
        <f t="array" ref="G303">SUMPRODUCT(IF(((H303-$F$4:$F$515)/$B$10)&lt;=-1,0,IF(((H303-$F$4:$F$515)/$B$10)&gt;=1,1,(15/16)*(((H303-$F$4:$F$515)/$B$10)-(2/3)*((H303-$F$4:$F$515)/$B$10)^3+(1/5)*((H303-$F$4:$F$515)/$B$10)^5+8/15))))/COUNT($F$4:$F$515)</f>
        <v>1.953125E-3</v>
      </c>
      <c r="H303" s="5">
        <f t="shared" si="14"/>
        <v>-6.7554939878499962E-2</v>
      </c>
      <c r="K303" s="4">
        <v>0.01</v>
      </c>
      <c r="L303" s="5">
        <f t="shared" si="12"/>
        <v>-1.6954939878499008E-2</v>
      </c>
    </row>
    <row r="304" spans="4:12" ht="14.4" customHeight="1">
      <c r="D304" s="14">
        <v>42436</v>
      </c>
      <c r="E304" s="15">
        <v>5.0110000000000001</v>
      </c>
      <c r="F304" s="15">
        <f t="shared" si="13"/>
        <v>-1.3482129425214201E-2</v>
      </c>
      <c r="G304" s="16" cm="1">
        <f t="array" ref="G304">SUMPRODUCT(IF(((H304-$F$4:$F$515)/$B$10)&lt;=-1,0,IF(((H304-$F$4:$F$515)/$B$10)&gt;=1,1,(15/16)*(((H304-$F$4:$F$515)/$B$10)-(2/3)*((H304-$F$4:$F$515)/$B$10)^3+(1/5)*((H304-$F$4:$F$515)/$B$10)^5+8/15))))/COUNT($F$4:$F$515)</f>
        <v>1.953125E-3</v>
      </c>
      <c r="H304" s="15">
        <f t="shared" si="14"/>
        <v>-6.7454939878499959E-2</v>
      </c>
      <c r="K304" s="14">
        <v>0.01</v>
      </c>
      <c r="L304" s="15">
        <f t="shared" si="12"/>
        <v>-1.6954939878499008E-2</v>
      </c>
    </row>
    <row r="305" spans="4:12" ht="14.4" customHeight="1">
      <c r="D305" s="4">
        <v>42437</v>
      </c>
      <c r="E305" s="5">
        <v>4.93</v>
      </c>
      <c r="F305" s="5">
        <f t="shared" si="13"/>
        <v>-7.0774834652466995E-3</v>
      </c>
      <c r="G305" s="3" cm="1">
        <f t="array" ref="G305">SUMPRODUCT(IF(((H305-$F$4:$F$515)/$B$10)&lt;=-1,0,IF(((H305-$F$4:$F$515)/$B$10)&gt;=1,1,(15/16)*(((H305-$F$4:$F$515)/$B$10)-(2/3)*((H305-$F$4:$F$515)/$B$10)^3+(1/5)*((H305-$F$4:$F$515)/$B$10)^5+8/15))))/COUNT($F$4:$F$515)</f>
        <v>1.953125E-3</v>
      </c>
      <c r="H305" s="5">
        <f t="shared" si="14"/>
        <v>-6.7354939878499956E-2</v>
      </c>
      <c r="K305" s="4">
        <v>0.01</v>
      </c>
      <c r="L305" s="5">
        <f t="shared" si="12"/>
        <v>-1.6954939878499008E-2</v>
      </c>
    </row>
    <row r="306" spans="4:12" ht="14.4" customHeight="1">
      <c r="D306" s="14">
        <v>42438</v>
      </c>
      <c r="E306" s="15">
        <v>4.9000000000000004</v>
      </c>
      <c r="F306" s="15">
        <f t="shared" si="13"/>
        <v>-2.6508392487163E-3</v>
      </c>
      <c r="G306" s="16" cm="1">
        <f t="array" ref="G306">SUMPRODUCT(IF(((H306-$F$4:$F$515)/$B$10)&lt;=-1,0,IF(((H306-$F$4:$F$515)/$B$10)&gt;=1,1,(15/16)*(((H306-$F$4:$F$515)/$B$10)-(2/3)*((H306-$F$4:$F$515)/$B$10)^3+(1/5)*((H306-$F$4:$F$515)/$B$10)^5+8/15))))/COUNT($F$4:$F$515)</f>
        <v>1.953125E-3</v>
      </c>
      <c r="H306" s="15">
        <f t="shared" si="14"/>
        <v>-6.7254939878499953E-2</v>
      </c>
      <c r="K306" s="14">
        <v>0.01</v>
      </c>
      <c r="L306" s="15">
        <f t="shared" si="12"/>
        <v>-1.6954939878499008E-2</v>
      </c>
    </row>
    <row r="307" spans="4:12" ht="14.4" customHeight="1">
      <c r="D307" s="4">
        <v>42439</v>
      </c>
      <c r="E307" s="5">
        <v>4.78</v>
      </c>
      <c r="F307" s="5">
        <f t="shared" si="13"/>
        <v>-1.0768183416394813E-2</v>
      </c>
      <c r="G307" s="3" cm="1">
        <f t="array" ref="G307">SUMPRODUCT(IF(((H307-$F$4:$F$515)/$B$10)&lt;=-1,0,IF(((H307-$F$4:$F$515)/$B$10)&gt;=1,1,(15/16)*(((H307-$F$4:$F$515)/$B$10)-(2/3)*((H307-$F$4:$F$515)/$B$10)^3+(1/5)*((H307-$F$4:$F$515)/$B$10)^5+8/15))))/COUNT($F$4:$F$515)</f>
        <v>1.953125E-3</v>
      </c>
      <c r="H307" s="5">
        <f t="shared" si="14"/>
        <v>-6.715493987849995E-2</v>
      </c>
      <c r="K307" s="4">
        <v>0.01</v>
      </c>
      <c r="L307" s="5">
        <f t="shared" si="12"/>
        <v>-1.6954939878499008E-2</v>
      </c>
    </row>
    <row r="308" spans="4:12" ht="14.4" customHeight="1">
      <c r="D308" s="14">
        <v>42440</v>
      </c>
      <c r="E308" s="15">
        <v>5.0830000000000002</v>
      </c>
      <c r="F308" s="15">
        <f t="shared" si="13"/>
        <v>2.6692213090584709E-2</v>
      </c>
      <c r="G308" s="16" cm="1">
        <f t="array" ref="G308">SUMPRODUCT(IF(((H308-$F$4:$F$515)/$B$10)&lt;=-1,0,IF(((H308-$F$4:$F$515)/$B$10)&gt;=1,1,(15/16)*(((H308-$F$4:$F$515)/$B$10)-(2/3)*((H308-$F$4:$F$515)/$B$10)^3+(1/5)*((H308-$F$4:$F$515)/$B$10)^5+8/15))))/COUNT($F$4:$F$515)</f>
        <v>1.953125E-3</v>
      </c>
      <c r="H308" s="15">
        <f t="shared" si="14"/>
        <v>-6.7054939878499947E-2</v>
      </c>
      <c r="K308" s="14">
        <v>0.01</v>
      </c>
      <c r="L308" s="15">
        <f t="shared" si="12"/>
        <v>-1.6954939878499008E-2</v>
      </c>
    </row>
    <row r="309" spans="4:12" ht="14.4" customHeight="1">
      <c r="D309" s="4">
        <v>42443</v>
      </c>
      <c r="E309" s="5">
        <v>5.024</v>
      </c>
      <c r="F309" s="5">
        <f t="shared" si="13"/>
        <v>-5.0704789735638691E-3</v>
      </c>
      <c r="G309" s="3" cm="1">
        <f t="array" ref="G309">SUMPRODUCT(IF(((H309-$F$4:$F$515)/$B$10)&lt;=-1,0,IF(((H309-$F$4:$F$515)/$B$10)&gt;=1,1,(15/16)*(((H309-$F$4:$F$515)/$B$10)-(2/3)*((H309-$F$4:$F$515)/$B$10)^3+(1/5)*((H309-$F$4:$F$515)/$B$10)^5+8/15))))/COUNT($F$4:$F$515)</f>
        <v>1.953125E-3</v>
      </c>
      <c r="H309" s="5">
        <f t="shared" si="14"/>
        <v>-6.6954939878499944E-2</v>
      </c>
      <c r="K309" s="4">
        <v>0.01</v>
      </c>
      <c r="L309" s="5">
        <f t="shared" si="12"/>
        <v>-1.6954939878499008E-2</v>
      </c>
    </row>
    <row r="310" spans="4:12" ht="14.4" customHeight="1">
      <c r="D310" s="14">
        <v>42444</v>
      </c>
      <c r="E310" s="15">
        <v>4.9029999999999996</v>
      </c>
      <c r="F310" s="15">
        <f t="shared" si="13"/>
        <v>-1.0587737482961497E-2</v>
      </c>
      <c r="G310" s="16" cm="1">
        <f t="array" ref="G310">SUMPRODUCT(IF(((H310-$F$4:$F$515)/$B$10)&lt;=-1,0,IF(((H310-$F$4:$F$515)/$B$10)&gt;=1,1,(15/16)*(((H310-$F$4:$F$515)/$B$10)-(2/3)*((H310-$F$4:$F$515)/$B$10)^3+(1/5)*((H310-$F$4:$F$515)/$B$10)^5+8/15))))/COUNT($F$4:$F$515)</f>
        <v>1.953125E-3</v>
      </c>
      <c r="H310" s="15">
        <f t="shared" si="14"/>
        <v>-6.6854939878499942E-2</v>
      </c>
      <c r="K310" s="14">
        <v>0.01</v>
      </c>
      <c r="L310" s="15">
        <f t="shared" si="12"/>
        <v>-1.6954939878499008E-2</v>
      </c>
    </row>
    <row r="311" spans="4:12" ht="14.4" customHeight="1">
      <c r="D311" s="4">
        <v>42445</v>
      </c>
      <c r="E311" s="5">
        <v>4.8630000000000004</v>
      </c>
      <c r="F311" s="5">
        <f t="shared" si="13"/>
        <v>-3.5576236780008133E-3</v>
      </c>
      <c r="G311" s="3" cm="1">
        <f t="array" ref="G311">SUMPRODUCT(IF(((H311-$F$4:$F$515)/$B$10)&lt;=-1,0,IF(((H311-$F$4:$F$515)/$B$10)&gt;=1,1,(15/16)*(((H311-$F$4:$F$515)/$B$10)-(2/3)*((H311-$F$4:$F$515)/$B$10)^3+(1/5)*((H311-$F$4:$F$515)/$B$10)^5+8/15))))/COUNT($F$4:$F$515)</f>
        <v>1.953125E-3</v>
      </c>
      <c r="H311" s="5">
        <f t="shared" si="14"/>
        <v>-6.6754939878499939E-2</v>
      </c>
      <c r="K311" s="4">
        <v>0.01</v>
      </c>
      <c r="L311" s="5">
        <f t="shared" si="12"/>
        <v>-1.6954939878499008E-2</v>
      </c>
    </row>
    <row r="312" spans="4:12" ht="14.4" customHeight="1">
      <c r="D312" s="14">
        <v>42446</v>
      </c>
      <c r="E312" s="15">
        <v>4.7519999999999998</v>
      </c>
      <c r="F312" s="15">
        <f t="shared" si="13"/>
        <v>-1.0027837595040282E-2</v>
      </c>
      <c r="G312" s="16" cm="1">
        <f t="array" ref="G312">SUMPRODUCT(IF(((H312-$F$4:$F$515)/$B$10)&lt;=-1,0,IF(((H312-$F$4:$F$515)/$B$10)&gt;=1,1,(15/16)*(((H312-$F$4:$F$515)/$B$10)-(2/3)*((H312-$F$4:$F$515)/$B$10)^3+(1/5)*((H312-$F$4:$F$515)/$B$10)^5+8/15))))/COUNT($F$4:$F$515)</f>
        <v>1.953125E-3</v>
      </c>
      <c r="H312" s="15">
        <f t="shared" si="14"/>
        <v>-6.6654939878499936E-2</v>
      </c>
      <c r="K312" s="14">
        <v>0.01</v>
      </c>
      <c r="L312" s="15">
        <f t="shared" si="12"/>
        <v>-1.6954939878499008E-2</v>
      </c>
    </row>
    <row r="313" spans="4:12" ht="14.4" customHeight="1">
      <c r="D313" s="4">
        <v>42447</v>
      </c>
      <c r="E313" s="5">
        <v>4.7380000000000004</v>
      </c>
      <c r="F313" s="5">
        <f t="shared" si="13"/>
        <v>-1.281375586390794E-3</v>
      </c>
      <c r="G313" s="3" cm="1">
        <f t="array" ref="G313">SUMPRODUCT(IF(((H313-$F$4:$F$515)/$B$10)&lt;=-1,0,IF(((H313-$F$4:$F$515)/$B$10)&gt;=1,1,(15/16)*(((H313-$F$4:$F$515)/$B$10)-(2/3)*((H313-$F$4:$F$515)/$B$10)^3+(1/5)*((H313-$F$4:$F$515)/$B$10)^5+8/15))))/COUNT($F$4:$F$515)</f>
        <v>1.953125E-3</v>
      </c>
      <c r="H313" s="5">
        <f t="shared" si="14"/>
        <v>-6.6554939878499933E-2</v>
      </c>
      <c r="K313" s="4">
        <v>0.01</v>
      </c>
      <c r="L313" s="5">
        <f t="shared" si="12"/>
        <v>-1.6954939878499008E-2</v>
      </c>
    </row>
    <row r="314" spans="4:12" ht="14.4" customHeight="1">
      <c r="D314" s="14">
        <v>42450</v>
      </c>
      <c r="E314" s="15">
        <v>4.7160000000000002</v>
      </c>
      <c r="F314" s="15">
        <f t="shared" si="13"/>
        <v>-2.0212599636947968E-3</v>
      </c>
      <c r="G314" s="16" cm="1">
        <f t="array" ref="G314">SUMPRODUCT(IF(((H314-$F$4:$F$515)/$B$10)&lt;=-1,0,IF(((H314-$F$4:$F$515)/$B$10)&gt;=1,1,(15/16)*(((H314-$F$4:$F$515)/$B$10)-(2/3)*((H314-$F$4:$F$515)/$B$10)^3+(1/5)*((H314-$F$4:$F$515)/$B$10)^5+8/15))))/COUNT($F$4:$F$515)</f>
        <v>1.953125E-3</v>
      </c>
      <c r="H314" s="15">
        <f t="shared" si="14"/>
        <v>-6.645493987849993E-2</v>
      </c>
      <c r="K314" s="14">
        <v>0.01</v>
      </c>
      <c r="L314" s="15">
        <f t="shared" si="12"/>
        <v>-1.6954939878499008E-2</v>
      </c>
    </row>
    <row r="315" spans="4:12" ht="14.4" customHeight="1">
      <c r="D315" s="4">
        <v>42451</v>
      </c>
      <c r="E315" s="5">
        <v>4.6790000000000003</v>
      </c>
      <c r="F315" s="5">
        <f t="shared" si="13"/>
        <v>-3.4207512308712753E-3</v>
      </c>
      <c r="G315" s="3" cm="1">
        <f t="array" ref="G315">SUMPRODUCT(IF(((H315-$F$4:$F$515)/$B$10)&lt;=-1,0,IF(((H315-$F$4:$F$515)/$B$10)&gt;=1,1,(15/16)*(((H315-$F$4:$F$515)/$B$10)-(2/3)*((H315-$F$4:$F$515)/$B$10)^3+(1/5)*((H315-$F$4:$F$515)/$B$10)^5+8/15))))/COUNT($F$4:$F$515)</f>
        <v>1.953125E-3</v>
      </c>
      <c r="H315" s="5">
        <f t="shared" si="14"/>
        <v>-6.6354939878499927E-2</v>
      </c>
      <c r="K315" s="4">
        <v>0.01</v>
      </c>
      <c r="L315" s="5">
        <f t="shared" si="12"/>
        <v>-1.6954939878499008E-2</v>
      </c>
    </row>
    <row r="316" spans="4:12" ht="14.4" customHeight="1">
      <c r="D316" s="14">
        <v>42452</v>
      </c>
      <c r="E316" s="15">
        <v>4.5739999999999998</v>
      </c>
      <c r="F316" s="15">
        <f t="shared" si="13"/>
        <v>-9.8568849214506187E-3</v>
      </c>
      <c r="G316" s="16" cm="1">
        <f t="array" ref="G316">SUMPRODUCT(IF(((H316-$F$4:$F$515)/$B$10)&lt;=-1,0,IF(((H316-$F$4:$F$515)/$B$10)&gt;=1,1,(15/16)*(((H316-$F$4:$F$515)/$B$10)-(2/3)*((H316-$F$4:$F$515)/$B$10)^3+(1/5)*((H316-$F$4:$F$515)/$B$10)^5+8/15))))/COUNT($F$4:$F$515)</f>
        <v>1.953125E-3</v>
      </c>
      <c r="H316" s="15">
        <f t="shared" si="14"/>
        <v>-6.6254939878499924E-2</v>
      </c>
      <c r="K316" s="14">
        <v>0.01</v>
      </c>
      <c r="L316" s="15">
        <f t="shared" si="12"/>
        <v>-1.6954939878499008E-2</v>
      </c>
    </row>
    <row r="317" spans="4:12" ht="14.4" customHeight="1">
      <c r="D317" s="4">
        <v>42453</v>
      </c>
      <c r="E317" s="5">
        <v>4.4260000000000002</v>
      </c>
      <c r="F317" s="5">
        <f t="shared" si="13"/>
        <v>-1.4284750679490518E-2</v>
      </c>
      <c r="G317" s="3" cm="1">
        <f t="array" ref="G317">SUMPRODUCT(IF(((H317-$F$4:$F$515)/$B$10)&lt;=-1,0,IF(((H317-$F$4:$F$515)/$B$10)&gt;=1,1,(15/16)*(((H317-$F$4:$F$515)/$B$10)-(2/3)*((H317-$F$4:$F$515)/$B$10)^3+(1/5)*((H317-$F$4:$F$515)/$B$10)^5+8/15))))/COUNT($F$4:$F$515)</f>
        <v>1.953125E-3</v>
      </c>
      <c r="H317" s="5">
        <f t="shared" si="14"/>
        <v>-6.6154939878499922E-2</v>
      </c>
      <c r="K317" s="4">
        <v>0.01</v>
      </c>
      <c r="L317" s="5">
        <f t="shared" si="12"/>
        <v>-1.6954939878499008E-2</v>
      </c>
    </row>
    <row r="318" spans="4:12" ht="14.4" customHeight="1">
      <c r="D318" s="14">
        <v>42458</v>
      </c>
      <c r="E318" s="15">
        <v>4.3769999999999998</v>
      </c>
      <c r="F318" s="15">
        <f t="shared" si="13"/>
        <v>-4.8348629781251127E-3</v>
      </c>
      <c r="G318" s="16" cm="1">
        <f t="array" ref="G318">SUMPRODUCT(IF(((H318-$F$4:$F$515)/$B$10)&lt;=-1,0,IF(((H318-$F$4:$F$515)/$B$10)&gt;=1,1,(15/16)*(((H318-$F$4:$F$515)/$B$10)-(2/3)*((H318-$F$4:$F$515)/$B$10)^3+(1/5)*((H318-$F$4:$F$515)/$B$10)^5+8/15))))/COUNT($F$4:$F$515)</f>
        <v>1.953125E-3</v>
      </c>
      <c r="H318" s="15">
        <f t="shared" si="14"/>
        <v>-6.6054939878499919E-2</v>
      </c>
      <c r="K318" s="14">
        <v>0.01</v>
      </c>
      <c r="L318" s="15">
        <f t="shared" si="12"/>
        <v>-1.6954939878499008E-2</v>
      </c>
    </row>
    <row r="319" spans="4:12" ht="14.4" customHeight="1">
      <c r="D319" s="4">
        <v>42459</v>
      </c>
      <c r="E319" s="5">
        <v>4.3650000000000002</v>
      </c>
      <c r="F319" s="5">
        <f t="shared" si="13"/>
        <v>-1.192298571525483E-3</v>
      </c>
      <c r="G319" s="3" cm="1">
        <f t="array" ref="G319">SUMPRODUCT(IF(((H319-$F$4:$F$515)/$B$10)&lt;=-1,0,IF(((H319-$F$4:$F$515)/$B$10)&gt;=1,1,(15/16)*(((H319-$F$4:$F$515)/$B$10)-(2/3)*((H319-$F$4:$F$515)/$B$10)^3+(1/5)*((H319-$F$4:$F$515)/$B$10)^5+8/15))))/COUNT($F$4:$F$515)</f>
        <v>1.953125E-3</v>
      </c>
      <c r="H319" s="5">
        <f t="shared" si="14"/>
        <v>-6.5954939878499916E-2</v>
      </c>
      <c r="K319" s="4">
        <v>0.01</v>
      </c>
      <c r="L319" s="5">
        <f t="shared" si="12"/>
        <v>-1.6954939878499008E-2</v>
      </c>
    </row>
    <row r="320" spans="4:12" ht="14.4" customHeight="1">
      <c r="D320" s="14">
        <v>42460</v>
      </c>
      <c r="E320" s="15">
        <v>4.327</v>
      </c>
      <c r="F320" s="15">
        <f t="shared" si="13"/>
        <v>-3.7973528428642887E-3</v>
      </c>
      <c r="G320" s="16" cm="1">
        <f t="array" ref="G320">SUMPRODUCT(IF(((H320-$F$4:$F$515)/$B$10)&lt;=-1,0,IF(((H320-$F$4:$F$515)/$B$10)&gt;=1,1,(15/16)*(((H320-$F$4:$F$515)/$B$10)-(2/3)*((H320-$F$4:$F$515)/$B$10)^3+(1/5)*((H320-$F$4:$F$515)/$B$10)^5+8/15))))/COUNT($F$4:$F$515)</f>
        <v>1.953125E-3</v>
      </c>
      <c r="H320" s="15">
        <f t="shared" si="14"/>
        <v>-6.5854939878499913E-2</v>
      </c>
      <c r="K320" s="14">
        <v>0.01</v>
      </c>
      <c r="L320" s="15">
        <f t="shared" si="12"/>
        <v>-1.6954939878499008E-2</v>
      </c>
    </row>
    <row r="321" spans="4:12" ht="14.4" customHeight="1">
      <c r="D321" s="4">
        <v>42461</v>
      </c>
      <c r="E321" s="5">
        <v>4.3259999999999996</v>
      </c>
      <c r="F321" s="5">
        <f t="shared" si="13"/>
        <v>-1.0038009565164192E-4</v>
      </c>
      <c r="G321" s="3" cm="1">
        <f t="array" ref="G321">SUMPRODUCT(IF(((H321-$F$4:$F$515)/$B$10)&lt;=-1,0,IF(((H321-$F$4:$F$515)/$B$10)&gt;=1,1,(15/16)*(((H321-$F$4:$F$515)/$B$10)-(2/3)*((H321-$F$4:$F$515)/$B$10)^3+(1/5)*((H321-$F$4:$F$515)/$B$10)^5+8/15))))/COUNT($F$4:$F$515)</f>
        <v>1.953125E-3</v>
      </c>
      <c r="H321" s="5">
        <f t="shared" si="14"/>
        <v>-6.575493987849991E-2</v>
      </c>
      <c r="K321" s="4">
        <v>0.01</v>
      </c>
      <c r="L321" s="5">
        <f t="shared" si="12"/>
        <v>-1.6954939878499008E-2</v>
      </c>
    </row>
    <row r="322" spans="4:12" ht="14.4" customHeight="1">
      <c r="D322" s="14">
        <v>42464</v>
      </c>
      <c r="E322" s="15">
        <v>4.3220000000000001</v>
      </c>
      <c r="F322" s="15">
        <f t="shared" si="13"/>
        <v>-4.0175255585010879E-4</v>
      </c>
      <c r="G322" s="16" cm="1">
        <f t="array" ref="G322">SUMPRODUCT(IF(((H322-$F$4:$F$515)/$B$10)&lt;=-1,0,IF(((H322-$F$4:$F$515)/$B$10)&gt;=1,1,(15/16)*(((H322-$F$4:$F$515)/$B$10)-(2/3)*((H322-$F$4:$F$515)/$B$10)^3+(1/5)*((H322-$F$4:$F$515)/$B$10)^5+8/15))))/COUNT($F$4:$F$515)</f>
        <v>1.953125E-3</v>
      </c>
      <c r="H322" s="15">
        <f t="shared" si="14"/>
        <v>-6.5654939878499907E-2</v>
      </c>
      <c r="K322" s="14">
        <v>0.01</v>
      </c>
      <c r="L322" s="15">
        <f t="shared" si="12"/>
        <v>-1.6954939878499008E-2</v>
      </c>
    </row>
    <row r="323" spans="4:12" ht="14.4" customHeight="1">
      <c r="D323" s="4">
        <v>42465</v>
      </c>
      <c r="E323" s="5">
        <v>4.1909999999999998</v>
      </c>
      <c r="F323" s="5">
        <f t="shared" si="13"/>
        <v>-1.3367101713378193E-2</v>
      </c>
      <c r="G323" s="3" cm="1">
        <f t="array" ref="G323">SUMPRODUCT(IF(((H323-$F$4:$F$515)/$B$10)&lt;=-1,0,IF(((H323-$F$4:$F$515)/$B$10)&gt;=1,1,(15/16)*(((H323-$F$4:$F$515)/$B$10)-(2/3)*((H323-$F$4:$F$515)/$B$10)^3+(1/5)*((H323-$F$4:$F$515)/$B$10)^5+8/15))))/COUNT($F$4:$F$515)</f>
        <v>1.953125E-3</v>
      </c>
      <c r="H323" s="5">
        <f t="shared" si="14"/>
        <v>-6.5554939878499904E-2</v>
      </c>
      <c r="K323" s="4">
        <v>0.01</v>
      </c>
      <c r="L323" s="5">
        <f t="shared" si="12"/>
        <v>-1.6954939878499008E-2</v>
      </c>
    </row>
    <row r="324" spans="4:12" ht="14.4" customHeight="1">
      <c r="D324" s="14">
        <v>42466</v>
      </c>
      <c r="E324" s="15">
        <v>4.24</v>
      </c>
      <c r="F324" s="15">
        <f t="shared" si="13"/>
        <v>5.0481957588883004E-3</v>
      </c>
      <c r="G324" s="16" cm="1">
        <f t="array" ref="G324">SUMPRODUCT(IF(((H324-$F$4:$F$515)/$B$10)&lt;=-1,0,IF(((H324-$F$4:$F$515)/$B$10)&gt;=1,1,(15/16)*(((H324-$F$4:$F$515)/$B$10)-(2/3)*((H324-$F$4:$F$515)/$B$10)^3+(1/5)*((H324-$F$4:$F$515)/$B$10)^5+8/15))))/COUNT($F$4:$F$515)</f>
        <v>1.953125E-3</v>
      </c>
      <c r="H324" s="15">
        <f t="shared" si="14"/>
        <v>-6.5454939878499901E-2</v>
      </c>
      <c r="K324" s="14">
        <v>0.01</v>
      </c>
      <c r="L324" s="15">
        <f t="shared" ref="L324:L387" si="15">$B$7</f>
        <v>-1.6954939878499008E-2</v>
      </c>
    </row>
    <row r="325" spans="4:12" ht="14.4" customHeight="1">
      <c r="D325" s="4">
        <v>42467</v>
      </c>
      <c r="E325" s="5">
        <v>4.1630000000000003</v>
      </c>
      <c r="F325" s="5">
        <f t="shared" ref="F325:F388" si="16">LOG(E325/E324)</f>
        <v>-7.9594457059552221E-3</v>
      </c>
      <c r="G325" s="3" cm="1">
        <f t="array" ref="G325">SUMPRODUCT(IF(((H325-$F$4:$F$515)/$B$10)&lt;=-1,0,IF(((H325-$F$4:$F$515)/$B$10)&gt;=1,1,(15/16)*(((H325-$F$4:$F$515)/$B$10)-(2/3)*((H325-$F$4:$F$515)/$B$10)^3+(1/5)*((H325-$F$4:$F$515)/$B$10)^5+8/15))))/COUNT($F$4:$F$515)</f>
        <v>1.953125E-3</v>
      </c>
      <c r="H325" s="5">
        <f t="shared" ref="H325:H388" si="17">H324+0.0001</f>
        <v>-6.5354939878499899E-2</v>
      </c>
      <c r="K325" s="4">
        <v>0.01</v>
      </c>
      <c r="L325" s="5">
        <f t="shared" si="15"/>
        <v>-1.6954939878499008E-2</v>
      </c>
    </row>
    <row r="326" spans="4:12" ht="14.4" customHeight="1">
      <c r="D326" s="14">
        <v>42468</v>
      </c>
      <c r="E326" s="15">
        <v>4.2889999999999997</v>
      </c>
      <c r="F326" s="15">
        <f t="shared" si="16"/>
        <v>1.2949635352295725E-2</v>
      </c>
      <c r="G326" s="16" cm="1">
        <f t="array" ref="G326">SUMPRODUCT(IF(((H326-$F$4:$F$515)/$B$10)&lt;=-1,0,IF(((H326-$F$4:$F$515)/$B$10)&gt;=1,1,(15/16)*(((H326-$F$4:$F$515)/$B$10)-(2/3)*((H326-$F$4:$F$515)/$B$10)^3+(1/5)*((H326-$F$4:$F$515)/$B$10)^5+8/15))))/COUNT($F$4:$F$515)</f>
        <v>1.953125E-3</v>
      </c>
      <c r="H326" s="15">
        <f t="shared" si="17"/>
        <v>-6.5254939878499896E-2</v>
      </c>
      <c r="K326" s="14">
        <v>0.01</v>
      </c>
      <c r="L326" s="15">
        <f t="shared" si="15"/>
        <v>-1.6954939878499008E-2</v>
      </c>
    </row>
    <row r="327" spans="4:12" ht="14.4" customHeight="1">
      <c r="D327" s="4">
        <v>42471</v>
      </c>
      <c r="E327" s="5">
        <v>4.3739999999999997</v>
      </c>
      <c r="F327" s="5">
        <f t="shared" si="16"/>
        <v>8.5227324625450126E-3</v>
      </c>
      <c r="G327" s="3" cm="1">
        <f t="array" ref="G327">SUMPRODUCT(IF(((H327-$F$4:$F$515)/$B$10)&lt;=-1,0,IF(((H327-$F$4:$F$515)/$B$10)&gt;=1,1,(15/16)*(((H327-$F$4:$F$515)/$B$10)-(2/3)*((H327-$F$4:$F$515)/$B$10)^3+(1/5)*((H327-$F$4:$F$515)/$B$10)^5+8/15))))/COUNT($F$4:$F$515)</f>
        <v>1.953125E-3</v>
      </c>
      <c r="H327" s="5">
        <f t="shared" si="17"/>
        <v>-6.5154939878499893E-2</v>
      </c>
      <c r="K327" s="4">
        <v>0.01</v>
      </c>
      <c r="L327" s="5">
        <f t="shared" si="15"/>
        <v>-1.6954939878499008E-2</v>
      </c>
    </row>
    <row r="328" spans="4:12" ht="14.4" customHeight="1">
      <c r="D328" s="14">
        <v>42472</v>
      </c>
      <c r="E328" s="15">
        <v>4.4370000000000003</v>
      </c>
      <c r="F328" s="15">
        <f t="shared" si="16"/>
        <v>6.2106500149367253E-3</v>
      </c>
      <c r="G328" s="16" cm="1">
        <f t="array" ref="G328">SUMPRODUCT(IF(((H328-$F$4:$F$515)/$B$10)&lt;=-1,0,IF(((H328-$F$4:$F$515)/$B$10)&gt;=1,1,(15/16)*(((H328-$F$4:$F$515)/$B$10)-(2/3)*((H328-$F$4:$F$515)/$B$10)^3+(1/5)*((H328-$F$4:$F$515)/$B$10)^5+8/15))))/COUNT($F$4:$F$515)</f>
        <v>1.953125E-3</v>
      </c>
      <c r="H328" s="15">
        <f t="shared" si="17"/>
        <v>-6.505493987849989E-2</v>
      </c>
      <c r="K328" s="14">
        <v>0.01</v>
      </c>
      <c r="L328" s="15">
        <f t="shared" si="15"/>
        <v>-1.6954939878499008E-2</v>
      </c>
    </row>
    <row r="329" spans="4:12" ht="14.4" customHeight="1">
      <c r="D329" s="4">
        <v>42473</v>
      </c>
      <c r="E329" s="5">
        <v>4.7850000000000001</v>
      </c>
      <c r="F329" s="5">
        <f t="shared" si="16"/>
        <v>3.2792513396307454E-2</v>
      </c>
      <c r="G329" s="3" cm="1">
        <f t="array" ref="G329">SUMPRODUCT(IF(((H329-$F$4:$F$515)/$B$10)&lt;=-1,0,IF(((H329-$F$4:$F$515)/$B$10)&gt;=1,1,(15/16)*(((H329-$F$4:$F$515)/$B$10)-(2/3)*((H329-$F$4:$F$515)/$B$10)^3+(1/5)*((H329-$F$4:$F$515)/$B$10)^5+8/15))))/COUNT($F$4:$F$515)</f>
        <v>1.953125E-3</v>
      </c>
      <c r="H329" s="5">
        <f t="shared" si="17"/>
        <v>-6.4954939878499887E-2</v>
      </c>
      <c r="K329" s="4">
        <v>0.01</v>
      </c>
      <c r="L329" s="5">
        <f t="shared" si="15"/>
        <v>-1.6954939878499008E-2</v>
      </c>
    </row>
    <row r="330" spans="4:12" ht="14.4" customHeight="1">
      <c r="D330" s="14">
        <v>42474</v>
      </c>
      <c r="E330" s="15">
        <v>4.7709999999999999</v>
      </c>
      <c r="F330" s="15">
        <f t="shared" si="16"/>
        <v>-1.2725255539362728E-3</v>
      </c>
      <c r="G330" s="16" cm="1">
        <f t="array" ref="G330">SUMPRODUCT(IF(((H330-$F$4:$F$515)/$B$10)&lt;=-1,0,IF(((H330-$F$4:$F$515)/$B$10)&gt;=1,1,(15/16)*(((H330-$F$4:$F$515)/$B$10)-(2/3)*((H330-$F$4:$F$515)/$B$10)^3+(1/5)*((H330-$F$4:$F$515)/$B$10)^5+8/15))))/COUNT($F$4:$F$515)</f>
        <v>1.953125E-3</v>
      </c>
      <c r="H330" s="15">
        <f t="shared" si="17"/>
        <v>-6.4854939878499884E-2</v>
      </c>
      <c r="K330" s="14">
        <v>0.01</v>
      </c>
      <c r="L330" s="15">
        <f t="shared" si="15"/>
        <v>-1.6954939878499008E-2</v>
      </c>
    </row>
    <row r="331" spans="4:12" ht="14.4" customHeight="1">
      <c r="D331" s="4">
        <v>42475</v>
      </c>
      <c r="E331" s="5">
        <v>4.68</v>
      </c>
      <c r="F331" s="5">
        <f t="shared" si="16"/>
        <v>-8.3635634848020987E-3</v>
      </c>
      <c r="G331" s="3" cm="1">
        <f t="array" ref="G331">SUMPRODUCT(IF(((H331-$F$4:$F$515)/$B$10)&lt;=-1,0,IF(((H331-$F$4:$F$515)/$B$10)&gt;=1,1,(15/16)*(((H331-$F$4:$F$515)/$B$10)-(2/3)*((H331-$F$4:$F$515)/$B$10)^3+(1/5)*((H331-$F$4:$F$515)/$B$10)^5+8/15))))/COUNT($F$4:$F$515)</f>
        <v>1.953125E-3</v>
      </c>
      <c r="H331" s="5">
        <f t="shared" si="17"/>
        <v>-6.4754939878499881E-2</v>
      </c>
      <c r="K331" s="4">
        <v>0.01</v>
      </c>
      <c r="L331" s="5">
        <f t="shared" si="15"/>
        <v>-1.6954939878499008E-2</v>
      </c>
    </row>
    <row r="332" spans="4:12" ht="14.4" customHeight="1">
      <c r="D332" s="14">
        <v>42478</v>
      </c>
      <c r="E332" s="15">
        <v>4.6719999999999997</v>
      </c>
      <c r="F332" s="15">
        <f t="shared" si="16"/>
        <v>-7.4301896978095922E-4</v>
      </c>
      <c r="G332" s="16" cm="1">
        <f t="array" ref="G332">SUMPRODUCT(IF(((H332-$F$4:$F$515)/$B$10)&lt;=-1,0,IF(((H332-$F$4:$F$515)/$B$10)&gt;=1,1,(15/16)*(((H332-$F$4:$F$515)/$B$10)-(2/3)*((H332-$F$4:$F$515)/$B$10)^3+(1/5)*((H332-$F$4:$F$515)/$B$10)^5+8/15))))/COUNT($F$4:$F$515)</f>
        <v>1.953125E-3</v>
      </c>
      <c r="H332" s="15">
        <f t="shared" si="17"/>
        <v>-6.4654939878499879E-2</v>
      </c>
      <c r="K332" s="14">
        <v>0.01</v>
      </c>
      <c r="L332" s="15">
        <f t="shared" si="15"/>
        <v>-1.6954939878499008E-2</v>
      </c>
    </row>
    <row r="333" spans="4:12" ht="14.4" customHeight="1">
      <c r="D333" s="4">
        <v>42479</v>
      </c>
      <c r="E333" s="5">
        <v>4.7240000000000002</v>
      </c>
      <c r="F333" s="5">
        <f t="shared" si="16"/>
        <v>4.8070548371341717E-3</v>
      </c>
      <c r="G333" s="3" cm="1">
        <f t="array" ref="G333">SUMPRODUCT(IF(((H333-$F$4:$F$515)/$B$10)&lt;=-1,0,IF(((H333-$F$4:$F$515)/$B$10)&gt;=1,1,(15/16)*(((H333-$F$4:$F$515)/$B$10)-(2/3)*((H333-$F$4:$F$515)/$B$10)^3+(1/5)*((H333-$F$4:$F$515)/$B$10)^5+8/15))))/COUNT($F$4:$F$515)</f>
        <v>1.953125E-3</v>
      </c>
      <c r="H333" s="5">
        <f t="shared" si="17"/>
        <v>-6.4554939878499876E-2</v>
      </c>
      <c r="K333" s="4">
        <v>0.01</v>
      </c>
      <c r="L333" s="5">
        <f t="shared" si="15"/>
        <v>-1.6954939878499008E-2</v>
      </c>
    </row>
    <row r="334" spans="4:12" ht="14.4" customHeight="1">
      <c r="D334" s="14">
        <v>42480</v>
      </c>
      <c r="E334" s="15">
        <v>4.8710000000000004</v>
      </c>
      <c r="F334" s="15">
        <f t="shared" si="16"/>
        <v>1.330824063029277E-2</v>
      </c>
      <c r="G334" s="16" cm="1">
        <f t="array" ref="G334">SUMPRODUCT(IF(((H334-$F$4:$F$515)/$B$10)&lt;=-1,0,IF(((H334-$F$4:$F$515)/$B$10)&gt;=1,1,(15/16)*(((H334-$F$4:$F$515)/$B$10)-(2/3)*((H334-$F$4:$F$515)/$B$10)^3+(1/5)*((H334-$F$4:$F$515)/$B$10)^5+8/15))))/COUNT($F$4:$F$515)</f>
        <v>1.953125E-3</v>
      </c>
      <c r="H334" s="15">
        <f t="shared" si="17"/>
        <v>-6.4454939878499873E-2</v>
      </c>
      <c r="K334" s="14">
        <v>0.01</v>
      </c>
      <c r="L334" s="15">
        <f t="shared" si="15"/>
        <v>-1.6954939878499008E-2</v>
      </c>
    </row>
    <row r="335" spans="4:12" ht="14.4" customHeight="1">
      <c r="D335" s="4">
        <v>42481</v>
      </c>
      <c r="E335" s="5">
        <v>4.8559999999999999</v>
      </c>
      <c r="F335" s="5">
        <f t="shared" si="16"/>
        <v>-1.3394515045688229E-3</v>
      </c>
      <c r="G335" s="3" cm="1">
        <f t="array" ref="G335">SUMPRODUCT(IF(((H335-$F$4:$F$515)/$B$10)&lt;=-1,0,IF(((H335-$F$4:$F$515)/$B$10)&gt;=1,1,(15/16)*(((H335-$F$4:$F$515)/$B$10)-(2/3)*((H335-$F$4:$F$515)/$B$10)^3+(1/5)*((H335-$F$4:$F$515)/$B$10)^5+8/15))))/COUNT($F$4:$F$515)</f>
        <v>1.953125E-3</v>
      </c>
      <c r="H335" s="5">
        <f t="shared" si="17"/>
        <v>-6.435493987849987E-2</v>
      </c>
      <c r="K335" s="4">
        <v>0.01</v>
      </c>
      <c r="L335" s="5">
        <f t="shared" si="15"/>
        <v>-1.6954939878499008E-2</v>
      </c>
    </row>
    <row r="336" spans="4:12" ht="14.4" customHeight="1">
      <c r="D336" s="14">
        <v>42482</v>
      </c>
      <c r="E336" s="15">
        <v>4.8979999999999997</v>
      </c>
      <c r="F336" s="15">
        <f t="shared" si="16"/>
        <v>3.7401027214941443E-3</v>
      </c>
      <c r="G336" s="16" cm="1">
        <f t="array" ref="G336">SUMPRODUCT(IF(((H336-$F$4:$F$515)/$B$10)&lt;=-1,0,IF(((H336-$F$4:$F$515)/$B$10)&gt;=1,1,(15/16)*(((H336-$F$4:$F$515)/$B$10)-(2/3)*((H336-$F$4:$F$515)/$B$10)^3+(1/5)*((H336-$F$4:$F$515)/$B$10)^5+8/15))))/COUNT($F$4:$F$515)</f>
        <v>1.953125E-3</v>
      </c>
      <c r="H336" s="15">
        <f t="shared" si="17"/>
        <v>-6.4254939878499867E-2</v>
      </c>
      <c r="K336" s="14">
        <v>0.01</v>
      </c>
      <c r="L336" s="15">
        <f t="shared" si="15"/>
        <v>-1.6954939878499008E-2</v>
      </c>
    </row>
    <row r="337" spans="4:12" ht="14.4" customHeight="1">
      <c r="D337" s="4">
        <v>42485</v>
      </c>
      <c r="E337" s="5">
        <v>4.7380000000000004</v>
      </c>
      <c r="F337" s="5">
        <f t="shared" si="16"/>
        <v>-1.4423724401948968E-2</v>
      </c>
      <c r="G337" s="3" cm="1">
        <f t="array" ref="G337">SUMPRODUCT(IF(((H337-$F$4:$F$515)/$B$10)&lt;=-1,0,IF(((H337-$F$4:$F$515)/$B$10)&gt;=1,1,(15/16)*(((H337-$F$4:$F$515)/$B$10)-(2/3)*((H337-$F$4:$F$515)/$B$10)^3+(1/5)*((H337-$F$4:$F$515)/$B$10)^5+8/15))))/COUNT($F$4:$F$515)</f>
        <v>1.953125E-3</v>
      </c>
      <c r="H337" s="5">
        <f t="shared" si="17"/>
        <v>-6.4154939878499864E-2</v>
      </c>
      <c r="K337" s="4">
        <v>0.01</v>
      </c>
      <c r="L337" s="5">
        <f t="shared" si="15"/>
        <v>-1.6954939878499008E-2</v>
      </c>
    </row>
    <row r="338" spans="4:12" ht="14.4" customHeight="1">
      <c r="D338" s="14">
        <v>42486</v>
      </c>
      <c r="E338" s="15">
        <v>4.8929999999999998</v>
      </c>
      <c r="F338" s="15">
        <f t="shared" si="16"/>
        <v>1.3980159373191931E-2</v>
      </c>
      <c r="G338" s="16" cm="1">
        <f t="array" ref="G338">SUMPRODUCT(IF(((H338-$F$4:$F$515)/$B$10)&lt;=-1,0,IF(((H338-$F$4:$F$515)/$B$10)&gt;=1,1,(15/16)*(((H338-$F$4:$F$515)/$B$10)-(2/3)*((H338-$F$4:$F$515)/$B$10)^3+(1/5)*((H338-$F$4:$F$515)/$B$10)^5+8/15))))/COUNT($F$4:$F$515)</f>
        <v>1.953125E-3</v>
      </c>
      <c r="H338" s="15">
        <f t="shared" si="17"/>
        <v>-6.4054939878499861E-2</v>
      </c>
      <c r="K338" s="14">
        <v>0.01</v>
      </c>
      <c r="L338" s="15">
        <f t="shared" si="15"/>
        <v>-1.6954939878499008E-2</v>
      </c>
    </row>
    <row r="339" spans="4:12" ht="14.4" customHeight="1">
      <c r="D339" s="4">
        <v>42487</v>
      </c>
      <c r="E339" s="5">
        <v>4.8470000000000004</v>
      </c>
      <c r="F339" s="5">
        <f t="shared" si="16"/>
        <v>-4.1021960371789498E-3</v>
      </c>
      <c r="G339" s="3" cm="1">
        <f t="array" ref="G339">SUMPRODUCT(IF(((H339-$F$4:$F$515)/$B$10)&lt;=-1,0,IF(((H339-$F$4:$F$515)/$B$10)&gt;=1,1,(15/16)*(((H339-$F$4:$F$515)/$B$10)-(2/3)*((H339-$F$4:$F$515)/$B$10)^3+(1/5)*((H339-$F$4:$F$515)/$B$10)^5+8/15))))/COUNT($F$4:$F$515)</f>
        <v>1.953125E-3</v>
      </c>
      <c r="H339" s="5">
        <f t="shared" si="17"/>
        <v>-6.3954939878499859E-2</v>
      </c>
      <c r="K339" s="4">
        <v>0.01</v>
      </c>
      <c r="L339" s="5">
        <f t="shared" si="15"/>
        <v>-1.6954939878499008E-2</v>
      </c>
    </row>
    <row r="340" spans="4:12" ht="14.4" customHeight="1">
      <c r="D340" s="14">
        <v>42488</v>
      </c>
      <c r="E340" s="15">
        <v>4.9080000000000004</v>
      </c>
      <c r="F340" s="15">
        <f t="shared" si="16"/>
        <v>5.4315343322073224E-3</v>
      </c>
      <c r="G340" s="16" cm="1">
        <f t="array" ref="G340">SUMPRODUCT(IF(((H340-$F$4:$F$515)/$B$10)&lt;=-1,0,IF(((H340-$F$4:$F$515)/$B$10)&gt;=1,1,(15/16)*(((H340-$F$4:$F$515)/$B$10)-(2/3)*((H340-$F$4:$F$515)/$B$10)^3+(1/5)*((H340-$F$4:$F$515)/$B$10)^5+8/15))))/COUNT($F$4:$F$515)</f>
        <v>1.953125E-3</v>
      </c>
      <c r="H340" s="15">
        <f t="shared" si="17"/>
        <v>-6.3854939878499856E-2</v>
      </c>
      <c r="K340" s="14">
        <v>0.01</v>
      </c>
      <c r="L340" s="15">
        <f t="shared" si="15"/>
        <v>-1.6954939878499008E-2</v>
      </c>
    </row>
    <row r="341" spans="4:12" ht="14.4" customHeight="1">
      <c r="D341" s="4">
        <v>42489</v>
      </c>
      <c r="E341" s="5">
        <v>4.8170000000000002</v>
      </c>
      <c r="F341" s="5">
        <f t="shared" si="16"/>
        <v>-8.1279077405326128E-3</v>
      </c>
      <c r="G341" s="3" cm="1">
        <f t="array" ref="G341">SUMPRODUCT(IF(((H341-$F$4:$F$515)/$B$10)&lt;=-1,0,IF(((H341-$F$4:$F$515)/$B$10)&gt;=1,1,(15/16)*(((H341-$F$4:$F$515)/$B$10)-(2/3)*((H341-$F$4:$F$515)/$B$10)^3+(1/5)*((H341-$F$4:$F$515)/$B$10)^5+8/15))))/COUNT($F$4:$F$515)</f>
        <v>1.953125E-3</v>
      </c>
      <c r="H341" s="5">
        <f t="shared" si="17"/>
        <v>-6.3754939878499853E-2</v>
      </c>
      <c r="K341" s="4">
        <v>0.01</v>
      </c>
      <c r="L341" s="5">
        <f t="shared" si="15"/>
        <v>-1.6954939878499008E-2</v>
      </c>
    </row>
    <row r="342" spans="4:12" ht="14.4" customHeight="1">
      <c r="D342" s="14">
        <v>42492</v>
      </c>
      <c r="E342" s="15">
        <v>4.726</v>
      </c>
      <c r="F342" s="15">
        <f t="shared" si="16"/>
        <v>-8.2829290180838275E-3</v>
      </c>
      <c r="G342" s="16" cm="1">
        <f t="array" ref="G342">SUMPRODUCT(IF(((H342-$F$4:$F$515)/$B$10)&lt;=-1,0,IF(((H342-$F$4:$F$515)/$B$10)&gt;=1,1,(15/16)*(((H342-$F$4:$F$515)/$B$10)-(2/3)*((H342-$F$4:$F$515)/$B$10)^3+(1/5)*((H342-$F$4:$F$515)/$B$10)^5+8/15))))/COUNT($F$4:$F$515)</f>
        <v>1.953125E-3</v>
      </c>
      <c r="H342" s="15">
        <f t="shared" si="17"/>
        <v>-6.365493987849985E-2</v>
      </c>
      <c r="K342" s="14">
        <v>0.01</v>
      </c>
      <c r="L342" s="15">
        <f t="shared" si="15"/>
        <v>-1.6954939878499008E-2</v>
      </c>
    </row>
    <row r="343" spans="4:12" ht="14.4" customHeight="1">
      <c r="D343" s="4">
        <v>42493</v>
      </c>
      <c r="E343" s="5">
        <v>4.5419999999999998</v>
      </c>
      <c r="F343" s="5">
        <f t="shared" si="16"/>
        <v>-1.724658741263382E-2</v>
      </c>
      <c r="G343" s="3" cm="1">
        <f t="array" ref="G343">SUMPRODUCT(IF(((H343-$F$4:$F$515)/$B$10)&lt;=-1,0,IF(((H343-$F$4:$F$515)/$B$10)&gt;=1,1,(15/16)*(((H343-$F$4:$F$515)/$B$10)-(2/3)*((H343-$F$4:$F$515)/$B$10)^3+(1/5)*((H343-$F$4:$F$515)/$B$10)^5+8/15))))/COUNT($F$4:$F$515)</f>
        <v>1.953125E-3</v>
      </c>
      <c r="H343" s="5">
        <f t="shared" si="17"/>
        <v>-6.3554939878499847E-2</v>
      </c>
      <c r="K343" s="4">
        <v>0.01</v>
      </c>
      <c r="L343" s="5">
        <f t="shared" si="15"/>
        <v>-1.6954939878499008E-2</v>
      </c>
    </row>
    <row r="344" spans="4:12" ht="14.4" customHeight="1">
      <c r="D344" s="14">
        <v>42494</v>
      </c>
      <c r="E344" s="15">
        <v>4.4020000000000001</v>
      </c>
      <c r="F344" s="15">
        <f t="shared" si="16"/>
        <v>-1.359709166638718E-2</v>
      </c>
      <c r="G344" s="16" cm="1">
        <f t="array" ref="G344">SUMPRODUCT(IF(((H344-$F$4:$F$515)/$B$10)&lt;=-1,0,IF(((H344-$F$4:$F$515)/$B$10)&gt;=1,1,(15/16)*(((H344-$F$4:$F$515)/$B$10)-(2/3)*((H344-$F$4:$F$515)/$B$10)^3+(1/5)*((H344-$F$4:$F$515)/$B$10)^5+8/15))))/COUNT($F$4:$F$515)</f>
        <v>1.953125E-3</v>
      </c>
      <c r="H344" s="15">
        <f t="shared" si="17"/>
        <v>-6.3454939878499844E-2</v>
      </c>
      <c r="K344" s="14">
        <v>0.01</v>
      </c>
      <c r="L344" s="15">
        <f t="shared" si="15"/>
        <v>-1.6954939878499008E-2</v>
      </c>
    </row>
    <row r="345" spans="4:12" ht="14.4" customHeight="1">
      <c r="D345" s="4">
        <v>42495</v>
      </c>
      <c r="E345" s="5">
        <v>4.3339999999999996</v>
      </c>
      <c r="F345" s="5">
        <f t="shared" si="16"/>
        <v>-6.7611312335300721E-3</v>
      </c>
      <c r="G345" s="3" cm="1">
        <f t="array" ref="G345">SUMPRODUCT(IF(((H345-$F$4:$F$515)/$B$10)&lt;=-1,0,IF(((H345-$F$4:$F$515)/$B$10)&gt;=1,1,(15/16)*(((H345-$F$4:$F$515)/$B$10)-(2/3)*((H345-$F$4:$F$515)/$B$10)^3+(1/5)*((H345-$F$4:$F$515)/$B$10)^5+8/15))))/COUNT($F$4:$F$515)</f>
        <v>1.953125E-3</v>
      </c>
      <c r="H345" s="5">
        <f t="shared" si="17"/>
        <v>-6.3354939878499841E-2</v>
      </c>
      <c r="K345" s="4">
        <v>0.01</v>
      </c>
      <c r="L345" s="5">
        <f t="shared" si="15"/>
        <v>-1.6954939878499008E-2</v>
      </c>
    </row>
    <row r="346" spans="4:12" ht="14.4" customHeight="1">
      <c r="D346" s="14">
        <v>42496</v>
      </c>
      <c r="E346" s="15">
        <v>4.3609999999999998</v>
      </c>
      <c r="F346" s="15">
        <f t="shared" si="16"/>
        <v>2.6971796896272885E-3</v>
      </c>
      <c r="G346" s="16" cm="1">
        <f t="array" ref="G346">SUMPRODUCT(IF(((H346-$F$4:$F$515)/$B$10)&lt;=-1,0,IF(((H346-$F$4:$F$515)/$B$10)&gt;=1,1,(15/16)*(((H346-$F$4:$F$515)/$B$10)-(2/3)*((H346-$F$4:$F$515)/$B$10)^3+(1/5)*((H346-$F$4:$F$515)/$B$10)^5+8/15))))/COUNT($F$4:$F$515)</f>
        <v>1.953125E-3</v>
      </c>
      <c r="H346" s="15">
        <f t="shared" si="17"/>
        <v>-6.3254939878499838E-2</v>
      </c>
      <c r="K346" s="14">
        <v>0.01</v>
      </c>
      <c r="L346" s="15">
        <f t="shared" si="15"/>
        <v>-1.6954939878499008E-2</v>
      </c>
    </row>
    <row r="347" spans="4:12" ht="14.4" customHeight="1">
      <c r="D347" s="4">
        <v>42499</v>
      </c>
      <c r="E347" s="5">
        <v>4.3860000000000001</v>
      </c>
      <c r="F347" s="5">
        <f t="shared" si="16"/>
        <v>2.4825406680777117E-3</v>
      </c>
      <c r="G347" s="3" cm="1">
        <f t="array" ref="G347">SUMPRODUCT(IF(((H347-$F$4:$F$515)/$B$10)&lt;=-1,0,IF(((H347-$F$4:$F$515)/$B$10)&gt;=1,1,(15/16)*(((H347-$F$4:$F$515)/$B$10)-(2/3)*((H347-$F$4:$F$515)/$B$10)^3+(1/5)*((H347-$F$4:$F$515)/$B$10)^5+8/15))))/COUNT($F$4:$F$515)</f>
        <v>1.953125E-3</v>
      </c>
      <c r="H347" s="5">
        <f t="shared" si="17"/>
        <v>-6.3154939878499836E-2</v>
      </c>
      <c r="K347" s="4">
        <v>0.01</v>
      </c>
      <c r="L347" s="5">
        <f t="shared" si="15"/>
        <v>-1.6954939878499008E-2</v>
      </c>
    </row>
    <row r="348" spans="4:12" ht="14.4" customHeight="1">
      <c r="D348" s="14">
        <v>42500</v>
      </c>
      <c r="E348" s="15">
        <v>4.0830000000000002</v>
      </c>
      <c r="F348" s="15">
        <f t="shared" si="16"/>
        <v>-3.1089247418506955E-2</v>
      </c>
      <c r="G348" s="16" cm="1">
        <f t="array" ref="G348">SUMPRODUCT(IF(((H348-$F$4:$F$515)/$B$10)&lt;=-1,0,IF(((H348-$F$4:$F$515)/$B$10)&gt;=1,1,(15/16)*(((H348-$F$4:$F$515)/$B$10)-(2/3)*((H348-$F$4:$F$515)/$B$10)^3+(1/5)*((H348-$F$4:$F$515)/$B$10)^5+8/15))))/COUNT($F$4:$F$515)</f>
        <v>1.953125E-3</v>
      </c>
      <c r="H348" s="15">
        <f t="shared" si="17"/>
        <v>-6.3054939878499833E-2</v>
      </c>
      <c r="K348" s="14">
        <v>0.01</v>
      </c>
      <c r="L348" s="15">
        <f t="shared" si="15"/>
        <v>-1.6954939878499008E-2</v>
      </c>
    </row>
    <row r="349" spans="4:12" ht="14.4" customHeight="1">
      <c r="D349" s="4">
        <v>42501</v>
      </c>
      <c r="E349" s="5">
        <v>4.2009999999999996</v>
      </c>
      <c r="F349" s="5">
        <f t="shared" si="16"/>
        <v>1.2373301614994782E-2</v>
      </c>
      <c r="G349" s="3" cm="1">
        <f t="array" ref="G349">SUMPRODUCT(IF(((H349-$F$4:$F$515)/$B$10)&lt;=-1,0,IF(((H349-$F$4:$F$515)/$B$10)&gt;=1,1,(15/16)*(((H349-$F$4:$F$515)/$B$10)-(2/3)*((H349-$F$4:$F$515)/$B$10)^3+(1/5)*((H349-$F$4:$F$515)/$B$10)^5+8/15))))/COUNT($F$4:$F$515)</f>
        <v>1.953125E-3</v>
      </c>
      <c r="H349" s="5">
        <f t="shared" si="17"/>
        <v>-6.295493987849983E-2</v>
      </c>
      <c r="K349" s="4">
        <v>0.01</v>
      </c>
      <c r="L349" s="5">
        <f t="shared" si="15"/>
        <v>-1.6954939878499008E-2</v>
      </c>
    </row>
    <row r="350" spans="4:12" ht="14.4" customHeight="1">
      <c r="D350" s="14">
        <v>42502</v>
      </c>
      <c r="E350" s="15">
        <v>4.1340000000000003</v>
      </c>
      <c r="F350" s="15">
        <f t="shared" si="16"/>
        <v>-6.9822092467224347E-3</v>
      </c>
      <c r="G350" s="16" cm="1">
        <f t="array" ref="G350">SUMPRODUCT(IF(((H350-$F$4:$F$515)/$B$10)&lt;=-1,0,IF(((H350-$F$4:$F$515)/$B$10)&gt;=1,1,(15/16)*(((H350-$F$4:$F$515)/$B$10)-(2/3)*((H350-$F$4:$F$515)/$B$10)^3+(1/5)*((H350-$F$4:$F$515)/$B$10)^5+8/15))))/COUNT($F$4:$F$515)</f>
        <v>1.953125E-3</v>
      </c>
      <c r="H350" s="15">
        <f t="shared" si="17"/>
        <v>-6.2854939878499827E-2</v>
      </c>
      <c r="K350" s="14">
        <v>0.01</v>
      </c>
      <c r="L350" s="15">
        <f t="shared" si="15"/>
        <v>-1.6954939878499008E-2</v>
      </c>
    </row>
    <row r="351" spans="4:12" ht="14.4" customHeight="1">
      <c r="D351" s="4">
        <v>42503</v>
      </c>
      <c r="E351" s="5">
        <v>4.2290000000000001</v>
      </c>
      <c r="F351" s="5">
        <f t="shared" si="16"/>
        <v>9.8672128556309118E-3</v>
      </c>
      <c r="G351" s="3" cm="1">
        <f t="array" ref="G351">SUMPRODUCT(IF(((H351-$F$4:$F$515)/$B$10)&lt;=-1,0,IF(((H351-$F$4:$F$515)/$B$10)&gt;=1,1,(15/16)*(((H351-$F$4:$F$515)/$B$10)-(2/3)*((H351-$F$4:$F$515)/$B$10)^3+(1/5)*((H351-$F$4:$F$515)/$B$10)^5+8/15))))/COUNT($F$4:$F$515)</f>
        <v>1.953125E-3</v>
      </c>
      <c r="H351" s="5">
        <f t="shared" si="17"/>
        <v>-6.2754939878499824E-2</v>
      </c>
      <c r="K351" s="4">
        <v>0.01</v>
      </c>
      <c r="L351" s="5">
        <f t="shared" si="15"/>
        <v>-1.6954939878499008E-2</v>
      </c>
    </row>
    <row r="352" spans="4:12" ht="14.4" customHeight="1">
      <c r="D352" s="14">
        <v>42506</v>
      </c>
      <c r="E352" s="15">
        <v>4.2069999999999999</v>
      </c>
      <c r="F352" s="15">
        <f t="shared" si="16"/>
        <v>-2.2651731299040629E-3</v>
      </c>
      <c r="G352" s="16" cm="1">
        <f t="array" ref="G352">SUMPRODUCT(IF(((H352-$F$4:$F$515)/$B$10)&lt;=-1,0,IF(((H352-$F$4:$F$515)/$B$10)&gt;=1,1,(15/16)*(((H352-$F$4:$F$515)/$B$10)-(2/3)*((H352-$F$4:$F$515)/$B$10)^3+(1/5)*((H352-$F$4:$F$515)/$B$10)^5+8/15))))/COUNT($F$4:$F$515)</f>
        <v>1.953125E-3</v>
      </c>
      <c r="H352" s="15">
        <f t="shared" si="17"/>
        <v>-6.2654939878499821E-2</v>
      </c>
      <c r="K352" s="14">
        <v>0.01</v>
      </c>
      <c r="L352" s="15">
        <f t="shared" si="15"/>
        <v>-1.6954939878499008E-2</v>
      </c>
    </row>
    <row r="353" spans="4:12" ht="14.4" customHeight="1">
      <c r="D353" s="4">
        <v>42507</v>
      </c>
      <c r="E353" s="5">
        <v>4.266</v>
      </c>
      <c r="F353" s="5">
        <f t="shared" si="16"/>
        <v>6.0483390964135913E-3</v>
      </c>
      <c r="G353" s="3" cm="1">
        <f t="array" ref="G353">SUMPRODUCT(IF(((H353-$F$4:$F$515)/$B$10)&lt;=-1,0,IF(((H353-$F$4:$F$515)/$B$10)&gt;=1,1,(15/16)*(((H353-$F$4:$F$515)/$B$10)-(2/3)*((H353-$F$4:$F$515)/$B$10)^3+(1/5)*((H353-$F$4:$F$515)/$B$10)^5+8/15))))/COUNT($F$4:$F$515)</f>
        <v>1.953125E-3</v>
      </c>
      <c r="H353" s="5">
        <f t="shared" si="17"/>
        <v>-6.2554939878499818E-2</v>
      </c>
      <c r="K353" s="4">
        <v>0.01</v>
      </c>
      <c r="L353" s="5">
        <f t="shared" si="15"/>
        <v>-1.6954939878499008E-2</v>
      </c>
    </row>
    <row r="354" spans="4:12" ht="14.4" customHeight="1">
      <c r="D354" s="14">
        <v>42508</v>
      </c>
      <c r="E354" s="15">
        <v>4.351</v>
      </c>
      <c r="F354" s="15">
        <f t="shared" si="16"/>
        <v>8.5682321793069845E-3</v>
      </c>
      <c r="G354" s="16" cm="1">
        <f t="array" ref="G354">SUMPRODUCT(IF(((H354-$F$4:$F$515)/$B$10)&lt;=-1,0,IF(((H354-$F$4:$F$515)/$B$10)&gt;=1,1,(15/16)*(((H354-$F$4:$F$515)/$B$10)-(2/3)*((H354-$F$4:$F$515)/$B$10)^3+(1/5)*((H354-$F$4:$F$515)/$B$10)^5+8/15))))/COUNT($F$4:$F$515)</f>
        <v>1.953125E-3</v>
      </c>
      <c r="H354" s="15">
        <f t="shared" si="17"/>
        <v>-6.2454939878499816E-2</v>
      </c>
      <c r="K354" s="14">
        <v>0.01</v>
      </c>
      <c r="L354" s="15">
        <f t="shared" si="15"/>
        <v>-1.6954939878499008E-2</v>
      </c>
    </row>
    <row r="355" spans="4:12" ht="14.4" customHeight="1">
      <c r="D355" s="4">
        <v>42509</v>
      </c>
      <c r="E355" s="5">
        <v>4.3369999999999997</v>
      </c>
      <c r="F355" s="5">
        <f t="shared" si="16"/>
        <v>-1.3996611439550529E-3</v>
      </c>
      <c r="G355" s="3" cm="1">
        <f t="array" ref="G355">SUMPRODUCT(IF(((H355-$F$4:$F$515)/$B$10)&lt;=-1,0,IF(((H355-$F$4:$F$515)/$B$10)&gt;=1,1,(15/16)*(((H355-$F$4:$F$515)/$B$10)-(2/3)*((H355-$F$4:$F$515)/$B$10)^3+(1/5)*((H355-$F$4:$F$515)/$B$10)^5+8/15))))/COUNT($F$4:$F$515)</f>
        <v>1.953125E-3</v>
      </c>
      <c r="H355" s="5">
        <f t="shared" si="17"/>
        <v>-6.2354939878499813E-2</v>
      </c>
      <c r="K355" s="4">
        <v>0.01</v>
      </c>
      <c r="L355" s="5">
        <f t="shared" si="15"/>
        <v>-1.6954939878499008E-2</v>
      </c>
    </row>
    <row r="356" spans="4:12" ht="14.4" customHeight="1">
      <c r="D356" s="14">
        <v>42510</v>
      </c>
      <c r="E356" s="15">
        <v>4.4000000000000004</v>
      </c>
      <c r="F356" s="15">
        <f t="shared" si="16"/>
        <v>6.2632543374256024E-3</v>
      </c>
      <c r="G356" s="16" cm="1">
        <f t="array" ref="G356">SUMPRODUCT(IF(((H356-$F$4:$F$515)/$B$10)&lt;=-1,0,IF(((H356-$F$4:$F$515)/$B$10)&gt;=1,1,(15/16)*(((H356-$F$4:$F$515)/$B$10)-(2/3)*((H356-$F$4:$F$515)/$B$10)^3+(1/5)*((H356-$F$4:$F$515)/$B$10)^5+8/15))))/COUNT($F$4:$F$515)</f>
        <v>1.953125E-3</v>
      </c>
      <c r="H356" s="15">
        <f t="shared" si="17"/>
        <v>-6.225493987849981E-2</v>
      </c>
      <c r="K356" s="14">
        <v>0.01</v>
      </c>
      <c r="L356" s="15">
        <f t="shared" si="15"/>
        <v>-1.6954939878499008E-2</v>
      </c>
    </row>
    <row r="357" spans="4:12" ht="14.4" customHeight="1">
      <c r="D357" s="4">
        <v>42513</v>
      </c>
      <c r="E357" s="5">
        <v>4.4000000000000004</v>
      </c>
      <c r="F357" s="5">
        <f t="shared" si="16"/>
        <v>0</v>
      </c>
      <c r="G357" s="3" cm="1">
        <f t="array" ref="G357">SUMPRODUCT(IF(((H357-$F$4:$F$515)/$B$10)&lt;=-1,0,IF(((H357-$F$4:$F$515)/$B$10)&gt;=1,1,(15/16)*(((H357-$F$4:$F$515)/$B$10)-(2/3)*((H357-$F$4:$F$515)/$B$10)^3+(1/5)*((H357-$F$4:$F$515)/$B$10)^5+8/15))))/COUNT($F$4:$F$515)</f>
        <v>1.953125E-3</v>
      </c>
      <c r="H357" s="5">
        <f t="shared" si="17"/>
        <v>-6.2154939878499807E-2</v>
      </c>
      <c r="K357" s="4">
        <v>0.01</v>
      </c>
      <c r="L357" s="5">
        <f t="shared" si="15"/>
        <v>-1.6954939878499008E-2</v>
      </c>
    </row>
    <row r="358" spans="4:12" ht="14.4" customHeight="1">
      <c r="D358" s="14">
        <v>42514</v>
      </c>
      <c r="E358" s="15">
        <v>4.577</v>
      </c>
      <c r="F358" s="15">
        <f t="shared" si="16"/>
        <v>1.7128235941112027E-2</v>
      </c>
      <c r="G358" s="16" cm="1">
        <f t="array" ref="G358">SUMPRODUCT(IF(((H358-$F$4:$F$515)/$B$10)&lt;=-1,0,IF(((H358-$F$4:$F$515)/$B$10)&gt;=1,1,(15/16)*(((H358-$F$4:$F$515)/$B$10)-(2/3)*((H358-$F$4:$F$515)/$B$10)^3+(1/5)*((H358-$F$4:$F$515)/$B$10)^5+8/15))))/COUNT($F$4:$F$515)</f>
        <v>1.953125E-3</v>
      </c>
      <c r="H358" s="15">
        <f t="shared" si="17"/>
        <v>-6.2054939878499804E-2</v>
      </c>
      <c r="K358" s="14">
        <v>0.01</v>
      </c>
      <c r="L358" s="15">
        <f t="shared" si="15"/>
        <v>-1.6954939878499008E-2</v>
      </c>
    </row>
    <row r="359" spans="4:12" ht="14.4" customHeight="1">
      <c r="D359" s="4">
        <v>42515</v>
      </c>
      <c r="E359" s="5">
        <v>4.75</v>
      </c>
      <c r="F359" s="5">
        <f t="shared" si="16"/>
        <v>1.6112697197567083E-2</v>
      </c>
      <c r="G359" s="3" cm="1">
        <f t="array" ref="G359">SUMPRODUCT(IF(((H359-$F$4:$F$515)/$B$10)&lt;=-1,0,IF(((H359-$F$4:$F$515)/$B$10)&gt;=1,1,(15/16)*(((H359-$F$4:$F$515)/$B$10)-(2/3)*((H359-$F$4:$F$515)/$B$10)^3+(1/5)*((H359-$F$4:$F$515)/$B$10)^5+8/15))))/COUNT($F$4:$F$515)</f>
        <v>1.953125E-3</v>
      </c>
      <c r="H359" s="5">
        <f t="shared" si="17"/>
        <v>-6.1954939878499801E-2</v>
      </c>
      <c r="K359" s="4">
        <v>0.01</v>
      </c>
      <c r="L359" s="5">
        <f t="shared" si="15"/>
        <v>-1.6954939878499008E-2</v>
      </c>
    </row>
    <row r="360" spans="4:12" ht="14.4" customHeight="1">
      <c r="D360" s="14">
        <v>42516</v>
      </c>
      <c r="E360" s="15">
        <v>4.7519999999999998</v>
      </c>
      <c r="F360" s="15">
        <f t="shared" si="16"/>
        <v>1.8282234827053212E-4</v>
      </c>
      <c r="G360" s="16" cm="1">
        <f t="array" ref="G360">SUMPRODUCT(IF(((H360-$F$4:$F$515)/$B$10)&lt;=-1,0,IF(((H360-$F$4:$F$515)/$B$10)&gt;=1,1,(15/16)*(((H360-$F$4:$F$515)/$B$10)-(2/3)*((H360-$F$4:$F$515)/$B$10)^3+(1/5)*((H360-$F$4:$F$515)/$B$10)^5+8/15))))/COUNT($F$4:$F$515)</f>
        <v>1.953125E-3</v>
      </c>
      <c r="H360" s="15">
        <f t="shared" si="17"/>
        <v>-6.1854939878499798E-2</v>
      </c>
      <c r="K360" s="14">
        <v>0.01</v>
      </c>
      <c r="L360" s="15">
        <f t="shared" si="15"/>
        <v>-1.6954939878499008E-2</v>
      </c>
    </row>
    <row r="361" spans="4:12" ht="14.4" customHeight="1">
      <c r="D361" s="4">
        <v>42517</v>
      </c>
      <c r="E361" s="5">
        <v>4.46</v>
      </c>
      <c r="F361" s="5">
        <f t="shared" si="16"/>
        <v>-2.7541573260995249E-2</v>
      </c>
      <c r="G361" s="3" cm="1">
        <f t="array" ref="G361">SUMPRODUCT(IF(((H361-$F$4:$F$515)/$B$10)&lt;=-1,0,IF(((H361-$F$4:$F$515)/$B$10)&gt;=1,1,(15/16)*(((H361-$F$4:$F$515)/$B$10)-(2/3)*((H361-$F$4:$F$515)/$B$10)^3+(1/5)*((H361-$F$4:$F$515)/$B$10)^5+8/15))))/COUNT($F$4:$F$515)</f>
        <v>1.953125E-3</v>
      </c>
      <c r="H361" s="5">
        <f t="shared" si="17"/>
        <v>-6.1754939878499795E-2</v>
      </c>
      <c r="K361" s="4">
        <v>0.01</v>
      </c>
      <c r="L361" s="5">
        <f t="shared" si="15"/>
        <v>-1.6954939878499008E-2</v>
      </c>
    </row>
    <row r="362" spans="4:12" ht="14.4" customHeight="1">
      <c r="D362" s="14">
        <v>42520</v>
      </c>
      <c r="E362" s="15">
        <v>4.4000000000000004</v>
      </c>
      <c r="F362" s="15">
        <f t="shared" si="16"/>
        <v>-5.8821822259544059E-3</v>
      </c>
      <c r="G362" s="16" cm="1">
        <f t="array" ref="G362">SUMPRODUCT(IF(((H362-$F$4:$F$515)/$B$10)&lt;=-1,0,IF(((H362-$F$4:$F$515)/$B$10)&gt;=1,1,(15/16)*(((H362-$F$4:$F$515)/$B$10)-(2/3)*((H362-$F$4:$F$515)/$B$10)^3+(1/5)*((H362-$F$4:$F$515)/$B$10)^5+8/15))))/COUNT($F$4:$F$515)</f>
        <v>1.953125E-3</v>
      </c>
      <c r="H362" s="15">
        <f t="shared" si="17"/>
        <v>-6.1654939878499793E-2</v>
      </c>
      <c r="K362" s="14">
        <v>0.01</v>
      </c>
      <c r="L362" s="15">
        <f t="shared" si="15"/>
        <v>-1.6954939878499008E-2</v>
      </c>
    </row>
    <row r="363" spans="4:12" ht="14.4" customHeight="1">
      <c r="D363" s="4">
        <v>42521</v>
      </c>
      <c r="E363" s="5">
        <v>4.3380000000000001</v>
      </c>
      <c r="F363" s="5">
        <f t="shared" si="16"/>
        <v>-6.163128808013005E-3</v>
      </c>
      <c r="G363" s="3" cm="1">
        <f t="array" ref="G363">SUMPRODUCT(IF(((H363-$F$4:$F$515)/$B$10)&lt;=-1,0,IF(((H363-$F$4:$F$515)/$B$10)&gt;=1,1,(15/16)*(((H363-$F$4:$F$515)/$B$10)-(2/3)*((H363-$F$4:$F$515)/$B$10)^3+(1/5)*((H363-$F$4:$F$515)/$B$10)^5+8/15))))/COUNT($F$4:$F$515)</f>
        <v>1.953125E-3</v>
      </c>
      <c r="H363" s="5">
        <f t="shared" si="17"/>
        <v>-6.155493987849979E-2</v>
      </c>
      <c r="K363" s="4">
        <v>0.01</v>
      </c>
      <c r="L363" s="5">
        <f t="shared" si="15"/>
        <v>-1.6954939878499008E-2</v>
      </c>
    </row>
    <row r="364" spans="4:12" ht="14.4" customHeight="1">
      <c r="D364" s="14">
        <v>42522</v>
      </c>
      <c r="E364" s="15">
        <v>4.2960000000000003</v>
      </c>
      <c r="F364" s="15">
        <f t="shared" si="16"/>
        <v>-4.2252749866752461E-3</v>
      </c>
      <c r="G364" s="16" cm="1">
        <f t="array" ref="G364">SUMPRODUCT(IF(((H364-$F$4:$F$515)/$B$10)&lt;=-1,0,IF(((H364-$F$4:$F$515)/$B$10)&gt;=1,1,(15/16)*(((H364-$F$4:$F$515)/$B$10)-(2/3)*((H364-$F$4:$F$515)/$B$10)^3+(1/5)*((H364-$F$4:$F$515)/$B$10)^5+8/15))))/COUNT($F$4:$F$515)</f>
        <v>1.953125E-3</v>
      </c>
      <c r="H364" s="15">
        <f t="shared" si="17"/>
        <v>-6.1454939878499787E-2</v>
      </c>
      <c r="K364" s="14">
        <v>0.01</v>
      </c>
      <c r="L364" s="15">
        <f t="shared" si="15"/>
        <v>-1.6954939878499008E-2</v>
      </c>
    </row>
    <row r="365" spans="4:12" ht="14.4" customHeight="1">
      <c r="D365" s="4">
        <v>42523</v>
      </c>
      <c r="E365" s="5">
        <v>4.3010000000000002</v>
      </c>
      <c r="F365" s="5">
        <f t="shared" si="16"/>
        <v>5.0516986259262805E-4</v>
      </c>
      <c r="G365" s="3" cm="1">
        <f t="array" ref="G365">SUMPRODUCT(IF(((H365-$F$4:$F$515)/$B$10)&lt;=-1,0,IF(((H365-$F$4:$F$515)/$B$10)&gt;=1,1,(15/16)*(((H365-$F$4:$F$515)/$B$10)-(2/3)*((H365-$F$4:$F$515)/$B$10)^3+(1/5)*((H365-$F$4:$F$515)/$B$10)^5+8/15))))/COUNT($F$4:$F$515)</f>
        <v>1.953125E-3</v>
      </c>
      <c r="H365" s="5">
        <f t="shared" si="17"/>
        <v>-6.1354939878499784E-2</v>
      </c>
      <c r="K365" s="4">
        <v>0.01</v>
      </c>
      <c r="L365" s="5">
        <f t="shared" si="15"/>
        <v>-1.6954939878499008E-2</v>
      </c>
    </row>
    <row r="366" spans="4:12" ht="14.4" customHeight="1">
      <c r="D366" s="14">
        <v>42524</v>
      </c>
      <c r="E366" s="15">
        <v>4.22</v>
      </c>
      <c r="F366" s="15">
        <f t="shared" si="16"/>
        <v>-8.256991592418007E-3</v>
      </c>
      <c r="G366" s="16" cm="1">
        <f t="array" ref="G366">SUMPRODUCT(IF(((H366-$F$4:$F$515)/$B$10)&lt;=-1,0,IF(((H366-$F$4:$F$515)/$B$10)&gt;=1,1,(15/16)*(((H366-$F$4:$F$515)/$B$10)-(2/3)*((H366-$F$4:$F$515)/$B$10)^3+(1/5)*((H366-$F$4:$F$515)/$B$10)^5+8/15))))/COUNT($F$4:$F$515)</f>
        <v>1.953125E-3</v>
      </c>
      <c r="H366" s="15">
        <f t="shared" si="17"/>
        <v>-6.1254939878499781E-2</v>
      </c>
      <c r="K366" s="14">
        <v>0.01</v>
      </c>
      <c r="L366" s="15">
        <f t="shared" si="15"/>
        <v>-1.6954939878499008E-2</v>
      </c>
    </row>
    <row r="367" spans="4:12" ht="14.4" customHeight="1">
      <c r="D367" s="4">
        <v>42527</v>
      </c>
      <c r="E367" s="5">
        <v>4.1849999999999996</v>
      </c>
      <c r="F367" s="5">
        <f t="shared" si="16"/>
        <v>-3.6169886323950892E-3</v>
      </c>
      <c r="G367" s="3" cm="1">
        <f t="array" ref="G367">SUMPRODUCT(IF(((H367-$F$4:$F$515)/$B$10)&lt;=-1,0,IF(((H367-$F$4:$F$515)/$B$10)&gt;=1,1,(15/16)*(((H367-$F$4:$F$515)/$B$10)-(2/3)*((H367-$F$4:$F$515)/$B$10)^3+(1/5)*((H367-$F$4:$F$515)/$B$10)^5+8/15))))/COUNT($F$4:$F$515)</f>
        <v>1.953125E-3</v>
      </c>
      <c r="H367" s="5">
        <f t="shared" si="17"/>
        <v>-6.1154939878499778E-2</v>
      </c>
      <c r="K367" s="4">
        <v>0.01</v>
      </c>
      <c r="L367" s="5">
        <f t="shared" si="15"/>
        <v>-1.6954939878499008E-2</v>
      </c>
    </row>
    <row r="368" spans="4:12" ht="14.4" customHeight="1">
      <c r="D368" s="14">
        <v>42528</v>
      </c>
      <c r="E368" s="15">
        <v>4.319</v>
      </c>
      <c r="F368" s="15">
        <f t="shared" si="16"/>
        <v>1.3687741718219775E-2</v>
      </c>
      <c r="G368" s="16" cm="1">
        <f t="array" ref="G368">SUMPRODUCT(IF(((H368-$F$4:$F$515)/$B$10)&lt;=-1,0,IF(((H368-$F$4:$F$515)/$B$10)&gt;=1,1,(15/16)*(((H368-$F$4:$F$515)/$B$10)-(2/3)*((H368-$F$4:$F$515)/$B$10)^3+(1/5)*((H368-$F$4:$F$515)/$B$10)^5+8/15))))/COUNT($F$4:$F$515)</f>
        <v>1.953125E-3</v>
      </c>
      <c r="H368" s="15">
        <f t="shared" si="17"/>
        <v>-6.1054939878499775E-2</v>
      </c>
      <c r="K368" s="14">
        <v>0.01</v>
      </c>
      <c r="L368" s="15">
        <f t="shared" si="15"/>
        <v>-1.6954939878499008E-2</v>
      </c>
    </row>
    <row r="369" spans="4:12" ht="14.4" customHeight="1">
      <c r="D369" s="4">
        <v>42529</v>
      </c>
      <c r="E369" s="5">
        <v>4.2880000000000003</v>
      </c>
      <c r="F369" s="5">
        <f t="shared" si="16"/>
        <v>-3.1284273627848734E-3</v>
      </c>
      <c r="G369" s="3" cm="1">
        <f t="array" ref="G369">SUMPRODUCT(IF(((H369-$F$4:$F$515)/$B$10)&lt;=-1,0,IF(((H369-$F$4:$F$515)/$B$10)&gt;=1,1,(15/16)*(((H369-$F$4:$F$515)/$B$10)-(2/3)*((H369-$F$4:$F$515)/$B$10)^3+(1/5)*((H369-$F$4:$F$515)/$B$10)^5+8/15))))/COUNT($F$4:$F$515)</f>
        <v>1.953125E-3</v>
      </c>
      <c r="H369" s="5">
        <f t="shared" si="17"/>
        <v>-6.0954939878499773E-2</v>
      </c>
      <c r="K369" s="4">
        <v>0.01</v>
      </c>
      <c r="L369" s="5">
        <f t="shared" si="15"/>
        <v>-1.6954939878499008E-2</v>
      </c>
    </row>
    <row r="370" spans="4:12" ht="14.4" customHeight="1">
      <c r="D370" s="14">
        <v>42530</v>
      </c>
      <c r="E370" s="15">
        <v>4.2080000000000002</v>
      </c>
      <c r="F370" s="15">
        <f t="shared" si="16"/>
        <v>-8.1790455390309547E-3</v>
      </c>
      <c r="G370" s="16" cm="1">
        <f t="array" ref="G370">SUMPRODUCT(IF(((H370-$F$4:$F$515)/$B$10)&lt;=-1,0,IF(((H370-$F$4:$F$515)/$B$10)&gt;=1,1,(15/16)*(((H370-$F$4:$F$515)/$B$10)-(2/3)*((H370-$F$4:$F$515)/$B$10)^3+(1/5)*((H370-$F$4:$F$515)/$B$10)^5+8/15))))/COUNT($F$4:$F$515)</f>
        <v>1.953125E-3</v>
      </c>
      <c r="H370" s="15">
        <f t="shared" si="17"/>
        <v>-6.085493987849977E-2</v>
      </c>
      <c r="K370" s="14">
        <v>0.01</v>
      </c>
      <c r="L370" s="15">
        <f t="shared" si="15"/>
        <v>-1.6954939878499008E-2</v>
      </c>
    </row>
    <row r="371" spans="4:12" ht="14.4" customHeight="1">
      <c r="D371" s="4">
        <v>42531</v>
      </c>
      <c r="E371" s="5">
        <v>4.0529999999999999</v>
      </c>
      <c r="F371" s="5">
        <f t="shared" si="16"/>
        <v>-1.6299127403989633E-2</v>
      </c>
      <c r="G371" s="3" cm="1">
        <f t="array" ref="G371">SUMPRODUCT(IF(((H371-$F$4:$F$515)/$B$10)&lt;=-1,0,IF(((H371-$F$4:$F$515)/$B$10)&gt;=1,1,(15/16)*(((H371-$F$4:$F$515)/$B$10)-(2/3)*((H371-$F$4:$F$515)/$B$10)^3+(1/5)*((H371-$F$4:$F$515)/$B$10)^5+8/15))))/COUNT($F$4:$F$515)</f>
        <v>1.953125E-3</v>
      </c>
      <c r="H371" s="5">
        <f t="shared" si="17"/>
        <v>-6.0754939878499767E-2</v>
      </c>
      <c r="K371" s="4">
        <v>0.01</v>
      </c>
      <c r="L371" s="5">
        <f t="shared" si="15"/>
        <v>-1.6954939878499008E-2</v>
      </c>
    </row>
    <row r="372" spans="4:12" ht="14.4" customHeight="1">
      <c r="D372" s="14">
        <v>42534</v>
      </c>
      <c r="E372" s="15">
        <v>3.9039999999999999</v>
      </c>
      <c r="F372" s="15">
        <f t="shared" si="16"/>
        <v>-1.6266794747038807E-2</v>
      </c>
      <c r="G372" s="16" cm="1">
        <f t="array" ref="G372">SUMPRODUCT(IF(((H372-$F$4:$F$515)/$B$10)&lt;=-1,0,IF(((H372-$F$4:$F$515)/$B$10)&gt;=1,1,(15/16)*(((H372-$F$4:$F$515)/$B$10)-(2/3)*((H372-$F$4:$F$515)/$B$10)^3+(1/5)*((H372-$F$4:$F$515)/$B$10)^5+8/15))))/COUNT($F$4:$F$515)</f>
        <v>1.953125E-3</v>
      </c>
      <c r="H372" s="15">
        <f t="shared" si="17"/>
        <v>-6.0654939878499764E-2</v>
      </c>
      <c r="K372" s="14">
        <v>0.01</v>
      </c>
      <c r="L372" s="15">
        <f t="shared" si="15"/>
        <v>-1.6954939878499008E-2</v>
      </c>
    </row>
    <row r="373" spans="4:12" ht="14.4" customHeight="1">
      <c r="D373" s="4">
        <v>42535</v>
      </c>
      <c r="E373" s="5">
        <v>3.8050000000000002</v>
      </c>
      <c r="F373" s="5">
        <f t="shared" si="16"/>
        <v>-1.1155147888062544E-2</v>
      </c>
      <c r="G373" s="3" cm="1">
        <f t="array" ref="G373">SUMPRODUCT(IF(((H373-$F$4:$F$515)/$B$10)&lt;=-1,0,IF(((H373-$F$4:$F$515)/$B$10)&gt;=1,1,(15/16)*(((H373-$F$4:$F$515)/$B$10)-(2/3)*((H373-$F$4:$F$515)/$B$10)^3+(1/5)*((H373-$F$4:$F$515)/$B$10)^5+8/15))))/COUNT($F$4:$F$515)</f>
        <v>1.953125E-3</v>
      </c>
      <c r="H373" s="5">
        <f t="shared" si="17"/>
        <v>-6.0554939878499761E-2</v>
      </c>
      <c r="K373" s="4">
        <v>0.01</v>
      </c>
      <c r="L373" s="5">
        <f t="shared" si="15"/>
        <v>-1.6954939878499008E-2</v>
      </c>
    </row>
    <row r="374" spans="4:12" ht="14.4" customHeight="1">
      <c r="D374" s="14">
        <v>42536</v>
      </c>
      <c r="E374" s="15">
        <v>3.8159999999999998</v>
      </c>
      <c r="F374" s="15">
        <f t="shared" si="16"/>
        <v>1.2537049254658706E-3</v>
      </c>
      <c r="G374" s="16" cm="1">
        <f t="array" ref="G374">SUMPRODUCT(IF(((H374-$F$4:$F$515)/$B$10)&lt;=-1,0,IF(((H374-$F$4:$F$515)/$B$10)&gt;=1,1,(15/16)*(((H374-$F$4:$F$515)/$B$10)-(2/3)*((H374-$F$4:$F$515)/$B$10)^3+(1/5)*((H374-$F$4:$F$515)/$B$10)^5+8/15))))/COUNT($F$4:$F$515)</f>
        <v>1.953125E-3</v>
      </c>
      <c r="H374" s="15">
        <f t="shared" si="17"/>
        <v>-6.0454939878499758E-2</v>
      </c>
      <c r="K374" s="14">
        <v>0.01</v>
      </c>
      <c r="L374" s="15">
        <f t="shared" si="15"/>
        <v>-1.6954939878499008E-2</v>
      </c>
    </row>
    <row r="375" spans="4:12" ht="14.4" customHeight="1">
      <c r="D375" s="4">
        <v>42537</v>
      </c>
      <c r="E375" s="5">
        <v>3.7349999999999999</v>
      </c>
      <c r="F375" s="5">
        <f t="shared" si="16"/>
        <v>-9.3177598806399326E-3</v>
      </c>
      <c r="G375" s="3" cm="1">
        <f t="array" ref="G375">SUMPRODUCT(IF(((H375-$F$4:$F$515)/$B$10)&lt;=-1,0,IF(((H375-$F$4:$F$515)/$B$10)&gt;=1,1,(15/16)*(((H375-$F$4:$F$515)/$B$10)-(2/3)*((H375-$F$4:$F$515)/$B$10)^3+(1/5)*((H375-$F$4:$F$515)/$B$10)^5+8/15))))/COUNT($F$4:$F$515)</f>
        <v>1.953125E-3</v>
      </c>
      <c r="H375" s="5">
        <f t="shared" si="17"/>
        <v>-6.0354939878499755E-2</v>
      </c>
      <c r="K375" s="4">
        <v>0.01</v>
      </c>
      <c r="L375" s="5">
        <f t="shared" si="15"/>
        <v>-1.6954939878499008E-2</v>
      </c>
    </row>
    <row r="376" spans="4:12" ht="14.4" customHeight="1">
      <c r="D376" s="14">
        <v>42538</v>
      </c>
      <c r="E376" s="15">
        <v>3.9119999999999999</v>
      </c>
      <c r="F376" s="15">
        <f t="shared" si="16"/>
        <v>2.010823996414627E-2</v>
      </c>
      <c r="G376" s="16" cm="1">
        <f t="array" ref="G376">SUMPRODUCT(IF(((H376-$F$4:$F$515)/$B$10)&lt;=-1,0,IF(((H376-$F$4:$F$515)/$B$10)&gt;=1,1,(15/16)*(((H376-$F$4:$F$515)/$B$10)-(2/3)*((H376-$F$4:$F$515)/$B$10)^3+(1/5)*((H376-$F$4:$F$515)/$B$10)^5+8/15))))/COUNT($F$4:$F$515)</f>
        <v>1.953125E-3</v>
      </c>
      <c r="H376" s="15">
        <f t="shared" si="17"/>
        <v>-6.0254939878499753E-2</v>
      </c>
      <c r="K376" s="14">
        <v>0.01</v>
      </c>
      <c r="L376" s="15">
        <f t="shared" si="15"/>
        <v>-1.6954939878499008E-2</v>
      </c>
    </row>
    <row r="377" spans="4:12" ht="14.4" customHeight="1">
      <c r="D377" s="4">
        <v>42541</v>
      </c>
      <c r="E377" s="5">
        <v>4.0549999999999997</v>
      </c>
      <c r="F377" s="5">
        <f t="shared" si="16"/>
        <v>1.5592012431611017E-2</v>
      </c>
      <c r="G377" s="3" cm="1">
        <f t="array" ref="G377">SUMPRODUCT(IF(((H377-$F$4:$F$515)/$B$10)&lt;=-1,0,IF(((H377-$F$4:$F$515)/$B$10)&gt;=1,1,(15/16)*(((H377-$F$4:$F$515)/$B$10)-(2/3)*((H377-$F$4:$F$515)/$B$10)^3+(1/5)*((H377-$F$4:$F$515)/$B$10)^5+8/15))))/COUNT($F$4:$F$515)</f>
        <v>1.953125E-3</v>
      </c>
      <c r="H377" s="5">
        <f t="shared" si="17"/>
        <v>-6.015493987849975E-2</v>
      </c>
      <c r="K377" s="4">
        <v>0.01</v>
      </c>
      <c r="L377" s="5">
        <f t="shared" si="15"/>
        <v>-1.6954939878499008E-2</v>
      </c>
    </row>
    <row r="378" spans="4:12" ht="14.4" customHeight="1">
      <c r="D378" s="14">
        <v>42542</v>
      </c>
      <c r="E378" s="15">
        <v>4.0730000000000004</v>
      </c>
      <c r="F378" s="15">
        <f t="shared" si="16"/>
        <v>1.9235515388229376E-3</v>
      </c>
      <c r="G378" s="16" cm="1">
        <f t="array" ref="G378">SUMPRODUCT(IF(((H378-$F$4:$F$515)/$B$10)&lt;=-1,0,IF(((H378-$F$4:$F$515)/$B$10)&gt;=1,1,(15/16)*(((H378-$F$4:$F$515)/$B$10)-(2/3)*((H378-$F$4:$F$515)/$B$10)^3+(1/5)*((H378-$F$4:$F$515)/$B$10)^5+8/15))))/COUNT($F$4:$F$515)</f>
        <v>1.953125E-3</v>
      </c>
      <c r="H378" s="15">
        <f t="shared" si="17"/>
        <v>-6.0054939878499747E-2</v>
      </c>
      <c r="K378" s="14">
        <v>0.01</v>
      </c>
      <c r="L378" s="15">
        <f t="shared" si="15"/>
        <v>-1.6954939878499008E-2</v>
      </c>
    </row>
    <row r="379" spans="4:12" ht="14.4" customHeight="1">
      <c r="D379" s="4">
        <v>42543</v>
      </c>
      <c r="E379" s="5">
        <v>4.05</v>
      </c>
      <c r="F379" s="5">
        <f t="shared" si="16"/>
        <v>-2.4593868713291998E-3</v>
      </c>
      <c r="G379" s="3" cm="1">
        <f t="array" ref="G379">SUMPRODUCT(IF(((H379-$F$4:$F$515)/$B$10)&lt;=-1,0,IF(((H379-$F$4:$F$515)/$B$10)&gt;=1,1,(15/16)*(((H379-$F$4:$F$515)/$B$10)-(2/3)*((H379-$F$4:$F$515)/$B$10)^3+(1/5)*((H379-$F$4:$F$515)/$B$10)^5+8/15))))/COUNT($F$4:$F$515)</f>
        <v>1.953125E-3</v>
      </c>
      <c r="H379" s="5">
        <f t="shared" si="17"/>
        <v>-5.9954939878499744E-2</v>
      </c>
      <c r="K379" s="4">
        <v>0.01</v>
      </c>
      <c r="L379" s="5">
        <f t="shared" si="15"/>
        <v>-1.6954939878499008E-2</v>
      </c>
    </row>
    <row r="380" spans="4:12" ht="14.4" customHeight="1">
      <c r="D380" s="14">
        <v>42544</v>
      </c>
      <c r="E380" s="15">
        <v>4.1500000000000004</v>
      </c>
      <c r="F380" s="15">
        <f t="shared" si="16"/>
        <v>1.0593073497424201E-2</v>
      </c>
      <c r="G380" s="16" cm="1">
        <f t="array" ref="G380">SUMPRODUCT(IF(((H380-$F$4:$F$515)/$B$10)&lt;=-1,0,IF(((H380-$F$4:$F$515)/$B$10)&gt;=1,1,(15/16)*(((H380-$F$4:$F$515)/$B$10)-(2/3)*((H380-$F$4:$F$515)/$B$10)^3+(1/5)*((H380-$F$4:$F$515)/$B$10)^5+8/15))))/COUNT($F$4:$F$515)</f>
        <v>1.953125E-3</v>
      </c>
      <c r="H380" s="15">
        <f t="shared" si="17"/>
        <v>-5.9854939878499741E-2</v>
      </c>
      <c r="K380" s="14">
        <v>0.01</v>
      </c>
      <c r="L380" s="15">
        <f t="shared" si="15"/>
        <v>-1.6954939878499008E-2</v>
      </c>
    </row>
    <row r="381" spans="4:12" ht="14.4" customHeight="1">
      <c r="D381" s="4">
        <v>42545</v>
      </c>
      <c r="E381" s="5">
        <v>3.4390000000000001</v>
      </c>
      <c r="F381" s="5">
        <f t="shared" si="16"/>
        <v>-8.1615920890079283E-2</v>
      </c>
      <c r="G381" s="3" cm="1">
        <f t="array" ref="G381">SUMPRODUCT(IF(((H381-$F$4:$F$515)/$B$10)&lt;=-1,0,IF(((H381-$F$4:$F$515)/$B$10)&gt;=1,1,(15/16)*(((H381-$F$4:$F$515)/$B$10)-(2/3)*((H381-$F$4:$F$515)/$B$10)^3+(1/5)*((H381-$F$4:$F$515)/$B$10)^5+8/15))))/COUNT($F$4:$F$515)</f>
        <v>1.953125E-3</v>
      </c>
      <c r="H381" s="5">
        <f t="shared" si="17"/>
        <v>-5.9754939878499738E-2</v>
      </c>
      <c r="K381" s="4">
        <v>0.01</v>
      </c>
      <c r="L381" s="5">
        <f t="shared" si="15"/>
        <v>-1.6954939878499008E-2</v>
      </c>
    </row>
    <row r="382" spans="4:12" ht="14.4" customHeight="1">
      <c r="D382" s="14">
        <v>42548</v>
      </c>
      <c r="E382" s="15">
        <v>3.27</v>
      </c>
      <c r="F382" s="15">
        <f t="shared" si="16"/>
        <v>-2.1884423161727406E-2</v>
      </c>
      <c r="G382" s="16" cm="1">
        <f t="array" ref="G382">SUMPRODUCT(IF(((H382-$F$4:$F$515)/$B$10)&lt;=-1,0,IF(((H382-$F$4:$F$515)/$B$10)&gt;=1,1,(15/16)*(((H382-$F$4:$F$515)/$B$10)-(2/3)*((H382-$F$4:$F$515)/$B$10)^3+(1/5)*((H382-$F$4:$F$515)/$B$10)^5+8/15))))/COUNT($F$4:$F$515)</f>
        <v>1.953125E-3</v>
      </c>
      <c r="H382" s="15">
        <f t="shared" si="17"/>
        <v>-5.9654939878499735E-2</v>
      </c>
      <c r="K382" s="14">
        <v>0.01</v>
      </c>
      <c r="L382" s="15">
        <f t="shared" si="15"/>
        <v>-1.6954939878499008E-2</v>
      </c>
    </row>
    <row r="383" spans="4:12" ht="14.4" customHeight="1">
      <c r="D383" s="4">
        <v>42549</v>
      </c>
      <c r="E383" s="5">
        <v>3.347</v>
      </c>
      <c r="F383" s="5">
        <f t="shared" si="16"/>
        <v>1.0107959697491047E-2</v>
      </c>
      <c r="G383" s="3" cm="1">
        <f t="array" ref="G383">SUMPRODUCT(IF(((H383-$F$4:$F$515)/$B$10)&lt;=-1,0,IF(((H383-$F$4:$F$515)/$B$10)&gt;=1,1,(15/16)*(((H383-$F$4:$F$515)/$B$10)-(2/3)*((H383-$F$4:$F$515)/$B$10)^3+(1/5)*((H383-$F$4:$F$515)/$B$10)^5+8/15))))/COUNT($F$4:$F$515)</f>
        <v>1.953125E-3</v>
      </c>
      <c r="H383" s="5">
        <f t="shared" si="17"/>
        <v>-5.9554939878499732E-2</v>
      </c>
      <c r="K383" s="4">
        <v>0.01</v>
      </c>
      <c r="L383" s="5">
        <f t="shared" si="15"/>
        <v>-1.6954939878499008E-2</v>
      </c>
    </row>
    <row r="384" spans="4:12" ht="14.4" customHeight="1">
      <c r="D384" s="14">
        <v>42550</v>
      </c>
      <c r="E384" s="15">
        <v>3.3769999999999998</v>
      </c>
      <c r="F384" s="15">
        <f t="shared" si="16"/>
        <v>3.8753482776343359E-3</v>
      </c>
      <c r="G384" s="16" cm="1">
        <f t="array" ref="G384">SUMPRODUCT(IF(((H384-$F$4:$F$515)/$B$10)&lt;=-1,0,IF(((H384-$F$4:$F$515)/$B$10)&gt;=1,1,(15/16)*(((H384-$F$4:$F$515)/$B$10)-(2/3)*((H384-$F$4:$F$515)/$B$10)^3+(1/5)*((H384-$F$4:$F$515)/$B$10)^5+8/15))))/COUNT($F$4:$F$515)</f>
        <v>1.953125E-3</v>
      </c>
      <c r="H384" s="15">
        <f t="shared" si="17"/>
        <v>-5.945493987849973E-2</v>
      </c>
      <c r="K384" s="14">
        <v>0.01</v>
      </c>
      <c r="L384" s="15">
        <f t="shared" si="15"/>
        <v>-1.6954939878499008E-2</v>
      </c>
    </row>
    <row r="385" spans="4:12" ht="14.4" customHeight="1">
      <c r="D385" s="4">
        <v>42551</v>
      </c>
      <c r="E385" s="5">
        <v>3.4089999999999998</v>
      </c>
      <c r="F385" s="5">
        <f t="shared" si="16"/>
        <v>4.0959405934796831E-3</v>
      </c>
      <c r="G385" s="3" cm="1">
        <f t="array" ref="G385">SUMPRODUCT(IF(((H385-$F$4:$F$515)/$B$10)&lt;=-1,0,IF(((H385-$F$4:$F$515)/$B$10)&gt;=1,1,(15/16)*(((H385-$F$4:$F$515)/$B$10)-(2/3)*((H385-$F$4:$F$515)/$B$10)^3+(1/5)*((H385-$F$4:$F$515)/$B$10)^5+8/15))))/COUNT($F$4:$F$515)</f>
        <v>1.953125E-3</v>
      </c>
      <c r="H385" s="5">
        <f t="shared" si="17"/>
        <v>-5.9354939878499727E-2</v>
      </c>
      <c r="K385" s="4">
        <v>0.01</v>
      </c>
      <c r="L385" s="5">
        <f t="shared" si="15"/>
        <v>-1.6954939878499008E-2</v>
      </c>
    </row>
    <row r="386" spans="4:12" ht="14.4" customHeight="1">
      <c r="D386" s="14">
        <v>42552</v>
      </c>
      <c r="E386" s="15">
        <v>3.3879999999999999</v>
      </c>
      <c r="F386" s="15">
        <f t="shared" si="16"/>
        <v>-2.6835995702218277E-3</v>
      </c>
      <c r="G386" s="16" cm="1">
        <f t="array" ref="G386">SUMPRODUCT(IF(((H386-$F$4:$F$515)/$B$10)&lt;=-1,0,IF(((H386-$F$4:$F$515)/$B$10)&gt;=1,1,(15/16)*(((H386-$F$4:$F$515)/$B$10)-(2/3)*((H386-$F$4:$F$515)/$B$10)^3+(1/5)*((H386-$F$4:$F$515)/$B$10)^5+8/15))))/COUNT($F$4:$F$515)</f>
        <v>1.953125E-3</v>
      </c>
      <c r="H386" s="15">
        <f t="shared" si="17"/>
        <v>-5.9254939878499724E-2</v>
      </c>
      <c r="K386" s="14">
        <v>0.01</v>
      </c>
      <c r="L386" s="15">
        <f t="shared" si="15"/>
        <v>-1.6954939878499008E-2</v>
      </c>
    </row>
    <row r="387" spans="4:12" ht="14.4" customHeight="1">
      <c r="D387" s="4">
        <v>42555</v>
      </c>
      <c r="E387" s="5">
        <v>3.3359999999999999</v>
      </c>
      <c r="F387" s="5">
        <f t="shared" si="16"/>
        <v>-6.7173596929681837E-3</v>
      </c>
      <c r="G387" s="3" cm="1">
        <f t="array" ref="G387">SUMPRODUCT(IF(((H387-$F$4:$F$515)/$B$10)&lt;=-1,0,IF(((H387-$F$4:$F$515)/$B$10)&gt;=1,1,(15/16)*(((H387-$F$4:$F$515)/$B$10)-(2/3)*((H387-$F$4:$F$515)/$B$10)^3+(1/5)*((H387-$F$4:$F$515)/$B$10)^5+8/15))))/COUNT($F$4:$F$515)</f>
        <v>1.953125E-3</v>
      </c>
      <c r="H387" s="5">
        <f t="shared" si="17"/>
        <v>-5.9154939878499721E-2</v>
      </c>
      <c r="K387" s="4">
        <v>0.01</v>
      </c>
      <c r="L387" s="5">
        <f t="shared" si="15"/>
        <v>-1.6954939878499008E-2</v>
      </c>
    </row>
    <row r="388" spans="4:12" ht="14.4" customHeight="1">
      <c r="D388" s="14">
        <v>42556</v>
      </c>
      <c r="E388" s="15">
        <v>3.165</v>
      </c>
      <c r="F388" s="15">
        <f t="shared" si="16"/>
        <v>-2.2852327612327153E-2</v>
      </c>
      <c r="G388" s="16" cm="1">
        <f t="array" ref="G388">SUMPRODUCT(IF(((H388-$F$4:$F$515)/$B$10)&lt;=-1,0,IF(((H388-$F$4:$F$515)/$B$10)&gt;=1,1,(15/16)*(((H388-$F$4:$F$515)/$B$10)-(2/3)*((H388-$F$4:$F$515)/$B$10)^3+(1/5)*((H388-$F$4:$F$515)/$B$10)^5+8/15))))/COUNT($F$4:$F$515)</f>
        <v>1.953125E-3</v>
      </c>
      <c r="H388" s="15">
        <f t="shared" si="17"/>
        <v>-5.9054939878499718E-2</v>
      </c>
      <c r="K388" s="14">
        <v>0.01</v>
      </c>
      <c r="L388" s="15">
        <f t="shared" ref="L388:L451" si="18">$B$7</f>
        <v>-1.6954939878499008E-2</v>
      </c>
    </row>
    <row r="389" spans="4:12" ht="14.4" customHeight="1">
      <c r="D389" s="4">
        <v>42557</v>
      </c>
      <c r="E389" s="5">
        <v>3.077</v>
      </c>
      <c r="F389" s="5">
        <f t="shared" ref="F389:F452" si="19">LOG(E389/E388)</f>
        <v>-1.2246218105915481E-2</v>
      </c>
      <c r="G389" s="3" cm="1">
        <f t="array" ref="G389">SUMPRODUCT(IF(((H389-$F$4:$F$515)/$B$10)&lt;=-1,0,IF(((H389-$F$4:$F$515)/$B$10)&gt;=1,1,(15/16)*(((H389-$F$4:$F$515)/$B$10)-(2/3)*((H389-$F$4:$F$515)/$B$10)^3+(1/5)*((H389-$F$4:$F$515)/$B$10)^5+8/15))))/COUNT($F$4:$F$515)</f>
        <v>1.953125E-3</v>
      </c>
      <c r="H389" s="5">
        <f t="shared" ref="H389:H452" si="20">H388+0.0001</f>
        <v>-5.8954939878499715E-2</v>
      </c>
      <c r="K389" s="4">
        <v>0.01</v>
      </c>
      <c r="L389" s="5">
        <f t="shared" si="18"/>
        <v>-1.6954939878499008E-2</v>
      </c>
    </row>
    <row r="390" spans="4:12" ht="14.4" customHeight="1">
      <c r="D390" s="14">
        <v>42558</v>
      </c>
      <c r="E390" s="15">
        <v>3.149</v>
      </c>
      <c r="F390" s="15">
        <f t="shared" si="19"/>
        <v>1.004516438908545E-2</v>
      </c>
      <c r="G390" s="16" cm="1">
        <f t="array" ref="G390">SUMPRODUCT(IF(((H390-$F$4:$F$515)/$B$10)&lt;=-1,0,IF(((H390-$F$4:$F$515)/$B$10)&gt;=1,1,(15/16)*(((H390-$F$4:$F$515)/$B$10)-(2/3)*((H390-$F$4:$F$515)/$B$10)^3+(1/5)*((H390-$F$4:$F$515)/$B$10)^5+8/15))))/COUNT($F$4:$F$515)</f>
        <v>1.953125E-3</v>
      </c>
      <c r="H390" s="15">
        <f t="shared" si="20"/>
        <v>-5.8854939878499712E-2</v>
      </c>
      <c r="K390" s="14">
        <v>0.01</v>
      </c>
      <c r="L390" s="15">
        <f t="shared" si="18"/>
        <v>-1.6954939878499008E-2</v>
      </c>
    </row>
    <row r="391" spans="4:12" ht="14.4" customHeight="1">
      <c r="D391" s="4">
        <v>42559</v>
      </c>
      <c r="E391" s="5">
        <v>3.3090000000000002</v>
      </c>
      <c r="F391" s="5">
        <f t="shared" si="19"/>
        <v>2.1524106523309189E-2</v>
      </c>
      <c r="G391" s="3" cm="1">
        <f t="array" ref="G391">SUMPRODUCT(IF(((H391-$F$4:$F$515)/$B$10)&lt;=-1,0,IF(((H391-$F$4:$F$515)/$B$10)&gt;=1,1,(15/16)*(((H391-$F$4:$F$515)/$B$10)-(2/3)*((H391-$F$4:$F$515)/$B$10)^3+(1/5)*((H391-$F$4:$F$515)/$B$10)^5+8/15))))/COUNT($F$4:$F$515)</f>
        <v>1.953125E-3</v>
      </c>
      <c r="H391" s="5">
        <f t="shared" si="20"/>
        <v>-5.875493987849971E-2</v>
      </c>
      <c r="K391" s="4">
        <v>0.01</v>
      </c>
      <c r="L391" s="5">
        <f t="shared" si="18"/>
        <v>-1.6954939878499008E-2</v>
      </c>
    </row>
    <row r="392" spans="4:12" ht="14.4" customHeight="1">
      <c r="D392" s="14">
        <v>42562</v>
      </c>
      <c r="E392" s="15">
        <v>3.3420000000000001</v>
      </c>
      <c r="F392" s="15">
        <f t="shared" si="19"/>
        <v>4.3096783975195042E-3</v>
      </c>
      <c r="G392" s="16" cm="1">
        <f t="array" ref="G392">SUMPRODUCT(IF(((H392-$F$4:$F$515)/$B$10)&lt;=-1,0,IF(((H392-$F$4:$F$515)/$B$10)&gt;=1,1,(15/16)*(((H392-$F$4:$F$515)/$B$10)-(2/3)*((H392-$F$4:$F$515)/$B$10)^3+(1/5)*((H392-$F$4:$F$515)/$B$10)^5+8/15))))/COUNT($F$4:$F$515)</f>
        <v>1.953125E-3</v>
      </c>
      <c r="H392" s="15">
        <f t="shared" si="20"/>
        <v>-5.8654939878499707E-2</v>
      </c>
      <c r="K392" s="14">
        <v>0.01</v>
      </c>
      <c r="L392" s="15">
        <f t="shared" si="18"/>
        <v>-1.6954939878499008E-2</v>
      </c>
    </row>
    <row r="393" spans="4:12" ht="14.4" customHeight="1">
      <c r="D393" s="4">
        <v>42563</v>
      </c>
      <c r="E393" s="5">
        <v>3.427</v>
      </c>
      <c r="F393" s="5">
        <f t="shared" si="19"/>
        <v>1.09076588724944E-2</v>
      </c>
      <c r="G393" s="3" cm="1">
        <f t="array" ref="G393">SUMPRODUCT(IF(((H393-$F$4:$F$515)/$B$10)&lt;=-1,0,IF(((H393-$F$4:$F$515)/$B$10)&gt;=1,1,(15/16)*(((H393-$F$4:$F$515)/$B$10)-(2/3)*((H393-$F$4:$F$515)/$B$10)^3+(1/5)*((H393-$F$4:$F$515)/$B$10)^5+8/15))))/COUNT($F$4:$F$515)</f>
        <v>1.953125E-3</v>
      </c>
      <c r="H393" s="5">
        <f t="shared" si="20"/>
        <v>-5.8554939878499704E-2</v>
      </c>
      <c r="K393" s="4">
        <v>0.01</v>
      </c>
      <c r="L393" s="5">
        <f t="shared" si="18"/>
        <v>-1.6954939878499008E-2</v>
      </c>
    </row>
    <row r="394" spans="4:12" ht="14.4" customHeight="1">
      <c r="D394" s="14">
        <v>42564</v>
      </c>
      <c r="E394" s="15">
        <v>3.3109999999999999</v>
      </c>
      <c r="F394" s="15">
        <f t="shared" si="19"/>
        <v>-1.4954923677798517E-2</v>
      </c>
      <c r="G394" s="16" cm="1">
        <f t="array" ref="G394">SUMPRODUCT(IF(((H394-$F$4:$F$515)/$B$10)&lt;=-1,0,IF(((H394-$F$4:$F$515)/$B$10)&gt;=1,1,(15/16)*(((H394-$F$4:$F$515)/$B$10)-(2/3)*((H394-$F$4:$F$515)/$B$10)^3+(1/5)*((H394-$F$4:$F$515)/$B$10)^5+8/15))))/COUNT($F$4:$F$515)</f>
        <v>1.953125E-3</v>
      </c>
      <c r="H394" s="15">
        <f t="shared" si="20"/>
        <v>-5.8454939878499701E-2</v>
      </c>
      <c r="K394" s="14">
        <v>0.01</v>
      </c>
      <c r="L394" s="15">
        <f t="shared" si="18"/>
        <v>-1.6954939878499008E-2</v>
      </c>
    </row>
    <row r="395" spans="4:12" ht="14.4" customHeight="1">
      <c r="D395" s="4">
        <v>42565</v>
      </c>
      <c r="E395" s="5">
        <v>3.4750000000000001</v>
      </c>
      <c r="F395" s="5">
        <f t="shared" si="19"/>
        <v>2.09956281740643E-2</v>
      </c>
      <c r="G395" s="3" cm="1">
        <f t="array" ref="G395">SUMPRODUCT(IF(((H395-$F$4:$F$515)/$B$10)&lt;=-1,0,IF(((H395-$F$4:$F$515)/$B$10)&gt;=1,1,(15/16)*(((H395-$F$4:$F$515)/$B$10)-(2/3)*((H395-$F$4:$F$515)/$B$10)^3+(1/5)*((H395-$F$4:$F$515)/$B$10)^5+8/15))))/COUNT($F$4:$F$515)</f>
        <v>1.953125E-3</v>
      </c>
      <c r="H395" s="5">
        <f t="shared" si="20"/>
        <v>-5.8354939878499698E-2</v>
      </c>
      <c r="K395" s="4">
        <v>0.01</v>
      </c>
      <c r="L395" s="5">
        <f t="shared" si="18"/>
        <v>-1.6954939878499008E-2</v>
      </c>
    </row>
    <row r="396" spans="4:12" ht="14.4" customHeight="1">
      <c r="D396" s="14">
        <v>42566</v>
      </c>
      <c r="E396" s="15">
        <v>3.4580000000000002</v>
      </c>
      <c r="F396" s="15">
        <f t="shared" si="19"/>
        <v>-2.1298199882289048E-3</v>
      </c>
      <c r="G396" s="16" cm="1">
        <f t="array" ref="G396">SUMPRODUCT(IF(((H396-$F$4:$F$515)/$B$10)&lt;=-1,0,IF(((H396-$F$4:$F$515)/$B$10)&gt;=1,1,(15/16)*(((H396-$F$4:$F$515)/$B$10)-(2/3)*((H396-$F$4:$F$515)/$B$10)^3+(1/5)*((H396-$F$4:$F$515)/$B$10)^5+8/15))))/COUNT($F$4:$F$515)</f>
        <v>1.953125E-3</v>
      </c>
      <c r="H396" s="15">
        <f t="shared" si="20"/>
        <v>-5.8254939878499695E-2</v>
      </c>
      <c r="K396" s="14">
        <v>0.01</v>
      </c>
      <c r="L396" s="15">
        <f t="shared" si="18"/>
        <v>-1.6954939878499008E-2</v>
      </c>
    </row>
    <row r="397" spans="4:12" ht="14.4" customHeight="1">
      <c r="D397" s="4">
        <v>42569</v>
      </c>
      <c r="E397" s="5">
        <v>3.4260000000000002</v>
      </c>
      <c r="F397" s="5">
        <f t="shared" si="19"/>
        <v>-4.0376303084120775E-3</v>
      </c>
      <c r="G397" s="3" cm="1">
        <f t="array" ref="G397">SUMPRODUCT(IF(((H397-$F$4:$F$515)/$B$10)&lt;=-1,0,IF(((H397-$F$4:$F$515)/$B$10)&gt;=1,1,(15/16)*(((H397-$F$4:$F$515)/$B$10)-(2/3)*((H397-$F$4:$F$515)/$B$10)^3+(1/5)*((H397-$F$4:$F$515)/$B$10)^5+8/15))))/COUNT($F$4:$F$515)</f>
        <v>1.953125E-3</v>
      </c>
      <c r="H397" s="5">
        <f t="shared" si="20"/>
        <v>-5.8154939878499692E-2</v>
      </c>
      <c r="K397" s="4">
        <v>0.01</v>
      </c>
      <c r="L397" s="5">
        <f t="shared" si="18"/>
        <v>-1.6954939878499008E-2</v>
      </c>
    </row>
    <row r="398" spans="4:12" ht="14.4" customHeight="1">
      <c r="D398" s="14">
        <v>42570</v>
      </c>
      <c r="E398" s="15">
        <v>3.4369999999999998</v>
      </c>
      <c r="F398" s="15">
        <f t="shared" si="19"/>
        <v>1.3921735077335323E-3</v>
      </c>
      <c r="G398" s="16" cm="1">
        <f t="array" ref="G398">SUMPRODUCT(IF(((H398-$F$4:$F$515)/$B$10)&lt;=-1,0,IF(((H398-$F$4:$F$515)/$B$10)&gt;=1,1,(15/16)*(((H398-$F$4:$F$515)/$B$10)-(2/3)*((H398-$F$4:$F$515)/$B$10)^3+(1/5)*((H398-$F$4:$F$515)/$B$10)^5+8/15))))/COUNT($F$4:$F$515)</f>
        <v>1.953125E-3</v>
      </c>
      <c r="H398" s="15">
        <f t="shared" si="20"/>
        <v>-5.805493987849969E-2</v>
      </c>
      <c r="K398" s="14">
        <v>0.01</v>
      </c>
      <c r="L398" s="15">
        <f t="shared" si="18"/>
        <v>-1.6954939878499008E-2</v>
      </c>
    </row>
    <row r="399" spans="4:12" ht="14.4" customHeight="1">
      <c r="D399" s="4">
        <v>42571</v>
      </c>
      <c r="E399" s="5">
        <v>3.4620000000000002</v>
      </c>
      <c r="F399" s="5">
        <f t="shared" si="19"/>
        <v>3.1475314021497595E-3</v>
      </c>
      <c r="G399" s="3" cm="1">
        <f t="array" ref="G399">SUMPRODUCT(IF(((H399-$F$4:$F$515)/$B$10)&lt;=-1,0,IF(((H399-$F$4:$F$515)/$B$10)&gt;=1,1,(15/16)*(((H399-$F$4:$F$515)/$B$10)-(2/3)*((H399-$F$4:$F$515)/$B$10)^3+(1/5)*((H399-$F$4:$F$515)/$B$10)^5+8/15))))/COUNT($F$4:$F$515)</f>
        <v>1.953125E-3</v>
      </c>
      <c r="H399" s="5">
        <f t="shared" si="20"/>
        <v>-5.7954939878499687E-2</v>
      </c>
      <c r="K399" s="4">
        <v>0.01</v>
      </c>
      <c r="L399" s="5">
        <f t="shared" si="18"/>
        <v>-1.6954939878499008E-2</v>
      </c>
    </row>
    <row r="400" spans="4:12" ht="14.4" customHeight="1">
      <c r="D400" s="14">
        <v>42572</v>
      </c>
      <c r="E400" s="15">
        <v>3.4620000000000002</v>
      </c>
      <c r="F400" s="15">
        <f t="shared" si="19"/>
        <v>0</v>
      </c>
      <c r="G400" s="16" cm="1">
        <f t="array" ref="G400">SUMPRODUCT(IF(((H400-$F$4:$F$515)/$B$10)&lt;=-1,0,IF(((H400-$F$4:$F$515)/$B$10)&gt;=1,1,(15/16)*(((H400-$F$4:$F$515)/$B$10)-(2/3)*((H400-$F$4:$F$515)/$B$10)^3+(1/5)*((H400-$F$4:$F$515)/$B$10)^5+8/15))))/COUNT($F$4:$F$515)</f>
        <v>1.953125E-3</v>
      </c>
      <c r="H400" s="15">
        <f t="shared" si="20"/>
        <v>-5.7854939878499684E-2</v>
      </c>
      <c r="K400" s="14">
        <v>0.01</v>
      </c>
      <c r="L400" s="15">
        <f t="shared" si="18"/>
        <v>-1.6954939878499008E-2</v>
      </c>
    </row>
    <row r="401" spans="4:12" ht="14.4" customHeight="1">
      <c r="D401" s="4">
        <v>42573</v>
      </c>
      <c r="E401" s="5">
        <v>3.4550000000000001</v>
      </c>
      <c r="F401" s="5">
        <f t="shared" si="19"/>
        <v>-8.7901182915785735E-4</v>
      </c>
      <c r="G401" s="3" cm="1">
        <f t="array" ref="G401">SUMPRODUCT(IF(((H401-$F$4:$F$515)/$B$10)&lt;=-1,0,IF(((H401-$F$4:$F$515)/$B$10)&gt;=1,1,(15/16)*(((H401-$F$4:$F$515)/$B$10)-(2/3)*((H401-$F$4:$F$515)/$B$10)^3+(1/5)*((H401-$F$4:$F$515)/$B$10)^5+8/15))))/COUNT($F$4:$F$515)</f>
        <v>1.953125E-3</v>
      </c>
      <c r="H401" s="5">
        <f t="shared" si="20"/>
        <v>-5.7754939878499681E-2</v>
      </c>
      <c r="K401" s="4">
        <v>0.01</v>
      </c>
      <c r="L401" s="5">
        <f t="shared" si="18"/>
        <v>-1.6954939878499008E-2</v>
      </c>
    </row>
    <row r="402" spans="4:12" ht="14.4" customHeight="1">
      <c r="D402" s="14">
        <v>42576</v>
      </c>
      <c r="E402" s="15">
        <v>3.419</v>
      </c>
      <c r="F402" s="15">
        <f t="shared" si="19"/>
        <v>-4.5489509136225877E-3</v>
      </c>
      <c r="G402" s="16" cm="1">
        <f t="array" ref="G402">SUMPRODUCT(IF(((H402-$F$4:$F$515)/$B$10)&lt;=-1,0,IF(((H402-$F$4:$F$515)/$B$10)&gt;=1,1,(15/16)*(((H402-$F$4:$F$515)/$B$10)-(2/3)*((H402-$F$4:$F$515)/$B$10)^3+(1/5)*((H402-$F$4:$F$515)/$B$10)^5+8/15))))/COUNT($F$4:$F$515)</f>
        <v>1.953125E-3</v>
      </c>
      <c r="H402" s="15">
        <f t="shared" si="20"/>
        <v>-5.7654939878499678E-2</v>
      </c>
      <c r="K402" s="14">
        <v>0.01</v>
      </c>
      <c r="L402" s="15">
        <f t="shared" si="18"/>
        <v>-1.6954939878499008E-2</v>
      </c>
    </row>
    <row r="403" spans="4:12" ht="14.4" customHeight="1">
      <c r="D403" s="4">
        <v>42577</v>
      </c>
      <c r="E403" s="5">
        <v>3.3820000000000001</v>
      </c>
      <c r="F403" s="5">
        <f t="shared" si="19"/>
        <v>-4.7254975348716846E-3</v>
      </c>
      <c r="G403" s="3" cm="1">
        <f t="array" ref="G403">SUMPRODUCT(IF(((H403-$F$4:$F$515)/$B$10)&lt;=-1,0,IF(((H403-$F$4:$F$515)/$B$10)&gt;=1,1,(15/16)*(((H403-$F$4:$F$515)/$B$10)-(2/3)*((H403-$F$4:$F$515)/$B$10)^3+(1/5)*((H403-$F$4:$F$515)/$B$10)^5+8/15))))/COUNT($F$4:$F$515)</f>
        <v>1.953125E-3</v>
      </c>
      <c r="H403" s="5">
        <f t="shared" si="20"/>
        <v>-5.7554939878499675E-2</v>
      </c>
      <c r="K403" s="4">
        <v>0.01</v>
      </c>
      <c r="L403" s="5">
        <f t="shared" si="18"/>
        <v>-1.6954939878499008E-2</v>
      </c>
    </row>
    <row r="404" spans="4:12" ht="14.4" customHeight="1">
      <c r="D404" s="14">
        <v>42578</v>
      </c>
      <c r="E404" s="15">
        <v>3.5339999999999998</v>
      </c>
      <c r="F404" s="15">
        <f t="shared" si="19"/>
        <v>1.9092941909022287E-2</v>
      </c>
      <c r="G404" s="16" cm="1">
        <f t="array" ref="G404">SUMPRODUCT(IF(((H404-$F$4:$F$515)/$B$10)&lt;=-1,0,IF(((H404-$F$4:$F$515)/$B$10)&gt;=1,1,(15/16)*(((H404-$F$4:$F$515)/$B$10)-(2/3)*((H404-$F$4:$F$515)/$B$10)^3+(1/5)*((H404-$F$4:$F$515)/$B$10)^5+8/15))))/COUNT($F$4:$F$515)</f>
        <v>1.953125E-3</v>
      </c>
      <c r="H404" s="15">
        <f t="shared" si="20"/>
        <v>-5.7454939878499672E-2</v>
      </c>
      <c r="K404" s="14">
        <v>0.01</v>
      </c>
      <c r="L404" s="15">
        <f t="shared" si="18"/>
        <v>-1.6954939878499008E-2</v>
      </c>
    </row>
    <row r="405" spans="4:12" ht="14.4" customHeight="1">
      <c r="D405" s="4">
        <v>42579</v>
      </c>
      <c r="E405" s="5">
        <v>3.4249999999999998</v>
      </c>
      <c r="F405" s="5">
        <f t="shared" si="19"/>
        <v>-1.3605969342300902E-2</v>
      </c>
      <c r="G405" s="3" cm="1">
        <f t="array" ref="G405">SUMPRODUCT(IF(((H405-$F$4:$F$515)/$B$10)&lt;=-1,0,IF(((H405-$F$4:$F$515)/$B$10)&gt;=1,1,(15/16)*(((H405-$F$4:$F$515)/$B$10)-(2/3)*((H405-$F$4:$F$515)/$B$10)^3+(1/5)*((H405-$F$4:$F$515)/$B$10)^5+8/15))))/COUNT($F$4:$F$515)</f>
        <v>1.953125E-3</v>
      </c>
      <c r="H405" s="5">
        <f t="shared" si="20"/>
        <v>-5.7354939878499669E-2</v>
      </c>
      <c r="K405" s="4">
        <v>0.01</v>
      </c>
      <c r="L405" s="5">
        <f t="shared" si="18"/>
        <v>-1.6954939878499008E-2</v>
      </c>
    </row>
    <row r="406" spans="4:12" ht="14.4" customHeight="1">
      <c r="D406" s="14">
        <v>42580</v>
      </c>
      <c r="E406" s="15">
        <v>3.6850000000000001</v>
      </c>
      <c r="F406" s="15">
        <f t="shared" si="19"/>
        <v>3.1776916366625899E-2</v>
      </c>
      <c r="G406" s="16" cm="1">
        <f t="array" ref="G406">SUMPRODUCT(IF(((H406-$F$4:$F$515)/$B$10)&lt;=-1,0,IF(((H406-$F$4:$F$515)/$B$10)&gt;=1,1,(15/16)*(((H406-$F$4:$F$515)/$B$10)-(2/3)*((H406-$F$4:$F$515)/$B$10)^3+(1/5)*((H406-$F$4:$F$515)/$B$10)^5+8/15))))/COUNT($F$4:$F$515)</f>
        <v>1.953125E-3</v>
      </c>
      <c r="H406" s="15">
        <f t="shared" si="20"/>
        <v>-5.7254939878499667E-2</v>
      </c>
      <c r="K406" s="14">
        <v>0.01</v>
      </c>
      <c r="L406" s="15">
        <f t="shared" si="18"/>
        <v>-1.6954939878499008E-2</v>
      </c>
    </row>
    <row r="407" spans="4:12" ht="14.4" customHeight="1">
      <c r="D407" s="4">
        <v>42583</v>
      </c>
      <c r="E407" s="5">
        <v>3.6429999999999998</v>
      </c>
      <c r="F407" s="5">
        <f t="shared" si="19"/>
        <v>-4.9783209531543953E-3</v>
      </c>
      <c r="G407" s="3" cm="1">
        <f t="array" ref="G407">SUMPRODUCT(IF(((H407-$F$4:$F$515)/$B$10)&lt;=-1,0,IF(((H407-$F$4:$F$515)/$B$10)&gt;=1,1,(15/16)*(((H407-$F$4:$F$515)/$B$10)-(2/3)*((H407-$F$4:$F$515)/$B$10)^3+(1/5)*((H407-$F$4:$F$515)/$B$10)^5+8/15))))/COUNT($F$4:$F$515)</f>
        <v>1.953125E-3</v>
      </c>
      <c r="H407" s="5">
        <f t="shared" si="20"/>
        <v>-5.7154939878499664E-2</v>
      </c>
      <c r="K407" s="4">
        <v>0.01</v>
      </c>
      <c r="L407" s="5">
        <f t="shared" si="18"/>
        <v>-1.6954939878499008E-2</v>
      </c>
    </row>
    <row r="408" spans="4:12" ht="14.4" customHeight="1">
      <c r="D408" s="14">
        <v>42584</v>
      </c>
      <c r="E408" s="15">
        <v>3.4220000000000002</v>
      </c>
      <c r="F408" s="15">
        <f t="shared" si="19"/>
        <v>-2.717916603683436E-2</v>
      </c>
      <c r="G408" s="16" cm="1">
        <f t="array" ref="G408">SUMPRODUCT(IF(((H408-$F$4:$F$515)/$B$10)&lt;=-1,0,IF(((H408-$F$4:$F$515)/$B$10)&gt;=1,1,(15/16)*(((H408-$F$4:$F$515)/$B$10)-(2/3)*((H408-$F$4:$F$515)/$B$10)^3+(1/5)*((H408-$F$4:$F$515)/$B$10)^5+8/15))))/COUNT($F$4:$F$515)</f>
        <v>1.953125E-3</v>
      </c>
      <c r="H408" s="15">
        <f t="shared" si="20"/>
        <v>-5.7054939878499661E-2</v>
      </c>
      <c r="K408" s="14">
        <v>0.01</v>
      </c>
      <c r="L408" s="15">
        <f t="shared" si="18"/>
        <v>-1.6954939878499008E-2</v>
      </c>
    </row>
    <row r="409" spans="4:12" ht="14.4" customHeight="1">
      <c r="D409" s="4">
        <v>42585</v>
      </c>
      <c r="E409" s="5">
        <v>3.4079999999999999</v>
      </c>
      <c r="F409" s="5">
        <f t="shared" si="19"/>
        <v>-1.7804191104190189E-3</v>
      </c>
      <c r="G409" s="3" cm="1">
        <f t="array" ref="G409">SUMPRODUCT(IF(((H409-$F$4:$F$515)/$B$10)&lt;=-1,0,IF(((H409-$F$4:$F$515)/$B$10)&gt;=1,1,(15/16)*(((H409-$F$4:$F$515)/$B$10)-(2/3)*((H409-$F$4:$F$515)/$B$10)^3+(1/5)*((H409-$F$4:$F$515)/$B$10)^5+8/15))))/COUNT($F$4:$F$515)</f>
        <v>1.953125E-3</v>
      </c>
      <c r="H409" s="5">
        <f t="shared" si="20"/>
        <v>-5.6954939878499658E-2</v>
      </c>
      <c r="K409" s="4">
        <v>0.01</v>
      </c>
      <c r="L409" s="5">
        <f t="shared" si="18"/>
        <v>-1.6954939878499008E-2</v>
      </c>
    </row>
    <row r="410" spans="4:12" ht="14.4" customHeight="1">
      <c r="D410" s="14">
        <v>42586</v>
      </c>
      <c r="E410" s="15">
        <v>3.4580000000000002</v>
      </c>
      <c r="F410" s="15">
        <f t="shared" si="19"/>
        <v>6.325402843241284E-3</v>
      </c>
      <c r="G410" s="16" cm="1">
        <f t="array" ref="G410">SUMPRODUCT(IF(((H410-$F$4:$F$515)/$B$10)&lt;=-1,0,IF(((H410-$F$4:$F$515)/$B$10)&gt;=1,1,(15/16)*(((H410-$F$4:$F$515)/$B$10)-(2/3)*((H410-$F$4:$F$515)/$B$10)^3+(1/5)*((H410-$F$4:$F$515)/$B$10)^5+8/15))))/COUNT($F$4:$F$515)</f>
        <v>1.953125E-3</v>
      </c>
      <c r="H410" s="15">
        <f t="shared" si="20"/>
        <v>-5.6854939878499655E-2</v>
      </c>
      <c r="K410" s="14">
        <v>0.01</v>
      </c>
      <c r="L410" s="15">
        <f t="shared" si="18"/>
        <v>-1.6954939878499008E-2</v>
      </c>
    </row>
    <row r="411" spans="4:12" ht="14.4" customHeight="1">
      <c r="D411" s="4">
        <v>42587</v>
      </c>
      <c r="E411" s="5">
        <v>3.589</v>
      </c>
      <c r="F411" s="5">
        <f t="shared" si="19"/>
        <v>1.6148469395336026E-2</v>
      </c>
      <c r="G411" s="3" cm="1">
        <f t="array" ref="G411">SUMPRODUCT(IF(((H411-$F$4:$F$515)/$B$10)&lt;=-1,0,IF(((H411-$F$4:$F$515)/$B$10)&gt;=1,1,(15/16)*(((H411-$F$4:$F$515)/$B$10)-(2/3)*((H411-$F$4:$F$515)/$B$10)^3+(1/5)*((H411-$F$4:$F$515)/$B$10)^5+8/15))))/COUNT($F$4:$F$515)</f>
        <v>1.953125E-3</v>
      </c>
      <c r="H411" s="5">
        <f t="shared" si="20"/>
        <v>-5.6754939878499652E-2</v>
      </c>
      <c r="K411" s="4">
        <v>0.01</v>
      </c>
      <c r="L411" s="5">
        <f t="shared" si="18"/>
        <v>-1.6954939878499008E-2</v>
      </c>
    </row>
    <row r="412" spans="4:12" ht="14.4" customHeight="1">
      <c r="D412" s="14">
        <v>42590</v>
      </c>
      <c r="E412" s="15">
        <v>3.62</v>
      </c>
      <c r="F412" s="15">
        <f t="shared" si="19"/>
        <v>3.7351121999258515E-3</v>
      </c>
      <c r="G412" s="16" cm="1">
        <f t="array" ref="G412">SUMPRODUCT(IF(((H412-$F$4:$F$515)/$B$10)&lt;=-1,0,IF(((H412-$F$4:$F$515)/$B$10)&gt;=1,1,(15/16)*(((H412-$F$4:$F$515)/$B$10)-(2/3)*((H412-$F$4:$F$515)/$B$10)^3+(1/5)*((H412-$F$4:$F$515)/$B$10)^5+8/15))))/COUNT($F$4:$F$515)</f>
        <v>1.953125E-3</v>
      </c>
      <c r="H412" s="15">
        <f t="shared" si="20"/>
        <v>-5.6654939878499649E-2</v>
      </c>
      <c r="K412" s="14">
        <v>0.01</v>
      </c>
      <c r="L412" s="15">
        <f t="shared" si="18"/>
        <v>-1.6954939878499008E-2</v>
      </c>
    </row>
    <row r="413" spans="4:12" ht="14.4" customHeight="1">
      <c r="D413" s="4">
        <v>42591</v>
      </c>
      <c r="E413" s="5">
        <v>3.7120000000000002</v>
      </c>
      <c r="F413" s="5">
        <f t="shared" si="19"/>
        <v>1.0899397013658749E-2</v>
      </c>
      <c r="G413" s="3" cm="1">
        <f t="array" ref="G413">SUMPRODUCT(IF(((H413-$F$4:$F$515)/$B$10)&lt;=-1,0,IF(((H413-$F$4:$F$515)/$B$10)&gt;=1,1,(15/16)*(((H413-$F$4:$F$515)/$B$10)-(2/3)*((H413-$F$4:$F$515)/$B$10)^3+(1/5)*((H413-$F$4:$F$515)/$B$10)^5+8/15))))/COUNT($F$4:$F$515)</f>
        <v>1.953125E-3</v>
      </c>
      <c r="H413" s="5">
        <f t="shared" si="20"/>
        <v>-5.6554939878499647E-2</v>
      </c>
      <c r="K413" s="4">
        <v>0.01</v>
      </c>
      <c r="L413" s="5">
        <f t="shared" si="18"/>
        <v>-1.6954939878499008E-2</v>
      </c>
    </row>
    <row r="414" spans="4:12" ht="14.4" customHeight="1">
      <c r="D414" s="14">
        <v>42592</v>
      </c>
      <c r="E414" s="15">
        <v>3.8130000000000002</v>
      </c>
      <c r="F414" s="15">
        <f t="shared" si="19"/>
        <v>1.1658837726846144E-2</v>
      </c>
      <c r="G414" s="16" cm="1">
        <f t="array" ref="G414">SUMPRODUCT(IF(((H414-$F$4:$F$515)/$B$10)&lt;=-1,0,IF(((H414-$F$4:$F$515)/$B$10)&gt;=1,1,(15/16)*(((H414-$F$4:$F$515)/$B$10)-(2/3)*((H414-$F$4:$F$515)/$B$10)^3+(1/5)*((H414-$F$4:$F$515)/$B$10)^5+8/15))))/COUNT($F$4:$F$515)</f>
        <v>1.953125E-3</v>
      </c>
      <c r="H414" s="15">
        <f t="shared" si="20"/>
        <v>-5.6454939878499644E-2</v>
      </c>
      <c r="K414" s="14">
        <v>0.01</v>
      </c>
      <c r="L414" s="15">
        <f t="shared" si="18"/>
        <v>-1.6954939878499008E-2</v>
      </c>
    </row>
    <row r="415" spans="4:12" ht="14.4" customHeight="1">
      <c r="D415" s="4">
        <v>42593</v>
      </c>
      <c r="E415" s="5">
        <v>3.8039999999999998</v>
      </c>
      <c r="F415" s="5">
        <f t="shared" si="19"/>
        <v>-1.0262970082943212E-3</v>
      </c>
      <c r="G415" s="3" cm="1">
        <f t="array" ref="G415">SUMPRODUCT(IF(((H415-$F$4:$F$515)/$B$10)&lt;=-1,0,IF(((H415-$F$4:$F$515)/$B$10)&gt;=1,1,(15/16)*(((H415-$F$4:$F$515)/$B$10)-(2/3)*((H415-$F$4:$F$515)/$B$10)^3+(1/5)*((H415-$F$4:$F$515)/$B$10)^5+8/15))))/COUNT($F$4:$F$515)</f>
        <v>1.953125E-3</v>
      </c>
      <c r="H415" s="5">
        <f t="shared" si="20"/>
        <v>-5.6354939878499641E-2</v>
      </c>
      <c r="K415" s="4">
        <v>0.01</v>
      </c>
      <c r="L415" s="5">
        <f t="shared" si="18"/>
        <v>-1.6954939878499008E-2</v>
      </c>
    </row>
    <row r="416" spans="4:12" ht="14.4" customHeight="1">
      <c r="D416" s="14">
        <v>42594</v>
      </c>
      <c r="E416" s="15">
        <v>3.782</v>
      </c>
      <c r="F416" s="15">
        <f t="shared" si="19"/>
        <v>-2.5189837563553978E-3</v>
      </c>
      <c r="G416" s="16" cm="1">
        <f t="array" ref="G416">SUMPRODUCT(IF(((H416-$F$4:$F$515)/$B$10)&lt;=-1,0,IF(((H416-$F$4:$F$515)/$B$10)&gt;=1,1,(15/16)*(((H416-$F$4:$F$515)/$B$10)-(2/3)*((H416-$F$4:$F$515)/$B$10)^3+(1/5)*((H416-$F$4:$F$515)/$B$10)^5+8/15))))/COUNT($F$4:$F$515)</f>
        <v>1.953125E-3</v>
      </c>
      <c r="H416" s="15">
        <f t="shared" si="20"/>
        <v>-5.6254939878499638E-2</v>
      </c>
      <c r="K416" s="14">
        <v>0.01</v>
      </c>
      <c r="L416" s="15">
        <f t="shared" si="18"/>
        <v>-1.6954939878499008E-2</v>
      </c>
    </row>
    <row r="417" spans="4:12" ht="14.4" customHeight="1">
      <c r="D417" s="4">
        <v>42597</v>
      </c>
      <c r="E417" s="5">
        <v>3.7719999999999998</v>
      </c>
      <c r="F417" s="5">
        <f t="shared" si="19"/>
        <v>-1.1498404437301898E-3</v>
      </c>
      <c r="G417" s="3" cm="1">
        <f t="array" ref="G417">SUMPRODUCT(IF(((H417-$F$4:$F$515)/$B$10)&lt;=-1,0,IF(((H417-$F$4:$F$515)/$B$10)&gt;=1,1,(15/16)*(((H417-$F$4:$F$515)/$B$10)-(2/3)*((H417-$F$4:$F$515)/$B$10)^3+(1/5)*((H417-$F$4:$F$515)/$B$10)^5+8/15))))/COUNT($F$4:$F$515)</f>
        <v>1.953125E-3</v>
      </c>
      <c r="H417" s="5">
        <f t="shared" si="20"/>
        <v>-5.6154939878499635E-2</v>
      </c>
      <c r="K417" s="4">
        <v>0.01</v>
      </c>
      <c r="L417" s="5">
        <f t="shared" si="18"/>
        <v>-1.6954939878499008E-2</v>
      </c>
    </row>
    <row r="418" spans="4:12" ht="14.4" customHeight="1">
      <c r="D418" s="14">
        <v>42598</v>
      </c>
      <c r="E418" s="15">
        <v>3.7450000000000001</v>
      </c>
      <c r="F418" s="15">
        <f t="shared" si="19"/>
        <v>-3.1198620298054668E-3</v>
      </c>
      <c r="G418" s="16" cm="1">
        <f t="array" ref="G418">SUMPRODUCT(IF(((H418-$F$4:$F$515)/$B$10)&lt;=-1,0,IF(((H418-$F$4:$F$515)/$B$10)&gt;=1,1,(15/16)*(((H418-$F$4:$F$515)/$B$10)-(2/3)*((H418-$F$4:$F$515)/$B$10)^3+(1/5)*((H418-$F$4:$F$515)/$B$10)^5+8/15))))/COUNT($F$4:$F$515)</f>
        <v>1.953125E-3</v>
      </c>
      <c r="H418" s="15">
        <f t="shared" si="20"/>
        <v>-5.6054939878499632E-2</v>
      </c>
      <c r="K418" s="14">
        <v>0.01</v>
      </c>
      <c r="L418" s="15">
        <f t="shared" si="18"/>
        <v>-1.6954939878499008E-2</v>
      </c>
    </row>
    <row r="419" spans="4:12" ht="14.4" customHeight="1">
      <c r="D419" s="4">
        <v>42599</v>
      </c>
      <c r="E419" s="5">
        <v>3.6720000000000002</v>
      </c>
      <c r="F419" s="5">
        <f t="shared" si="19"/>
        <v>-8.5491495062804557E-3</v>
      </c>
      <c r="G419" s="3" cm="1">
        <f t="array" ref="G419">SUMPRODUCT(IF(((H419-$F$4:$F$515)/$B$10)&lt;=-1,0,IF(((H419-$F$4:$F$515)/$B$10)&gt;=1,1,(15/16)*(((H419-$F$4:$F$515)/$B$10)-(2/3)*((H419-$F$4:$F$515)/$B$10)^3+(1/5)*((H419-$F$4:$F$515)/$B$10)^5+8/15))))/COUNT($F$4:$F$515)</f>
        <v>1.953125E-3</v>
      </c>
      <c r="H419" s="5">
        <f t="shared" si="20"/>
        <v>-5.5954939878499629E-2</v>
      </c>
      <c r="K419" s="4">
        <v>0.01</v>
      </c>
      <c r="L419" s="5">
        <f t="shared" si="18"/>
        <v>-1.6954939878499008E-2</v>
      </c>
    </row>
    <row r="420" spans="4:12" ht="14.4" customHeight="1">
      <c r="D420" s="14">
        <v>42600</v>
      </c>
      <c r="E420" s="15">
        <v>3.6440000000000001</v>
      </c>
      <c r="F420" s="15">
        <f t="shared" si="19"/>
        <v>-3.3243042282442084E-3</v>
      </c>
      <c r="G420" s="16" cm="1">
        <f t="array" ref="G420">SUMPRODUCT(IF(((H420-$F$4:$F$515)/$B$10)&lt;=-1,0,IF(((H420-$F$4:$F$515)/$B$10)&gt;=1,1,(15/16)*(((H420-$F$4:$F$515)/$B$10)-(2/3)*((H420-$F$4:$F$515)/$B$10)^3+(1/5)*((H420-$F$4:$F$515)/$B$10)^5+8/15))))/COUNT($F$4:$F$515)</f>
        <v>1.953125E-3</v>
      </c>
      <c r="H420" s="15">
        <f t="shared" si="20"/>
        <v>-5.5854939878499626E-2</v>
      </c>
      <c r="K420" s="14">
        <v>0.01</v>
      </c>
      <c r="L420" s="15">
        <f t="shared" si="18"/>
        <v>-1.6954939878499008E-2</v>
      </c>
    </row>
    <row r="421" spans="4:12" ht="14.4" customHeight="1">
      <c r="D421" s="4">
        <v>42601</v>
      </c>
      <c r="E421" s="5">
        <v>3.59</v>
      </c>
      <c r="F421" s="5">
        <f t="shared" si="19"/>
        <v>-6.4839197226415311E-3</v>
      </c>
      <c r="G421" s="3" cm="1">
        <f t="array" ref="G421">SUMPRODUCT(IF(((H421-$F$4:$F$515)/$B$10)&lt;=-1,0,IF(((H421-$F$4:$F$515)/$B$10)&gt;=1,1,(15/16)*(((H421-$F$4:$F$515)/$B$10)-(2/3)*((H421-$F$4:$F$515)/$B$10)^3+(1/5)*((H421-$F$4:$F$515)/$B$10)^5+8/15))))/COUNT($F$4:$F$515)</f>
        <v>1.953125E-3</v>
      </c>
      <c r="H421" s="5">
        <f t="shared" si="20"/>
        <v>-5.5754939878499624E-2</v>
      </c>
      <c r="K421" s="4">
        <v>0.01</v>
      </c>
      <c r="L421" s="5">
        <f t="shared" si="18"/>
        <v>-1.6954939878499008E-2</v>
      </c>
    </row>
    <row r="422" spans="4:12" ht="14.4" customHeight="1">
      <c r="D422" s="14">
        <v>42604</v>
      </c>
      <c r="E422" s="15">
        <v>3.665</v>
      </c>
      <c r="F422" s="15">
        <f t="shared" si="19"/>
        <v>8.9795303988276544E-3</v>
      </c>
      <c r="G422" s="16" cm="1">
        <f t="array" ref="G422">SUMPRODUCT(IF(((H422-$F$4:$F$515)/$B$10)&lt;=-1,0,IF(((H422-$F$4:$F$515)/$B$10)&gt;=1,1,(15/16)*(((H422-$F$4:$F$515)/$B$10)-(2/3)*((H422-$F$4:$F$515)/$B$10)^3+(1/5)*((H422-$F$4:$F$515)/$B$10)^5+8/15))))/COUNT($F$4:$F$515)</f>
        <v>1.953125E-3</v>
      </c>
      <c r="H422" s="15">
        <f t="shared" si="20"/>
        <v>-5.5654939878499621E-2</v>
      </c>
      <c r="K422" s="14">
        <v>0.01</v>
      </c>
      <c r="L422" s="15">
        <f t="shared" si="18"/>
        <v>-1.6954939878499008E-2</v>
      </c>
    </row>
    <row r="423" spans="4:12" ht="14.4" customHeight="1">
      <c r="D423" s="4">
        <v>42605</v>
      </c>
      <c r="E423" s="5">
        <v>3.7370000000000001</v>
      </c>
      <c r="F423" s="5">
        <f t="shared" si="19"/>
        <v>8.4491188724908021E-3</v>
      </c>
      <c r="G423" s="3" cm="1">
        <f t="array" ref="G423">SUMPRODUCT(IF(((H423-$F$4:$F$515)/$B$10)&lt;=-1,0,IF(((H423-$F$4:$F$515)/$B$10)&gt;=1,1,(15/16)*(((H423-$F$4:$F$515)/$B$10)-(2/3)*((H423-$F$4:$F$515)/$B$10)^3+(1/5)*((H423-$F$4:$F$515)/$B$10)^5+8/15))))/COUNT($F$4:$F$515)</f>
        <v>1.953125E-3</v>
      </c>
      <c r="H423" s="5">
        <f t="shared" si="20"/>
        <v>-5.5554939878499618E-2</v>
      </c>
      <c r="K423" s="4">
        <v>0.01</v>
      </c>
      <c r="L423" s="5">
        <f t="shared" si="18"/>
        <v>-1.6954939878499008E-2</v>
      </c>
    </row>
    <row r="424" spans="4:12" ht="14.4" customHeight="1">
      <c r="D424" s="14">
        <v>42606</v>
      </c>
      <c r="E424" s="15">
        <v>3.7959999999999998</v>
      </c>
      <c r="F424" s="15">
        <f t="shared" si="19"/>
        <v>6.8031059056174927E-3</v>
      </c>
      <c r="G424" s="16" cm="1">
        <f t="array" ref="G424">SUMPRODUCT(IF(((H424-$F$4:$F$515)/$B$10)&lt;=-1,0,IF(((H424-$F$4:$F$515)/$B$10)&gt;=1,1,(15/16)*(((H424-$F$4:$F$515)/$B$10)-(2/3)*((H424-$F$4:$F$515)/$B$10)^3+(1/5)*((H424-$F$4:$F$515)/$B$10)^5+8/15))))/COUNT($F$4:$F$515)</f>
        <v>1.953125E-3</v>
      </c>
      <c r="H424" s="15">
        <f t="shared" si="20"/>
        <v>-5.5454939878499615E-2</v>
      </c>
      <c r="K424" s="14">
        <v>0.01</v>
      </c>
      <c r="L424" s="15">
        <f t="shared" si="18"/>
        <v>-1.6954939878499008E-2</v>
      </c>
    </row>
    <row r="425" spans="4:12" ht="14.4" customHeight="1">
      <c r="D425" s="4">
        <v>42607</v>
      </c>
      <c r="E425" s="5">
        <v>3.7730000000000001</v>
      </c>
      <c r="F425" s="5">
        <f t="shared" si="19"/>
        <v>-2.639398554259471E-3</v>
      </c>
      <c r="G425" s="3" cm="1">
        <f t="array" ref="G425">SUMPRODUCT(IF(((H425-$F$4:$F$515)/$B$10)&lt;=-1,0,IF(((H425-$F$4:$F$515)/$B$10)&gt;=1,1,(15/16)*(((H425-$F$4:$F$515)/$B$10)-(2/3)*((H425-$F$4:$F$515)/$B$10)^3+(1/5)*((H425-$F$4:$F$515)/$B$10)^5+8/15))))/COUNT($F$4:$F$515)</f>
        <v>1.953125E-3</v>
      </c>
      <c r="H425" s="5">
        <f t="shared" si="20"/>
        <v>-5.5354939878499612E-2</v>
      </c>
      <c r="K425" s="4">
        <v>0.01</v>
      </c>
      <c r="L425" s="5">
        <f t="shared" si="18"/>
        <v>-1.6954939878499008E-2</v>
      </c>
    </row>
    <row r="426" spans="4:12" ht="14.4" customHeight="1">
      <c r="D426" s="14">
        <v>42608</v>
      </c>
      <c r="E426" s="15">
        <v>3.8130000000000002</v>
      </c>
      <c r="F426" s="15">
        <f t="shared" si="19"/>
        <v>4.5800000726750759E-3</v>
      </c>
      <c r="G426" s="16" cm="1">
        <f t="array" ref="G426">SUMPRODUCT(IF(((H426-$F$4:$F$515)/$B$10)&lt;=-1,0,IF(((H426-$F$4:$F$515)/$B$10)&gt;=1,1,(15/16)*(((H426-$F$4:$F$515)/$B$10)-(2/3)*((H426-$F$4:$F$515)/$B$10)^3+(1/5)*((H426-$F$4:$F$515)/$B$10)^5+8/15))))/COUNT($F$4:$F$515)</f>
        <v>1.953125E-3</v>
      </c>
      <c r="H426" s="15">
        <f t="shared" si="20"/>
        <v>-5.5254939878499609E-2</v>
      </c>
      <c r="K426" s="14">
        <v>0.01</v>
      </c>
      <c r="L426" s="15">
        <f t="shared" si="18"/>
        <v>-1.6954939878499008E-2</v>
      </c>
    </row>
    <row r="427" spans="4:12" ht="14.4" customHeight="1">
      <c r="D427" s="4">
        <v>42611</v>
      </c>
      <c r="E427" s="5">
        <v>3.77</v>
      </c>
      <c r="F427" s="5">
        <f t="shared" si="19"/>
        <v>-4.9254550678777854E-3</v>
      </c>
      <c r="G427" s="3" cm="1">
        <f t="array" ref="G427">SUMPRODUCT(IF(((H427-$F$4:$F$515)/$B$10)&lt;=-1,0,IF(((H427-$F$4:$F$515)/$B$10)&gt;=1,1,(15/16)*(((H427-$F$4:$F$515)/$B$10)-(2/3)*((H427-$F$4:$F$515)/$B$10)^3+(1/5)*((H427-$F$4:$F$515)/$B$10)^5+8/15))))/COUNT($F$4:$F$515)</f>
        <v>1.953125E-3</v>
      </c>
      <c r="H427" s="5">
        <f t="shared" si="20"/>
        <v>-5.5154939878499606E-2</v>
      </c>
      <c r="K427" s="4">
        <v>0.01</v>
      </c>
      <c r="L427" s="5">
        <f t="shared" si="18"/>
        <v>-1.6954939878499008E-2</v>
      </c>
    </row>
    <row r="428" spans="4:12" ht="14.4" customHeight="1">
      <c r="D428" s="14">
        <v>42612</v>
      </c>
      <c r="E428" s="15">
        <v>3.8719999999999999</v>
      </c>
      <c r="F428" s="15">
        <f t="shared" si="19"/>
        <v>1.1593998430563173E-2</v>
      </c>
      <c r="G428" s="16" cm="1">
        <f t="array" ref="G428">SUMPRODUCT(IF(((H428-$F$4:$F$515)/$B$10)&lt;=-1,0,IF(((H428-$F$4:$F$515)/$B$10)&gt;=1,1,(15/16)*(((H428-$F$4:$F$515)/$B$10)-(2/3)*((H428-$F$4:$F$515)/$B$10)^3+(1/5)*((H428-$F$4:$F$515)/$B$10)^5+8/15))))/COUNT($F$4:$F$515)</f>
        <v>1.953125E-3</v>
      </c>
      <c r="H428" s="15">
        <f t="shared" si="20"/>
        <v>-5.5054939878499604E-2</v>
      </c>
      <c r="K428" s="14">
        <v>0.01</v>
      </c>
      <c r="L428" s="15">
        <f t="shared" si="18"/>
        <v>-1.6954939878499008E-2</v>
      </c>
    </row>
    <row r="429" spans="4:12" ht="14.4" customHeight="1">
      <c r="D429" s="4">
        <v>42613</v>
      </c>
      <c r="E429" s="5">
        <v>3.9660000000000002</v>
      </c>
      <c r="F429" s="5">
        <f t="shared" si="19"/>
        <v>1.041736123292783E-2</v>
      </c>
      <c r="G429" s="3" cm="1">
        <f t="array" ref="G429">SUMPRODUCT(IF(((H429-$F$4:$F$515)/$B$10)&lt;=-1,0,IF(((H429-$F$4:$F$515)/$B$10)&gt;=1,1,(15/16)*(((H429-$F$4:$F$515)/$B$10)-(2/3)*((H429-$F$4:$F$515)/$B$10)^3+(1/5)*((H429-$F$4:$F$515)/$B$10)^5+8/15))))/COUNT($F$4:$F$515)</f>
        <v>1.953125E-3</v>
      </c>
      <c r="H429" s="5">
        <f t="shared" si="20"/>
        <v>-5.4954939878499601E-2</v>
      </c>
      <c r="K429" s="4">
        <v>0.01</v>
      </c>
      <c r="L429" s="5">
        <f t="shared" si="18"/>
        <v>-1.6954939878499008E-2</v>
      </c>
    </row>
    <row r="430" spans="4:12" ht="14.4" customHeight="1">
      <c r="D430" s="14">
        <v>42614</v>
      </c>
      <c r="E430" s="15">
        <v>3.9910000000000001</v>
      </c>
      <c r="F430" s="15">
        <f t="shared" si="19"/>
        <v>2.7290179147394112E-3</v>
      </c>
      <c r="G430" s="16" cm="1">
        <f t="array" ref="G430">SUMPRODUCT(IF(((H430-$F$4:$F$515)/$B$10)&lt;=-1,0,IF(((H430-$F$4:$F$515)/$B$10)&gt;=1,1,(15/16)*(((H430-$F$4:$F$515)/$B$10)-(2/3)*((H430-$F$4:$F$515)/$B$10)^3+(1/5)*((H430-$F$4:$F$515)/$B$10)^5+8/15))))/COUNT($F$4:$F$515)</f>
        <v>1.953125E-3</v>
      </c>
      <c r="H430" s="15">
        <f t="shared" si="20"/>
        <v>-5.4854939878499598E-2</v>
      </c>
      <c r="K430" s="14">
        <v>0.01</v>
      </c>
      <c r="L430" s="15">
        <f t="shared" si="18"/>
        <v>-1.6954939878499008E-2</v>
      </c>
    </row>
    <row r="431" spans="4:12" ht="14.4" customHeight="1">
      <c r="D431" s="4">
        <v>42615</v>
      </c>
      <c r="E431" s="5">
        <v>4.0449999999999999</v>
      </c>
      <c r="F431" s="5">
        <f t="shared" si="19"/>
        <v>5.8367981642678726E-3</v>
      </c>
      <c r="G431" s="3" cm="1">
        <f t="array" ref="G431">SUMPRODUCT(IF(((H431-$F$4:$F$515)/$B$10)&lt;=-1,0,IF(((H431-$F$4:$F$515)/$B$10)&gt;=1,1,(15/16)*(((H431-$F$4:$F$515)/$B$10)-(2/3)*((H431-$F$4:$F$515)/$B$10)^3+(1/5)*((H431-$F$4:$F$515)/$B$10)^5+8/15))))/COUNT($F$4:$F$515)</f>
        <v>1.953125E-3</v>
      </c>
      <c r="H431" s="5">
        <f t="shared" si="20"/>
        <v>-5.4754939878499595E-2</v>
      </c>
      <c r="K431" s="4">
        <v>0.01</v>
      </c>
      <c r="L431" s="5">
        <f t="shared" si="18"/>
        <v>-1.6954939878499008E-2</v>
      </c>
    </row>
    <row r="432" spans="4:12" ht="14.4" customHeight="1">
      <c r="D432" s="14">
        <v>42618</v>
      </c>
      <c r="E432" s="15">
        <v>3.976</v>
      </c>
      <c r="F432" s="15">
        <f t="shared" si="19"/>
        <v>-7.472150223015386E-3</v>
      </c>
      <c r="G432" s="16" cm="1">
        <f t="array" ref="G432">SUMPRODUCT(IF(((H432-$F$4:$F$515)/$B$10)&lt;=-1,0,IF(((H432-$F$4:$F$515)/$B$10)&gt;=1,1,(15/16)*(((H432-$F$4:$F$515)/$B$10)-(2/3)*((H432-$F$4:$F$515)/$B$10)^3+(1/5)*((H432-$F$4:$F$515)/$B$10)^5+8/15))))/COUNT($F$4:$F$515)</f>
        <v>1.953125E-3</v>
      </c>
      <c r="H432" s="15">
        <f t="shared" si="20"/>
        <v>-5.4654939878499592E-2</v>
      </c>
      <c r="K432" s="14">
        <v>0.01</v>
      </c>
      <c r="L432" s="15">
        <f t="shared" si="18"/>
        <v>-1.6954939878499008E-2</v>
      </c>
    </row>
    <row r="433" spans="4:12" ht="14.4" customHeight="1">
      <c r="D433" s="4">
        <v>42619</v>
      </c>
      <c r="E433" s="5">
        <v>3.9630000000000001</v>
      </c>
      <c r="F433" s="5">
        <f t="shared" si="19"/>
        <v>-1.4223033910860281E-3</v>
      </c>
      <c r="G433" s="3" cm="1">
        <f t="array" ref="G433">SUMPRODUCT(IF(((H433-$F$4:$F$515)/$B$10)&lt;=-1,0,IF(((H433-$F$4:$F$515)/$B$10)&gt;=1,1,(15/16)*(((H433-$F$4:$F$515)/$B$10)-(2/3)*((H433-$F$4:$F$515)/$B$10)^3+(1/5)*((H433-$F$4:$F$515)/$B$10)^5+8/15))))/COUNT($F$4:$F$515)</f>
        <v>1.953125E-3</v>
      </c>
      <c r="H433" s="5">
        <f t="shared" si="20"/>
        <v>-5.4554939878499589E-2</v>
      </c>
      <c r="K433" s="4">
        <v>0.01</v>
      </c>
      <c r="L433" s="5">
        <f t="shared" si="18"/>
        <v>-1.6954939878499008E-2</v>
      </c>
    </row>
    <row r="434" spans="4:12" ht="14.4" customHeight="1">
      <c r="D434" s="14">
        <v>42620</v>
      </c>
      <c r="E434" s="15">
        <v>3.976</v>
      </c>
      <c r="F434" s="15">
        <f t="shared" si="19"/>
        <v>1.4223033910860698E-3</v>
      </c>
      <c r="G434" s="16" cm="1">
        <f t="array" ref="G434">SUMPRODUCT(IF(((H434-$F$4:$F$515)/$B$10)&lt;=-1,0,IF(((H434-$F$4:$F$515)/$B$10)&gt;=1,1,(15/16)*(((H434-$F$4:$F$515)/$B$10)-(2/3)*((H434-$F$4:$F$515)/$B$10)^3+(1/5)*((H434-$F$4:$F$515)/$B$10)^5+8/15))))/COUNT($F$4:$F$515)</f>
        <v>1.953125E-3</v>
      </c>
      <c r="H434" s="15">
        <f t="shared" si="20"/>
        <v>-5.4454939878499586E-2</v>
      </c>
      <c r="K434" s="14">
        <v>0.01</v>
      </c>
      <c r="L434" s="15">
        <f t="shared" si="18"/>
        <v>-1.6954939878499008E-2</v>
      </c>
    </row>
    <row r="435" spans="4:12" ht="14.4" customHeight="1">
      <c r="D435" s="4">
        <v>42621</v>
      </c>
      <c r="E435" s="5">
        <v>4.0720000000000001</v>
      </c>
      <c r="F435" s="5">
        <f t="shared" si="19"/>
        <v>1.0361393603426602E-2</v>
      </c>
      <c r="G435" s="3" cm="1">
        <f t="array" ref="G435">SUMPRODUCT(IF(((H435-$F$4:$F$515)/$B$10)&lt;=-1,0,IF(((H435-$F$4:$F$515)/$B$10)&gt;=1,1,(15/16)*(((H435-$F$4:$F$515)/$B$10)-(2/3)*((H435-$F$4:$F$515)/$B$10)^3+(1/5)*((H435-$F$4:$F$515)/$B$10)^5+8/15))))/COUNT($F$4:$F$515)</f>
        <v>1.953125E-3</v>
      </c>
      <c r="H435" s="5">
        <f t="shared" si="20"/>
        <v>-5.4354939878499584E-2</v>
      </c>
      <c r="K435" s="4">
        <v>0.01</v>
      </c>
      <c r="L435" s="5">
        <f t="shared" si="18"/>
        <v>-1.6954939878499008E-2</v>
      </c>
    </row>
    <row r="436" spans="4:12" ht="14.4" customHeight="1">
      <c r="D436" s="14">
        <v>42622</v>
      </c>
      <c r="E436" s="15">
        <v>4.0860000000000003</v>
      </c>
      <c r="F436" s="15">
        <f t="shared" si="19"/>
        <v>1.4905929677264636E-3</v>
      </c>
      <c r="G436" s="16" cm="1">
        <f t="array" ref="G436">SUMPRODUCT(IF(((H436-$F$4:$F$515)/$B$10)&lt;=-1,0,IF(((H436-$F$4:$F$515)/$B$10)&gt;=1,1,(15/16)*(((H436-$F$4:$F$515)/$B$10)-(2/3)*((H436-$F$4:$F$515)/$B$10)^3+(1/5)*((H436-$F$4:$F$515)/$B$10)^5+8/15))))/COUNT($F$4:$F$515)</f>
        <v>1.953125E-3</v>
      </c>
      <c r="H436" s="15">
        <f t="shared" si="20"/>
        <v>-5.4254939878499581E-2</v>
      </c>
      <c r="K436" s="14">
        <v>0.01</v>
      </c>
      <c r="L436" s="15">
        <f t="shared" si="18"/>
        <v>-1.6954939878499008E-2</v>
      </c>
    </row>
    <row r="437" spans="4:12" ht="14.4" customHeight="1">
      <c r="D437" s="4">
        <v>42625</v>
      </c>
      <c r="E437" s="5">
        <v>3.9649999999999999</v>
      </c>
      <c r="F437" s="5">
        <f t="shared" si="19"/>
        <v>-1.3055170642806219E-2</v>
      </c>
      <c r="G437" s="3" cm="1">
        <f t="array" ref="G437">SUMPRODUCT(IF(((H437-$F$4:$F$515)/$B$10)&lt;=-1,0,IF(((H437-$F$4:$F$515)/$B$10)&gt;=1,1,(15/16)*(((H437-$F$4:$F$515)/$B$10)-(2/3)*((H437-$F$4:$F$515)/$B$10)^3+(1/5)*((H437-$F$4:$F$515)/$B$10)^5+8/15))))/COUNT($F$4:$F$515)</f>
        <v>1.953125E-3</v>
      </c>
      <c r="H437" s="5">
        <f t="shared" si="20"/>
        <v>-5.4154939878499578E-2</v>
      </c>
      <c r="K437" s="4">
        <v>0.01</v>
      </c>
      <c r="L437" s="5">
        <f t="shared" si="18"/>
        <v>-1.6954939878499008E-2</v>
      </c>
    </row>
    <row r="438" spans="4:12" ht="14.4" customHeight="1">
      <c r="D438" s="14">
        <v>42626</v>
      </c>
      <c r="E438" s="15">
        <v>3.9289999999999998</v>
      </c>
      <c r="F438" s="15">
        <f t="shared" si="19"/>
        <v>-3.9611628418164914E-3</v>
      </c>
      <c r="G438" s="16" cm="1">
        <f t="array" ref="G438">SUMPRODUCT(IF(((H438-$F$4:$F$515)/$B$10)&lt;=-1,0,IF(((H438-$F$4:$F$515)/$B$10)&gt;=1,1,(15/16)*(((H438-$F$4:$F$515)/$B$10)-(2/3)*((H438-$F$4:$F$515)/$B$10)^3+(1/5)*((H438-$F$4:$F$515)/$B$10)^5+8/15))))/COUNT($F$4:$F$515)</f>
        <v>1.953125E-3</v>
      </c>
      <c r="H438" s="15">
        <f t="shared" si="20"/>
        <v>-5.4054939878499575E-2</v>
      </c>
      <c r="K438" s="14">
        <v>0.01</v>
      </c>
      <c r="L438" s="15">
        <f t="shared" si="18"/>
        <v>-1.6954939878499008E-2</v>
      </c>
    </row>
    <row r="439" spans="4:12" ht="14.4" customHeight="1">
      <c r="D439" s="4">
        <v>42627</v>
      </c>
      <c r="E439" s="5">
        <v>3.9359999999999999</v>
      </c>
      <c r="F439" s="5">
        <f t="shared" si="19"/>
        <v>7.7306094749776959E-4</v>
      </c>
      <c r="G439" s="3" cm="1">
        <f t="array" ref="G439">SUMPRODUCT(IF(((H439-$F$4:$F$515)/$B$10)&lt;=-1,0,IF(((H439-$F$4:$F$515)/$B$10)&gt;=1,1,(15/16)*(((H439-$F$4:$F$515)/$B$10)-(2/3)*((H439-$F$4:$F$515)/$B$10)^3+(1/5)*((H439-$F$4:$F$515)/$B$10)^5+8/15))))/COUNT($F$4:$F$515)</f>
        <v>1.953125E-3</v>
      </c>
      <c r="H439" s="5">
        <f t="shared" si="20"/>
        <v>-5.3954939878499572E-2</v>
      </c>
      <c r="K439" s="4">
        <v>0.01</v>
      </c>
      <c r="L439" s="5">
        <f t="shared" si="18"/>
        <v>-1.6954939878499008E-2</v>
      </c>
    </row>
    <row r="440" spans="4:12" ht="14.4" customHeight="1">
      <c r="D440" s="14">
        <v>42628</v>
      </c>
      <c r="E440" s="15">
        <v>3.98</v>
      </c>
      <c r="F440" s="15">
        <f t="shared" si="19"/>
        <v>4.8279823143839579E-3</v>
      </c>
      <c r="G440" s="16" cm="1">
        <f t="array" ref="G440">SUMPRODUCT(IF(((H440-$F$4:$F$515)/$B$10)&lt;=-1,0,IF(((H440-$F$4:$F$515)/$B$10)&gt;=1,1,(15/16)*(((H440-$F$4:$F$515)/$B$10)-(2/3)*((H440-$F$4:$F$515)/$B$10)^3+(1/5)*((H440-$F$4:$F$515)/$B$10)^5+8/15))))/COUNT($F$4:$F$515)</f>
        <v>1.953125E-3</v>
      </c>
      <c r="H440" s="15">
        <f t="shared" si="20"/>
        <v>-5.3854939878499569E-2</v>
      </c>
      <c r="K440" s="14">
        <v>0.01</v>
      </c>
      <c r="L440" s="15">
        <f t="shared" si="18"/>
        <v>-1.6954939878499008E-2</v>
      </c>
    </row>
    <row r="441" spans="4:12" ht="14.4" customHeight="1">
      <c r="D441" s="4">
        <v>42629</v>
      </c>
      <c r="E441" s="5">
        <v>4.0179999999999998</v>
      </c>
      <c r="F441" s="5">
        <f t="shared" si="19"/>
        <v>4.1268603385424714E-3</v>
      </c>
      <c r="G441" s="3" cm="1">
        <f t="array" ref="G441">SUMPRODUCT(IF(((H441-$F$4:$F$515)/$B$10)&lt;=-1,0,IF(((H441-$F$4:$F$515)/$B$10)&gt;=1,1,(15/16)*(((H441-$F$4:$F$515)/$B$10)-(2/3)*((H441-$F$4:$F$515)/$B$10)^3+(1/5)*((H441-$F$4:$F$515)/$B$10)^5+8/15))))/COUNT($F$4:$F$515)</f>
        <v>1.953125E-3</v>
      </c>
      <c r="H441" s="5">
        <f t="shared" si="20"/>
        <v>-5.3754939878499566E-2</v>
      </c>
      <c r="K441" s="4">
        <v>0.01</v>
      </c>
      <c r="L441" s="5">
        <f t="shared" si="18"/>
        <v>-1.6954939878499008E-2</v>
      </c>
    </row>
    <row r="442" spans="4:12" ht="14.4" customHeight="1">
      <c r="D442" s="14">
        <v>42632</v>
      </c>
      <c r="E442" s="15">
        <v>4.0410000000000004</v>
      </c>
      <c r="F442" s="15">
        <f t="shared" si="19"/>
        <v>2.4789180304177396E-3</v>
      </c>
      <c r="G442" s="16" cm="1">
        <f t="array" ref="G442">SUMPRODUCT(IF(((H442-$F$4:$F$515)/$B$10)&lt;=-1,0,IF(((H442-$F$4:$F$515)/$B$10)&gt;=1,1,(15/16)*(((H442-$F$4:$F$515)/$B$10)-(2/3)*((H442-$F$4:$F$515)/$B$10)^3+(1/5)*((H442-$F$4:$F$515)/$B$10)^5+8/15))))/COUNT($F$4:$F$515)</f>
        <v>1.953125E-3</v>
      </c>
      <c r="H442" s="15">
        <f t="shared" si="20"/>
        <v>-5.3654939878499563E-2</v>
      </c>
      <c r="K442" s="14">
        <v>0.01</v>
      </c>
      <c r="L442" s="15">
        <f t="shared" si="18"/>
        <v>-1.6954939878499008E-2</v>
      </c>
    </row>
    <row r="443" spans="4:12" ht="14.4" customHeight="1">
      <c r="D443" s="4">
        <v>42633</v>
      </c>
      <c r="E443" s="5">
        <v>3.9630000000000001</v>
      </c>
      <c r="F443" s="5">
        <f t="shared" si="19"/>
        <v>-8.4647781084584359E-3</v>
      </c>
      <c r="G443" s="3" cm="1">
        <f t="array" ref="G443">SUMPRODUCT(IF(((H443-$F$4:$F$515)/$B$10)&lt;=-1,0,IF(((H443-$F$4:$F$515)/$B$10)&gt;=1,1,(15/16)*(((H443-$F$4:$F$515)/$B$10)-(2/3)*((H443-$F$4:$F$515)/$B$10)^3+(1/5)*((H443-$F$4:$F$515)/$B$10)^5+8/15))))/COUNT($F$4:$F$515)</f>
        <v>1.953125E-3</v>
      </c>
      <c r="H443" s="5">
        <f t="shared" si="20"/>
        <v>-5.3554939878499561E-2</v>
      </c>
      <c r="K443" s="4">
        <v>0.01</v>
      </c>
      <c r="L443" s="5">
        <f t="shared" si="18"/>
        <v>-1.6954939878499008E-2</v>
      </c>
    </row>
    <row r="444" spans="4:12" ht="14.4" customHeight="1">
      <c r="D444" s="14">
        <v>42634</v>
      </c>
      <c r="E444" s="15">
        <v>4.1239999999999997</v>
      </c>
      <c r="F444" s="15">
        <f t="shared" si="19"/>
        <v>1.7294584277289256E-2</v>
      </c>
      <c r="G444" s="16" cm="1">
        <f t="array" ref="G444">SUMPRODUCT(IF(((H444-$F$4:$F$515)/$B$10)&lt;=-1,0,IF(((H444-$F$4:$F$515)/$B$10)&gt;=1,1,(15/16)*(((H444-$F$4:$F$515)/$B$10)-(2/3)*((H444-$F$4:$F$515)/$B$10)^3+(1/5)*((H444-$F$4:$F$515)/$B$10)^5+8/15))))/COUNT($F$4:$F$515)</f>
        <v>1.953125E-3</v>
      </c>
      <c r="H444" s="15">
        <f t="shared" si="20"/>
        <v>-5.3454939878499558E-2</v>
      </c>
      <c r="K444" s="14">
        <v>0.01</v>
      </c>
      <c r="L444" s="15">
        <f t="shared" si="18"/>
        <v>-1.6954939878499008E-2</v>
      </c>
    </row>
    <row r="445" spans="4:12" ht="14.4" customHeight="1">
      <c r="D445" s="4">
        <v>42635</v>
      </c>
      <c r="E445" s="5">
        <v>4.1429999999999998</v>
      </c>
      <c r="F445" s="5">
        <f t="shared" si="19"/>
        <v>1.9962766868147587E-3</v>
      </c>
      <c r="G445" s="3" cm="1">
        <f t="array" ref="G445">SUMPRODUCT(IF(((H445-$F$4:$F$515)/$B$10)&lt;=-1,0,IF(((H445-$F$4:$F$515)/$B$10)&gt;=1,1,(15/16)*(((H445-$F$4:$F$515)/$B$10)-(2/3)*((H445-$F$4:$F$515)/$B$10)^3+(1/5)*((H445-$F$4:$F$515)/$B$10)^5+8/15))))/COUNT($F$4:$F$515)</f>
        <v>1.953125E-3</v>
      </c>
      <c r="H445" s="5">
        <f t="shared" si="20"/>
        <v>-5.3354939878499555E-2</v>
      </c>
      <c r="K445" s="4">
        <v>0.01</v>
      </c>
      <c r="L445" s="5">
        <f t="shared" si="18"/>
        <v>-1.6954939878499008E-2</v>
      </c>
    </row>
    <row r="446" spans="4:12" ht="14.4" customHeight="1">
      <c r="D446" s="14">
        <v>42636</v>
      </c>
      <c r="E446" s="15">
        <v>4.1479999999999997</v>
      </c>
      <c r="F446" s="15">
        <f t="shared" si="19"/>
        <v>5.238144187096241E-4</v>
      </c>
      <c r="G446" s="16" cm="1">
        <f t="array" ref="G446">SUMPRODUCT(IF(((H446-$F$4:$F$515)/$B$10)&lt;=-1,0,IF(((H446-$F$4:$F$515)/$B$10)&gt;=1,1,(15/16)*(((H446-$F$4:$F$515)/$B$10)-(2/3)*((H446-$F$4:$F$515)/$B$10)^3+(1/5)*((H446-$F$4:$F$515)/$B$10)^5+8/15))))/COUNT($F$4:$F$515)</f>
        <v>1.953125E-3</v>
      </c>
      <c r="H446" s="15">
        <f t="shared" si="20"/>
        <v>-5.3254939878499552E-2</v>
      </c>
      <c r="K446" s="14">
        <v>0.01</v>
      </c>
      <c r="L446" s="15">
        <f t="shared" si="18"/>
        <v>-1.6954939878499008E-2</v>
      </c>
    </row>
    <row r="447" spans="4:12" ht="14.4" customHeight="1">
      <c r="D447" s="4">
        <v>42639</v>
      </c>
      <c r="E447" s="5">
        <v>4.0629999999999997</v>
      </c>
      <c r="F447" s="5">
        <f t="shared" si="19"/>
        <v>-8.9919253905917252E-3</v>
      </c>
      <c r="G447" s="3" cm="1">
        <f t="array" ref="G447">SUMPRODUCT(IF(((H447-$F$4:$F$515)/$B$10)&lt;=-1,0,IF(((H447-$F$4:$F$515)/$B$10)&gt;=1,1,(15/16)*(((H447-$F$4:$F$515)/$B$10)-(2/3)*((H447-$F$4:$F$515)/$B$10)^3+(1/5)*((H447-$F$4:$F$515)/$B$10)^5+8/15))))/COUNT($F$4:$F$515)</f>
        <v>1.953125E-3</v>
      </c>
      <c r="H447" s="5">
        <f t="shared" si="20"/>
        <v>-5.3154939878499549E-2</v>
      </c>
      <c r="K447" s="4">
        <v>0.01</v>
      </c>
      <c r="L447" s="5">
        <f t="shared" si="18"/>
        <v>-1.6954939878499008E-2</v>
      </c>
    </row>
    <row r="448" spans="4:12" ht="14.4" customHeight="1">
      <c r="D448" s="14">
        <v>42640</v>
      </c>
      <c r="E448" s="15">
        <v>4.0339999999999998</v>
      </c>
      <c r="F448" s="15">
        <f t="shared" si="19"/>
        <v>-3.1109284496649574E-3</v>
      </c>
      <c r="G448" s="16" cm="1">
        <f t="array" ref="G448">SUMPRODUCT(IF(((H448-$F$4:$F$515)/$B$10)&lt;=-1,0,IF(((H448-$F$4:$F$515)/$B$10)&gt;=1,1,(15/16)*(((H448-$F$4:$F$515)/$B$10)-(2/3)*((H448-$F$4:$F$515)/$B$10)^3+(1/5)*((H448-$F$4:$F$515)/$B$10)^5+8/15))))/COUNT($F$4:$F$515)</f>
        <v>1.953125E-3</v>
      </c>
      <c r="H448" s="15">
        <f t="shared" si="20"/>
        <v>-5.3054939878499546E-2</v>
      </c>
      <c r="K448" s="14">
        <v>0.01</v>
      </c>
      <c r="L448" s="15">
        <f t="shared" si="18"/>
        <v>-1.6954939878499008E-2</v>
      </c>
    </row>
    <row r="449" spans="4:12" ht="14.4" customHeight="1">
      <c r="D449" s="4">
        <v>42641</v>
      </c>
      <c r="E449" s="5">
        <v>4.069</v>
      </c>
      <c r="F449" s="5">
        <f t="shared" si="19"/>
        <v>3.7517959765386798E-3</v>
      </c>
      <c r="G449" s="3" cm="1">
        <f t="array" ref="G449">SUMPRODUCT(IF(((H449-$F$4:$F$515)/$B$10)&lt;=-1,0,IF(((H449-$F$4:$F$515)/$B$10)&gt;=1,1,(15/16)*(((H449-$F$4:$F$515)/$B$10)-(2/3)*((H449-$F$4:$F$515)/$B$10)^3+(1/5)*((H449-$F$4:$F$515)/$B$10)^5+8/15))))/COUNT($F$4:$F$515)</f>
        <v>1.953125E-3</v>
      </c>
      <c r="H449" s="5">
        <f t="shared" si="20"/>
        <v>-5.2954939878499543E-2</v>
      </c>
      <c r="K449" s="4">
        <v>0.01</v>
      </c>
      <c r="L449" s="5">
        <f t="shared" si="18"/>
        <v>-1.6954939878499008E-2</v>
      </c>
    </row>
    <row r="450" spans="4:12" ht="14.4" customHeight="1">
      <c r="D450" s="14">
        <v>42642</v>
      </c>
      <c r="E450" s="15">
        <v>4.101</v>
      </c>
      <c r="F450" s="15">
        <f t="shared" si="19"/>
        <v>3.4020794341994695E-3</v>
      </c>
      <c r="G450" s="16" cm="1">
        <f t="array" ref="G450">SUMPRODUCT(IF(((H450-$F$4:$F$515)/$B$10)&lt;=-1,0,IF(((H450-$F$4:$F$515)/$B$10)&gt;=1,1,(15/16)*(((H450-$F$4:$F$515)/$B$10)-(2/3)*((H450-$F$4:$F$515)/$B$10)^3+(1/5)*((H450-$F$4:$F$515)/$B$10)^5+8/15))))/COUNT($F$4:$F$515)</f>
        <v>1.953125E-3</v>
      </c>
      <c r="H450" s="15">
        <f t="shared" si="20"/>
        <v>-5.2854939878499541E-2</v>
      </c>
      <c r="K450" s="14">
        <v>0.01</v>
      </c>
      <c r="L450" s="15">
        <f t="shared" si="18"/>
        <v>-1.6954939878499008E-2</v>
      </c>
    </row>
    <row r="451" spans="4:12" ht="14.4" customHeight="1">
      <c r="D451" s="4">
        <v>42643</v>
      </c>
      <c r="E451" s="5">
        <v>4.149</v>
      </c>
      <c r="F451" s="5">
        <f t="shared" si="19"/>
        <v>5.0536655414882992E-3</v>
      </c>
      <c r="G451" s="3" cm="1">
        <f t="array" ref="G451">SUMPRODUCT(IF(((H451-$F$4:$F$515)/$B$10)&lt;=-1,0,IF(((H451-$F$4:$F$515)/$B$10)&gt;=1,1,(15/16)*(((H451-$F$4:$F$515)/$B$10)-(2/3)*((H451-$F$4:$F$515)/$B$10)^3+(1/5)*((H451-$F$4:$F$515)/$B$10)^5+8/15))))/COUNT($F$4:$F$515)</f>
        <v>1.953125E-3</v>
      </c>
      <c r="H451" s="5">
        <f t="shared" si="20"/>
        <v>-5.2754939878499538E-2</v>
      </c>
      <c r="K451" s="4">
        <v>0.01</v>
      </c>
      <c r="L451" s="5">
        <f t="shared" si="18"/>
        <v>-1.6954939878499008E-2</v>
      </c>
    </row>
    <row r="452" spans="4:12" ht="14.4" customHeight="1">
      <c r="D452" s="14">
        <v>42646</v>
      </c>
      <c r="E452" s="15">
        <v>4.1130000000000004</v>
      </c>
      <c r="F452" s="15">
        <f t="shared" si="19"/>
        <v>-3.7847253197978554E-3</v>
      </c>
      <c r="G452" s="16" cm="1">
        <f t="array" ref="G452">SUMPRODUCT(IF(((H452-$F$4:$F$515)/$B$10)&lt;=-1,0,IF(((H452-$F$4:$F$515)/$B$10)&gt;=1,1,(15/16)*(((H452-$F$4:$F$515)/$B$10)-(2/3)*((H452-$F$4:$F$515)/$B$10)^3+(1/5)*((H452-$F$4:$F$515)/$B$10)^5+8/15))))/COUNT($F$4:$F$515)</f>
        <v>1.953125E-3</v>
      </c>
      <c r="H452" s="15">
        <f t="shared" si="20"/>
        <v>-5.2654939878499535E-2</v>
      </c>
      <c r="K452" s="14">
        <v>0.01</v>
      </c>
      <c r="L452" s="15">
        <f t="shared" ref="L452:L515" si="21">$B$7</f>
        <v>-1.6954939878499008E-2</v>
      </c>
    </row>
    <row r="453" spans="4:12" ht="14.4" customHeight="1">
      <c r="D453" s="4">
        <v>42647</v>
      </c>
      <c r="E453" s="5">
        <v>4.2229999999999999</v>
      </c>
      <c r="F453" s="5">
        <f t="shared" ref="F453:F516" si="22">LOG(E453/E452)</f>
        <v>1.1462371915732546E-2</v>
      </c>
      <c r="G453" s="3" cm="1">
        <f t="array" ref="G453">SUMPRODUCT(IF(((H453-$F$4:$F$515)/$B$10)&lt;=-1,0,IF(((H453-$F$4:$F$515)/$B$10)&gt;=1,1,(15/16)*(((H453-$F$4:$F$515)/$B$10)-(2/3)*((H453-$F$4:$F$515)/$B$10)^3+(1/5)*((H453-$F$4:$F$515)/$B$10)^5+8/15))))/COUNT($F$4:$F$515)</f>
        <v>1.953125E-3</v>
      </c>
      <c r="H453" s="5">
        <f t="shared" ref="H453:H516" si="23">H452+0.0001</f>
        <v>-5.2554939878499532E-2</v>
      </c>
      <c r="K453" s="4">
        <v>0.01</v>
      </c>
      <c r="L453" s="5">
        <f t="shared" si="21"/>
        <v>-1.6954939878499008E-2</v>
      </c>
    </row>
    <row r="454" spans="4:12" ht="14.4" customHeight="1">
      <c r="D454" s="14">
        <v>42648</v>
      </c>
      <c r="E454" s="15">
        <v>4.34</v>
      </c>
      <c r="F454" s="15">
        <f t="shared" si="22"/>
        <v>1.1868648087603023E-2</v>
      </c>
      <c r="G454" s="16" cm="1">
        <f t="array" ref="G454">SUMPRODUCT(IF(((H454-$F$4:$F$515)/$B$10)&lt;=-1,0,IF(((H454-$F$4:$F$515)/$B$10)&gt;=1,1,(15/16)*(((H454-$F$4:$F$515)/$B$10)-(2/3)*((H454-$F$4:$F$515)/$B$10)^3+(1/5)*((H454-$F$4:$F$515)/$B$10)^5+8/15))))/COUNT($F$4:$F$515)</f>
        <v>1.953125E-3</v>
      </c>
      <c r="H454" s="15">
        <f t="shared" si="23"/>
        <v>-5.2454939878499529E-2</v>
      </c>
      <c r="K454" s="14">
        <v>0.01</v>
      </c>
      <c r="L454" s="15">
        <f t="shared" si="21"/>
        <v>-1.6954939878499008E-2</v>
      </c>
    </row>
    <row r="455" spans="4:12" ht="14.4" customHeight="1">
      <c r="D455" s="4">
        <v>42649</v>
      </c>
      <c r="E455" s="5">
        <v>4.4119999999999999</v>
      </c>
      <c r="F455" s="5">
        <f t="shared" si="22"/>
        <v>7.1457742556423291E-3</v>
      </c>
      <c r="G455" s="3" cm="1">
        <f t="array" ref="G455">SUMPRODUCT(IF(((H455-$F$4:$F$515)/$B$10)&lt;=-1,0,IF(((H455-$F$4:$F$515)/$B$10)&gt;=1,1,(15/16)*(((H455-$F$4:$F$515)/$B$10)-(2/3)*((H455-$F$4:$F$515)/$B$10)^3+(1/5)*((H455-$F$4:$F$515)/$B$10)^5+8/15))))/COUNT($F$4:$F$515)</f>
        <v>1.953125E-3</v>
      </c>
      <c r="H455" s="5">
        <f t="shared" si="23"/>
        <v>-5.2354939878499526E-2</v>
      </c>
      <c r="K455" s="4">
        <v>0.01</v>
      </c>
      <c r="L455" s="5">
        <f t="shared" si="21"/>
        <v>-1.6954939878499008E-2</v>
      </c>
    </row>
    <row r="456" spans="4:12" ht="14.4" customHeight="1">
      <c r="D456" s="14">
        <v>42650</v>
      </c>
      <c r="E456" s="15">
        <v>4.4400000000000004</v>
      </c>
      <c r="F456" s="15">
        <f t="shared" si="22"/>
        <v>2.7474663464668488E-3</v>
      </c>
      <c r="G456" s="16" cm="1">
        <f t="array" ref="G456">SUMPRODUCT(IF(((H456-$F$4:$F$515)/$B$10)&lt;=-1,0,IF(((H456-$F$4:$F$515)/$B$10)&gt;=1,1,(15/16)*(((H456-$F$4:$F$515)/$B$10)-(2/3)*((H456-$F$4:$F$515)/$B$10)^3+(1/5)*((H456-$F$4:$F$515)/$B$10)^5+8/15))))/COUNT($F$4:$F$515)</f>
        <v>1.953125E-3</v>
      </c>
      <c r="H456" s="15">
        <f t="shared" si="23"/>
        <v>-5.2254939878499523E-2</v>
      </c>
      <c r="K456" s="14">
        <v>0.01</v>
      </c>
      <c r="L456" s="15">
        <f t="shared" si="21"/>
        <v>-1.6954939878499008E-2</v>
      </c>
    </row>
    <row r="457" spans="4:12" ht="14.4" customHeight="1">
      <c r="D457" s="4">
        <v>42653</v>
      </c>
      <c r="E457" s="5">
        <v>4.4459999999999997</v>
      </c>
      <c r="F457" s="5">
        <f t="shared" si="22"/>
        <v>5.8648824835192185E-4</v>
      </c>
      <c r="G457" s="3" cm="1">
        <f t="array" ref="G457">SUMPRODUCT(IF(((H457-$F$4:$F$515)/$B$10)&lt;=-1,0,IF(((H457-$F$4:$F$515)/$B$10)&gt;=1,1,(15/16)*(((H457-$F$4:$F$515)/$B$10)-(2/3)*((H457-$F$4:$F$515)/$B$10)^3+(1/5)*((H457-$F$4:$F$515)/$B$10)^5+8/15))))/COUNT($F$4:$F$515)</f>
        <v>1.953125E-3</v>
      </c>
      <c r="H457" s="5">
        <f t="shared" si="23"/>
        <v>-5.2154939878499521E-2</v>
      </c>
      <c r="K457" s="4">
        <v>0.01</v>
      </c>
      <c r="L457" s="5">
        <f t="shared" si="21"/>
        <v>-1.6954939878499008E-2</v>
      </c>
    </row>
    <row r="458" spans="4:12" ht="14.4" customHeight="1">
      <c r="D458" s="14">
        <v>42654</v>
      </c>
      <c r="E458" s="15">
        <v>4.415</v>
      </c>
      <c r="F458" s="15">
        <f t="shared" si="22"/>
        <v>-3.0387504493843659E-3</v>
      </c>
      <c r="G458" s="16" cm="1">
        <f t="array" ref="G458">SUMPRODUCT(IF(((H458-$F$4:$F$515)/$B$10)&lt;=-1,0,IF(((H458-$F$4:$F$515)/$B$10)&gt;=1,1,(15/16)*(((H458-$F$4:$F$515)/$B$10)-(2/3)*((H458-$F$4:$F$515)/$B$10)^3+(1/5)*((H458-$F$4:$F$515)/$B$10)^5+8/15))))/COUNT($F$4:$F$515)</f>
        <v>1.953125E-3</v>
      </c>
      <c r="H458" s="15">
        <f t="shared" si="23"/>
        <v>-5.2054939878499518E-2</v>
      </c>
      <c r="K458" s="14">
        <v>0.01</v>
      </c>
      <c r="L458" s="15">
        <f t="shared" si="21"/>
        <v>-1.6954939878499008E-2</v>
      </c>
    </row>
    <row r="459" spans="4:12" ht="14.4" customHeight="1">
      <c r="D459" s="4">
        <v>42655</v>
      </c>
      <c r="E459" s="5">
        <v>4.3789999999999996</v>
      </c>
      <c r="F459" s="5">
        <f t="shared" si="22"/>
        <v>-3.5557627214619202E-3</v>
      </c>
      <c r="G459" s="3" cm="1">
        <f t="array" ref="G459">SUMPRODUCT(IF(((H459-$F$4:$F$515)/$B$10)&lt;=-1,0,IF(((H459-$F$4:$F$515)/$B$10)&gt;=1,1,(15/16)*(((H459-$F$4:$F$515)/$B$10)-(2/3)*((H459-$F$4:$F$515)/$B$10)^3+(1/5)*((H459-$F$4:$F$515)/$B$10)^5+8/15))))/COUNT($F$4:$F$515)</f>
        <v>1.953125E-3</v>
      </c>
      <c r="H459" s="5">
        <f t="shared" si="23"/>
        <v>-5.1954939878499515E-2</v>
      </c>
      <c r="K459" s="4">
        <v>0.01</v>
      </c>
      <c r="L459" s="5">
        <f t="shared" si="21"/>
        <v>-1.6954939878499008E-2</v>
      </c>
    </row>
    <row r="460" spans="4:12" ht="14.4" customHeight="1">
      <c r="D460" s="14">
        <v>42656</v>
      </c>
      <c r="E460" s="15">
        <v>4.2549999999999999</v>
      </c>
      <c r="F460" s="15">
        <f t="shared" si="22"/>
        <v>-1.2475380771518827E-2</v>
      </c>
      <c r="G460" s="16" cm="1">
        <f t="array" ref="G460">SUMPRODUCT(IF(((H460-$F$4:$F$515)/$B$10)&lt;=-1,0,IF(((H460-$F$4:$F$515)/$B$10)&gt;=1,1,(15/16)*(((H460-$F$4:$F$515)/$B$10)-(2/3)*((H460-$F$4:$F$515)/$B$10)^3+(1/5)*((H460-$F$4:$F$515)/$B$10)^5+8/15))))/COUNT($F$4:$F$515)</f>
        <v>1.953125E-3</v>
      </c>
      <c r="H460" s="15">
        <f t="shared" si="23"/>
        <v>-5.1854939878499512E-2</v>
      </c>
      <c r="K460" s="14">
        <v>0.01</v>
      </c>
      <c r="L460" s="15">
        <f t="shared" si="21"/>
        <v>-1.6954939878499008E-2</v>
      </c>
    </row>
    <row r="461" spans="4:12" ht="14.4" customHeight="1">
      <c r="D461" s="4">
        <v>42657</v>
      </c>
      <c r="E461" s="5">
        <v>4.3440000000000003</v>
      </c>
      <c r="F461" s="5">
        <f t="shared" si="22"/>
        <v>8.9902521601838929E-3</v>
      </c>
      <c r="G461" s="3" cm="1">
        <f t="array" ref="G461">SUMPRODUCT(IF(((H461-$F$4:$F$515)/$B$10)&lt;=-1,0,IF(((H461-$F$4:$F$515)/$B$10)&gt;=1,1,(15/16)*(((H461-$F$4:$F$515)/$B$10)-(2/3)*((H461-$F$4:$F$515)/$B$10)^3+(1/5)*((H461-$F$4:$F$515)/$B$10)^5+8/15))))/COUNT($F$4:$F$515)</f>
        <v>1.953125E-3</v>
      </c>
      <c r="H461" s="5">
        <f t="shared" si="23"/>
        <v>-5.1754939878499509E-2</v>
      </c>
      <c r="K461" s="4">
        <v>0.01</v>
      </c>
      <c r="L461" s="5">
        <f t="shared" si="21"/>
        <v>-1.6954939878499008E-2</v>
      </c>
    </row>
    <row r="462" spans="4:12" ht="14.4" customHeight="1">
      <c r="D462" s="14">
        <v>42660</v>
      </c>
      <c r="E462" s="15">
        <v>4.3650000000000002</v>
      </c>
      <c r="F462" s="15">
        <f t="shared" si="22"/>
        <v>2.0944314607979748E-3</v>
      </c>
      <c r="G462" s="16" cm="1">
        <f t="array" ref="G462">SUMPRODUCT(IF(((H462-$F$4:$F$515)/$B$10)&lt;=-1,0,IF(((H462-$F$4:$F$515)/$B$10)&gt;=1,1,(15/16)*(((H462-$F$4:$F$515)/$B$10)-(2/3)*((H462-$F$4:$F$515)/$B$10)^3+(1/5)*((H462-$F$4:$F$515)/$B$10)^5+8/15))))/COUNT($F$4:$F$515)</f>
        <v>1.953125E-3</v>
      </c>
      <c r="H462" s="15">
        <f t="shared" si="23"/>
        <v>-5.1654939878499506E-2</v>
      </c>
      <c r="K462" s="14">
        <v>0.01</v>
      </c>
      <c r="L462" s="15">
        <f t="shared" si="21"/>
        <v>-1.6954939878499008E-2</v>
      </c>
    </row>
    <row r="463" spans="4:12" ht="14.4" customHeight="1">
      <c r="D463" s="4">
        <v>42661</v>
      </c>
      <c r="E463" s="5">
        <v>4.3920000000000003</v>
      </c>
      <c r="F463" s="5">
        <f t="shared" si="22"/>
        <v>2.6780834004469533E-3</v>
      </c>
      <c r="G463" s="3" cm="1">
        <f t="array" ref="G463">SUMPRODUCT(IF(((H463-$F$4:$F$515)/$B$10)&lt;=-1,0,IF(((H463-$F$4:$F$515)/$B$10)&gt;=1,1,(15/16)*(((H463-$F$4:$F$515)/$B$10)-(2/3)*((H463-$F$4:$F$515)/$B$10)^3+(1/5)*((H463-$F$4:$F$515)/$B$10)^5+8/15))))/COUNT($F$4:$F$515)</f>
        <v>1.953125E-3</v>
      </c>
      <c r="H463" s="5">
        <f t="shared" si="23"/>
        <v>-5.1554939878499503E-2</v>
      </c>
      <c r="K463" s="4">
        <v>0.01</v>
      </c>
      <c r="L463" s="5">
        <f t="shared" si="21"/>
        <v>-1.6954939878499008E-2</v>
      </c>
    </row>
    <row r="464" spans="4:12" ht="14.4" customHeight="1">
      <c r="D464" s="14">
        <v>42662</v>
      </c>
      <c r="E464" s="15">
        <v>4.4039999999999999</v>
      </c>
      <c r="F464" s="15">
        <f t="shared" si="22"/>
        <v>1.1849788576786249E-3</v>
      </c>
      <c r="G464" s="16" cm="1">
        <f t="array" ref="G464">SUMPRODUCT(IF(((H464-$F$4:$F$515)/$B$10)&lt;=-1,0,IF(((H464-$F$4:$F$515)/$B$10)&gt;=1,1,(15/16)*(((H464-$F$4:$F$515)/$B$10)-(2/3)*((H464-$F$4:$F$515)/$B$10)^3+(1/5)*((H464-$F$4:$F$515)/$B$10)^5+8/15))))/COUNT($F$4:$F$515)</f>
        <v>1.953125E-3</v>
      </c>
      <c r="H464" s="15">
        <f t="shared" si="23"/>
        <v>-5.14549398784995E-2</v>
      </c>
      <c r="K464" s="14">
        <v>0.01</v>
      </c>
      <c r="L464" s="15">
        <f t="shared" si="21"/>
        <v>-1.6954939878499008E-2</v>
      </c>
    </row>
    <row r="465" spans="4:12" ht="14.4" customHeight="1">
      <c r="D465" s="4">
        <v>42663</v>
      </c>
      <c r="E465" s="5">
        <v>4.4340000000000002</v>
      </c>
      <c r="F465" s="5">
        <f t="shared" si="22"/>
        <v>2.9483784787552709E-3</v>
      </c>
      <c r="G465" s="3" cm="1">
        <f t="array" ref="G465">SUMPRODUCT(IF(((H465-$F$4:$F$515)/$B$10)&lt;=-1,0,IF(((H465-$F$4:$F$515)/$B$10)&gt;=1,1,(15/16)*(((H465-$F$4:$F$515)/$B$10)-(2/3)*((H465-$F$4:$F$515)/$B$10)^3+(1/5)*((H465-$F$4:$F$515)/$B$10)^5+8/15))))/COUNT($F$4:$F$515)</f>
        <v>1.953125E-3</v>
      </c>
      <c r="H465" s="5">
        <f t="shared" si="23"/>
        <v>-5.1354939878499498E-2</v>
      </c>
      <c r="K465" s="4">
        <v>0.01</v>
      </c>
      <c r="L465" s="5">
        <f t="shared" si="21"/>
        <v>-1.6954939878499008E-2</v>
      </c>
    </row>
    <row r="466" spans="4:12" ht="14.4" customHeight="1">
      <c r="D466" s="14">
        <v>42664</v>
      </c>
      <c r="E466" s="15">
        <v>4.4409999999999998</v>
      </c>
      <c r="F466" s="15">
        <f t="shared" si="22"/>
        <v>6.8508439520652211E-4</v>
      </c>
      <c r="G466" s="16" cm="1">
        <f t="array" ref="G466">SUMPRODUCT(IF(((H466-$F$4:$F$515)/$B$10)&lt;=-1,0,IF(((H466-$F$4:$F$515)/$B$10)&gt;=1,1,(15/16)*(((H466-$F$4:$F$515)/$B$10)-(2/3)*((H466-$F$4:$F$515)/$B$10)^3+(1/5)*((H466-$F$4:$F$515)/$B$10)^5+8/15))))/COUNT($F$4:$F$515)</f>
        <v>1.953125E-3</v>
      </c>
      <c r="H466" s="15">
        <f t="shared" si="23"/>
        <v>-5.1254939878499495E-2</v>
      </c>
      <c r="K466" s="14">
        <v>0.01</v>
      </c>
      <c r="L466" s="15">
        <f t="shared" si="21"/>
        <v>-1.6954939878499008E-2</v>
      </c>
    </row>
    <row r="467" spans="4:12" ht="14.4" customHeight="1">
      <c r="D467" s="4">
        <v>42667</v>
      </c>
      <c r="E467" s="5">
        <v>4.593</v>
      </c>
      <c r="F467" s="5">
        <f t="shared" si="22"/>
        <v>1.4615672244247507E-2</v>
      </c>
      <c r="G467" s="3" cm="1">
        <f t="array" ref="G467">SUMPRODUCT(IF(((H467-$F$4:$F$515)/$B$10)&lt;=-1,0,IF(((H467-$F$4:$F$515)/$B$10)&gt;=1,1,(15/16)*(((H467-$F$4:$F$515)/$B$10)-(2/3)*((H467-$F$4:$F$515)/$B$10)^3+(1/5)*((H467-$F$4:$F$515)/$B$10)^5+8/15))))/COUNT($F$4:$F$515)</f>
        <v>1.953125E-3</v>
      </c>
      <c r="H467" s="5">
        <f t="shared" si="23"/>
        <v>-5.1154939878499492E-2</v>
      </c>
      <c r="K467" s="4">
        <v>0.01</v>
      </c>
      <c r="L467" s="5">
        <f t="shared" si="21"/>
        <v>-1.6954939878499008E-2</v>
      </c>
    </row>
    <row r="468" spans="4:12" ht="14.4" customHeight="1">
      <c r="D468" s="14">
        <v>42668</v>
      </c>
      <c r="E468" s="15">
        <v>4.5910000000000002</v>
      </c>
      <c r="F468" s="15">
        <f t="shared" si="22"/>
        <v>-1.8915265190263484E-4</v>
      </c>
      <c r="G468" s="16" cm="1">
        <f t="array" ref="G468">SUMPRODUCT(IF(((H468-$F$4:$F$515)/$B$10)&lt;=-1,0,IF(((H468-$F$4:$F$515)/$B$10)&gt;=1,1,(15/16)*(((H468-$F$4:$F$515)/$B$10)-(2/3)*((H468-$F$4:$F$515)/$B$10)^3+(1/5)*((H468-$F$4:$F$515)/$B$10)^5+8/15))))/COUNT($F$4:$F$515)</f>
        <v>1.953125E-3</v>
      </c>
      <c r="H468" s="15">
        <f t="shared" si="23"/>
        <v>-5.1054939878499489E-2</v>
      </c>
      <c r="K468" s="14">
        <v>0.01</v>
      </c>
      <c r="L468" s="15">
        <f t="shared" si="21"/>
        <v>-1.6954939878499008E-2</v>
      </c>
    </row>
    <row r="469" spans="4:12" ht="14.4" customHeight="1">
      <c r="D469" s="4">
        <v>42669</v>
      </c>
      <c r="E469" s="5">
        <v>4.5940000000000003</v>
      </c>
      <c r="F469" s="5">
        <f t="shared" si="22"/>
        <v>2.8369809298650378E-4</v>
      </c>
      <c r="G469" s="3" cm="1">
        <f t="array" ref="G469">SUMPRODUCT(IF(((H469-$F$4:$F$515)/$B$10)&lt;=-1,0,IF(((H469-$F$4:$F$515)/$B$10)&gt;=1,1,(15/16)*(((H469-$F$4:$F$515)/$B$10)-(2/3)*((H469-$F$4:$F$515)/$B$10)^3+(1/5)*((H469-$F$4:$F$515)/$B$10)^5+8/15))))/COUNT($F$4:$F$515)</f>
        <v>1.953125E-3</v>
      </c>
      <c r="H469" s="5">
        <f t="shared" si="23"/>
        <v>-5.0954939878499486E-2</v>
      </c>
      <c r="K469" s="4">
        <v>0.01</v>
      </c>
      <c r="L469" s="5">
        <f t="shared" si="21"/>
        <v>-1.6954939878499008E-2</v>
      </c>
    </row>
    <row r="470" spans="4:12" ht="14.4" customHeight="1">
      <c r="D470" s="14">
        <v>42670</v>
      </c>
      <c r="E470" s="15">
        <v>4.6920000000000002</v>
      </c>
      <c r="F470" s="15">
        <f t="shared" si="22"/>
        <v>9.1670125844843312E-3</v>
      </c>
      <c r="G470" s="16" cm="1">
        <f t="array" ref="G470">SUMPRODUCT(IF(((H470-$F$4:$F$515)/$B$10)&lt;=-1,0,IF(((H470-$F$4:$F$515)/$B$10)&gt;=1,1,(15/16)*(((H470-$F$4:$F$515)/$B$10)-(2/3)*((H470-$F$4:$F$515)/$B$10)^3+(1/5)*((H470-$F$4:$F$515)/$B$10)^5+8/15))))/COUNT($F$4:$F$515)</f>
        <v>1.953125E-3</v>
      </c>
      <c r="H470" s="15">
        <f t="shared" si="23"/>
        <v>-5.0854939878499483E-2</v>
      </c>
      <c r="K470" s="14">
        <v>0.01</v>
      </c>
      <c r="L470" s="15">
        <f t="shared" si="21"/>
        <v>-1.6954939878499008E-2</v>
      </c>
    </row>
    <row r="471" spans="4:12" ht="14.4" customHeight="1">
      <c r="D471" s="4">
        <v>42671</v>
      </c>
      <c r="E471" s="5">
        <v>4.7089999999999996</v>
      </c>
      <c r="F471" s="5">
        <f t="shared" si="22"/>
        <v>1.570686999230758E-3</v>
      </c>
      <c r="G471" s="3" cm="1">
        <f t="array" ref="G471">SUMPRODUCT(IF(((H471-$F$4:$F$515)/$B$10)&lt;=-1,0,IF(((H471-$F$4:$F$515)/$B$10)&gt;=1,1,(15/16)*(((H471-$F$4:$F$515)/$B$10)-(2/3)*((H471-$F$4:$F$515)/$B$10)^3+(1/5)*((H471-$F$4:$F$515)/$B$10)^5+8/15))))/COUNT($F$4:$F$515)</f>
        <v>1.953125E-3</v>
      </c>
      <c r="H471" s="5">
        <f t="shared" si="23"/>
        <v>-5.075493987849948E-2</v>
      </c>
      <c r="K471" s="4">
        <v>0.01</v>
      </c>
      <c r="L471" s="5">
        <f t="shared" si="21"/>
        <v>-1.6954939878499008E-2</v>
      </c>
    </row>
    <row r="472" spans="4:12" ht="14.4" customHeight="1">
      <c r="D472" s="14">
        <v>42674</v>
      </c>
      <c r="E472" s="15">
        <v>4.6050000000000004</v>
      </c>
      <c r="F472" s="15">
        <f t="shared" si="22"/>
        <v>-9.6990559098546602E-3</v>
      </c>
      <c r="G472" s="16" cm="1">
        <f t="array" ref="G472">SUMPRODUCT(IF(((H472-$F$4:$F$515)/$B$10)&lt;=-1,0,IF(((H472-$F$4:$F$515)/$B$10)&gt;=1,1,(15/16)*(((H472-$F$4:$F$515)/$B$10)-(2/3)*((H472-$F$4:$F$515)/$B$10)^3+(1/5)*((H472-$F$4:$F$515)/$B$10)^5+8/15))))/COUNT($F$4:$F$515)</f>
        <v>1.953125E-3</v>
      </c>
      <c r="H472" s="15">
        <f t="shared" si="23"/>
        <v>-5.0654939878499478E-2</v>
      </c>
      <c r="K472" s="14">
        <v>0.01</v>
      </c>
      <c r="L472" s="15">
        <f t="shared" si="21"/>
        <v>-1.6954939878499008E-2</v>
      </c>
    </row>
    <row r="473" spans="4:12" ht="14.4" customHeight="1">
      <c r="D473" s="4">
        <v>42675</v>
      </c>
      <c r="E473" s="5">
        <v>4.5369999999999999</v>
      </c>
      <c r="F473" s="5">
        <f t="shared" si="22"/>
        <v>-6.4608552668511329E-3</v>
      </c>
      <c r="G473" s="3" cm="1">
        <f t="array" ref="G473">SUMPRODUCT(IF(((H473-$F$4:$F$515)/$B$10)&lt;=-1,0,IF(((H473-$F$4:$F$515)/$B$10)&gt;=1,1,(15/16)*(((H473-$F$4:$F$515)/$B$10)-(2/3)*((H473-$F$4:$F$515)/$B$10)^3+(1/5)*((H473-$F$4:$F$515)/$B$10)^5+8/15))))/COUNT($F$4:$F$515)</f>
        <v>1.953125E-3</v>
      </c>
      <c r="H473" s="5">
        <f t="shared" si="23"/>
        <v>-5.0554939878499475E-2</v>
      </c>
      <c r="K473" s="4">
        <v>0.01</v>
      </c>
      <c r="L473" s="5">
        <f t="shared" si="21"/>
        <v>-1.6954939878499008E-2</v>
      </c>
    </row>
    <row r="474" spans="4:12" ht="14.4" customHeight="1">
      <c r="D474" s="14">
        <v>42676</v>
      </c>
      <c r="E474" s="15">
        <v>4.4240000000000004</v>
      </c>
      <c r="F474" s="15">
        <f t="shared" si="22"/>
        <v>-1.0953660969374791E-2</v>
      </c>
      <c r="G474" s="16" cm="1">
        <f t="array" ref="G474">SUMPRODUCT(IF(((H474-$F$4:$F$515)/$B$10)&lt;=-1,0,IF(((H474-$F$4:$F$515)/$B$10)&gt;=1,1,(15/16)*(((H474-$F$4:$F$515)/$B$10)-(2/3)*((H474-$F$4:$F$515)/$B$10)^3+(1/5)*((H474-$F$4:$F$515)/$B$10)^5+8/15))))/COUNT($F$4:$F$515)</f>
        <v>1.953125E-3</v>
      </c>
      <c r="H474" s="15">
        <f t="shared" si="23"/>
        <v>-5.0454939878499472E-2</v>
      </c>
      <c r="K474" s="14">
        <v>0.01</v>
      </c>
      <c r="L474" s="15">
        <f t="shared" si="21"/>
        <v>-1.6954939878499008E-2</v>
      </c>
    </row>
    <row r="475" spans="4:12" ht="14.4" customHeight="1">
      <c r="D475" s="4">
        <v>42677</v>
      </c>
      <c r="E475" s="5">
        <v>4.5030000000000001</v>
      </c>
      <c r="F475" s="5">
        <f t="shared" si="22"/>
        <v>7.6868286662909553E-3</v>
      </c>
      <c r="G475" s="3" cm="1">
        <f t="array" ref="G475">SUMPRODUCT(IF(((H475-$F$4:$F$515)/$B$10)&lt;=-1,0,IF(((H475-$F$4:$F$515)/$B$10)&gt;=1,1,(15/16)*(((H475-$F$4:$F$515)/$B$10)-(2/3)*((H475-$F$4:$F$515)/$B$10)^3+(1/5)*((H475-$F$4:$F$515)/$B$10)^5+8/15))))/COUNT($F$4:$F$515)</f>
        <v>1.953125E-3</v>
      </c>
      <c r="H475" s="5">
        <f t="shared" si="23"/>
        <v>-5.0354939878499469E-2</v>
      </c>
      <c r="K475" s="4">
        <v>0.01</v>
      </c>
      <c r="L475" s="5">
        <f t="shared" si="21"/>
        <v>-1.6954939878499008E-2</v>
      </c>
    </row>
    <row r="476" spans="4:12" ht="14.4" customHeight="1">
      <c r="D476" s="14">
        <v>42678</v>
      </c>
      <c r="E476" s="15">
        <v>4.3689999999999998</v>
      </c>
      <c r="F476" s="15">
        <f t="shared" si="22"/>
        <v>-1.311990225336437E-2</v>
      </c>
      <c r="G476" s="16" cm="1">
        <f t="array" ref="G476">SUMPRODUCT(IF(((H476-$F$4:$F$515)/$B$10)&lt;=-1,0,IF(((H476-$F$4:$F$515)/$B$10)&gt;=1,1,(15/16)*(((H476-$F$4:$F$515)/$B$10)-(2/3)*((H476-$F$4:$F$515)/$B$10)^3+(1/5)*((H476-$F$4:$F$515)/$B$10)^5+8/15))))/COUNT($F$4:$F$515)</f>
        <v>1.953125E-3</v>
      </c>
      <c r="H476" s="15">
        <f t="shared" si="23"/>
        <v>-5.0254939878499466E-2</v>
      </c>
      <c r="K476" s="14">
        <v>0.01</v>
      </c>
      <c r="L476" s="15">
        <f t="shared" si="21"/>
        <v>-1.6954939878499008E-2</v>
      </c>
    </row>
    <row r="477" spans="4:12" ht="14.4" customHeight="1">
      <c r="D477" s="4">
        <v>42681</v>
      </c>
      <c r="E477" s="5">
        <v>4.5039999999999996</v>
      </c>
      <c r="F477" s="5">
        <f t="shared" si="22"/>
        <v>1.3216337133721303E-2</v>
      </c>
      <c r="G477" s="3" cm="1">
        <f t="array" ref="G477">SUMPRODUCT(IF(((H477-$F$4:$F$515)/$B$10)&lt;=-1,0,IF(((H477-$F$4:$F$515)/$B$10)&gt;=1,1,(15/16)*(((H477-$F$4:$F$515)/$B$10)-(2/3)*((H477-$F$4:$F$515)/$B$10)^3+(1/5)*((H477-$F$4:$F$515)/$B$10)^5+8/15))))/COUNT($F$4:$F$515)</f>
        <v>1.953125E-3</v>
      </c>
      <c r="H477" s="5">
        <f t="shared" si="23"/>
        <v>-5.0154939878499463E-2</v>
      </c>
      <c r="K477" s="4">
        <v>0.01</v>
      </c>
      <c r="L477" s="5">
        <f t="shared" si="21"/>
        <v>-1.6954939878499008E-2</v>
      </c>
    </row>
    <row r="478" spans="4:12" ht="14.4" customHeight="1">
      <c r="D478" s="14">
        <v>42682</v>
      </c>
      <c r="E478" s="15">
        <v>4.6219999999999999</v>
      </c>
      <c r="F478" s="15">
        <f t="shared" si="22"/>
        <v>1.1231559299800711E-2</v>
      </c>
      <c r="G478" s="16" cm="1">
        <f t="array" ref="G478">SUMPRODUCT(IF(((H478-$F$4:$F$515)/$B$10)&lt;=-1,0,IF(((H478-$F$4:$F$515)/$B$10)&gt;=1,1,(15/16)*(((H478-$F$4:$F$515)/$B$10)-(2/3)*((H478-$F$4:$F$515)/$B$10)^3+(1/5)*((H478-$F$4:$F$515)/$B$10)^5+8/15))))/COUNT($F$4:$F$515)</f>
        <v>1.953125E-3</v>
      </c>
      <c r="H478" s="15">
        <f t="shared" si="23"/>
        <v>-5.005493987849946E-2</v>
      </c>
      <c r="K478" s="14">
        <v>0.01</v>
      </c>
      <c r="L478" s="15">
        <f t="shared" si="21"/>
        <v>-1.6954939878499008E-2</v>
      </c>
    </row>
    <row r="479" spans="4:12" ht="14.4" customHeight="1">
      <c r="D479" s="4">
        <v>42683</v>
      </c>
      <c r="E479" s="5">
        <v>4.476</v>
      </c>
      <c r="F479" s="5">
        <f t="shared" si="22"/>
        <v>-1.3939863286778051E-2</v>
      </c>
      <c r="G479" s="3" cm="1">
        <f t="array" ref="G479">SUMPRODUCT(IF(((H479-$F$4:$F$515)/$B$10)&lt;=-1,0,IF(((H479-$F$4:$F$515)/$B$10)&gt;=1,1,(15/16)*(((H479-$F$4:$F$515)/$B$10)-(2/3)*((H479-$F$4:$F$515)/$B$10)^3+(1/5)*((H479-$F$4:$F$515)/$B$10)^5+8/15))))/COUNT($F$4:$F$515)</f>
        <v>1.953125E-3</v>
      </c>
      <c r="H479" s="5">
        <f t="shared" si="23"/>
        <v>-4.9954939878499457E-2</v>
      </c>
      <c r="K479" s="4">
        <v>0.01</v>
      </c>
      <c r="L479" s="5">
        <f t="shared" si="21"/>
        <v>-1.6954939878499008E-2</v>
      </c>
    </row>
    <row r="480" spans="4:12" ht="14.4" customHeight="1">
      <c r="D480" s="14">
        <v>42684</v>
      </c>
      <c r="E480" s="15">
        <v>4.5579999999999998</v>
      </c>
      <c r="F480" s="15">
        <f t="shared" si="22"/>
        <v>7.8842429880443543E-3</v>
      </c>
      <c r="G480" s="16" cm="1">
        <f t="array" ref="G480">SUMPRODUCT(IF(((H480-$F$4:$F$515)/$B$10)&lt;=-1,0,IF(((H480-$F$4:$F$515)/$B$10)&gt;=1,1,(15/16)*(((H480-$F$4:$F$515)/$B$10)-(2/3)*((H480-$F$4:$F$515)/$B$10)^3+(1/5)*((H480-$F$4:$F$515)/$B$10)^5+8/15))))/COUNT($F$4:$F$515)</f>
        <v>1.953125E-3</v>
      </c>
      <c r="H480" s="15">
        <f t="shared" si="23"/>
        <v>-4.9854939878499455E-2</v>
      </c>
      <c r="K480" s="14">
        <v>0.01</v>
      </c>
      <c r="L480" s="15">
        <f t="shared" si="21"/>
        <v>-1.6954939878499008E-2</v>
      </c>
    </row>
    <row r="481" spans="4:12" ht="14.4" customHeight="1">
      <c r="D481" s="4">
        <v>42685</v>
      </c>
      <c r="E481" s="5">
        <v>4.6749999999999998</v>
      </c>
      <c r="F481" s="5">
        <f t="shared" si="22"/>
        <v>1.1007294364179826E-2</v>
      </c>
      <c r="G481" s="3" cm="1">
        <f t="array" ref="G481">SUMPRODUCT(IF(((H481-$F$4:$F$515)/$B$10)&lt;=-1,0,IF(((H481-$F$4:$F$515)/$B$10)&gt;=1,1,(15/16)*(((H481-$F$4:$F$515)/$B$10)-(2/3)*((H481-$F$4:$F$515)/$B$10)^3+(1/5)*((H481-$F$4:$F$515)/$B$10)^5+8/15))))/COUNT($F$4:$F$515)</f>
        <v>1.953125E-3</v>
      </c>
      <c r="H481" s="5">
        <f t="shared" si="23"/>
        <v>-4.9754939878499452E-2</v>
      </c>
      <c r="K481" s="4">
        <v>0.01</v>
      </c>
      <c r="L481" s="5">
        <f t="shared" si="21"/>
        <v>-1.6954939878499008E-2</v>
      </c>
    </row>
    <row r="482" spans="4:12" ht="14.4" customHeight="1">
      <c r="D482" s="14">
        <v>42688</v>
      </c>
      <c r="E482" s="15">
        <v>4.7080000000000002</v>
      </c>
      <c r="F482" s="15">
        <f t="shared" si="22"/>
        <v>3.0548389628605017E-3</v>
      </c>
      <c r="G482" s="16" cm="1">
        <f t="array" ref="G482">SUMPRODUCT(IF(((H482-$F$4:$F$515)/$B$10)&lt;=-1,0,IF(((H482-$F$4:$F$515)/$B$10)&gt;=1,1,(15/16)*(((H482-$F$4:$F$515)/$B$10)-(2/3)*((H482-$F$4:$F$515)/$B$10)^3+(1/5)*((H482-$F$4:$F$515)/$B$10)^5+8/15))))/COUNT($F$4:$F$515)</f>
        <v>1.953125E-3</v>
      </c>
      <c r="H482" s="15">
        <f t="shared" si="23"/>
        <v>-4.9654939878499449E-2</v>
      </c>
      <c r="K482" s="14">
        <v>0.01</v>
      </c>
      <c r="L482" s="15">
        <f t="shared" si="21"/>
        <v>-1.6954939878499008E-2</v>
      </c>
    </row>
    <row r="483" spans="4:12" ht="14.4" customHeight="1">
      <c r="D483" s="4">
        <v>42689</v>
      </c>
      <c r="E483" s="5">
        <v>4.68</v>
      </c>
      <c r="F483" s="5">
        <f t="shared" si="22"/>
        <v>-2.5906010972730821E-3</v>
      </c>
      <c r="G483" s="3" cm="1">
        <f t="array" ref="G483">SUMPRODUCT(IF(((H483-$F$4:$F$515)/$B$10)&lt;=-1,0,IF(((H483-$F$4:$F$515)/$B$10)&gt;=1,1,(15/16)*(((H483-$F$4:$F$515)/$B$10)-(2/3)*((H483-$F$4:$F$515)/$B$10)^3+(1/5)*((H483-$F$4:$F$515)/$B$10)^5+8/15))))/COUNT($F$4:$F$515)</f>
        <v>1.953125E-3</v>
      </c>
      <c r="H483" s="5">
        <f t="shared" si="23"/>
        <v>-4.9554939878499446E-2</v>
      </c>
      <c r="K483" s="4">
        <v>0.01</v>
      </c>
      <c r="L483" s="5">
        <f t="shared" si="21"/>
        <v>-1.6954939878499008E-2</v>
      </c>
    </row>
    <row r="484" spans="4:12" ht="14.4" customHeight="1">
      <c r="D484" s="14">
        <v>42690</v>
      </c>
      <c r="E484" s="15">
        <v>4.6020000000000003</v>
      </c>
      <c r="F484" s="15">
        <f t="shared" si="22"/>
        <v>-7.2992387414993667E-3</v>
      </c>
      <c r="G484" s="16" cm="1">
        <f t="array" ref="G484">SUMPRODUCT(IF(((H484-$F$4:$F$515)/$B$10)&lt;=-1,0,IF(((H484-$F$4:$F$515)/$B$10)&gt;=1,1,(15/16)*(((H484-$F$4:$F$515)/$B$10)-(2/3)*((H484-$F$4:$F$515)/$B$10)^3+(1/5)*((H484-$F$4:$F$515)/$B$10)^5+8/15))))/COUNT($F$4:$F$515)</f>
        <v>1.953125E-3</v>
      </c>
      <c r="H484" s="15">
        <f t="shared" si="23"/>
        <v>-4.9454939878499443E-2</v>
      </c>
      <c r="K484" s="14">
        <v>0.01</v>
      </c>
      <c r="L484" s="15">
        <f t="shared" si="21"/>
        <v>-1.6954939878499008E-2</v>
      </c>
    </row>
    <row r="485" spans="4:12" ht="14.4" customHeight="1">
      <c r="D485" s="4">
        <v>42691</v>
      </c>
      <c r="E485" s="5">
        <v>4.6280000000000001</v>
      </c>
      <c r="F485" s="5">
        <f t="shared" si="22"/>
        <v>2.4467359470873779E-3</v>
      </c>
      <c r="G485" s="3" cm="1">
        <f t="array" ref="G485">SUMPRODUCT(IF(((H485-$F$4:$F$515)/$B$10)&lt;=-1,0,IF(((H485-$F$4:$F$515)/$B$10)&gt;=1,1,(15/16)*(((H485-$F$4:$F$515)/$B$10)-(2/3)*((H485-$F$4:$F$515)/$B$10)^3+(1/5)*((H485-$F$4:$F$515)/$B$10)^5+8/15))))/COUNT($F$4:$F$515)</f>
        <v>1.953125E-3</v>
      </c>
      <c r="H485" s="5">
        <f t="shared" si="23"/>
        <v>-4.935493987849944E-2</v>
      </c>
      <c r="K485" s="4">
        <v>0.01</v>
      </c>
      <c r="L485" s="5">
        <f t="shared" si="21"/>
        <v>-1.6954939878499008E-2</v>
      </c>
    </row>
    <row r="486" spans="4:12" ht="14.4" customHeight="1">
      <c r="D486" s="14">
        <v>42692</v>
      </c>
      <c r="E486" s="15">
        <v>4.633</v>
      </c>
      <c r="F486" s="15">
        <f t="shared" si="22"/>
        <v>4.6894992344329077E-4</v>
      </c>
      <c r="G486" s="16" cm="1">
        <f t="array" ref="G486">SUMPRODUCT(IF(((H486-$F$4:$F$515)/$B$10)&lt;=-1,0,IF(((H486-$F$4:$F$515)/$B$10)&gt;=1,1,(15/16)*(((H486-$F$4:$F$515)/$B$10)-(2/3)*((H486-$F$4:$F$515)/$B$10)^3+(1/5)*((H486-$F$4:$F$515)/$B$10)^5+8/15))))/COUNT($F$4:$F$515)</f>
        <v>1.953125E-3</v>
      </c>
      <c r="H486" s="15">
        <f t="shared" si="23"/>
        <v>-4.9254939878499437E-2</v>
      </c>
      <c r="K486" s="14">
        <v>0.01</v>
      </c>
      <c r="L486" s="15">
        <f t="shared" si="21"/>
        <v>-1.6954939878499008E-2</v>
      </c>
    </row>
    <row r="487" spans="4:12" ht="14.4" customHeight="1">
      <c r="D487" s="4">
        <v>42695</v>
      </c>
      <c r="E487" s="5">
        <v>4.617</v>
      </c>
      <c r="F487" s="5">
        <f t="shared" si="22"/>
        <v>-1.502425652014054E-3</v>
      </c>
      <c r="G487" s="3" cm="1">
        <f t="array" ref="G487">SUMPRODUCT(IF(((H487-$F$4:$F$515)/$B$10)&lt;=-1,0,IF(((H487-$F$4:$F$515)/$B$10)&gt;=1,1,(15/16)*(((H487-$F$4:$F$515)/$B$10)-(2/3)*((H487-$F$4:$F$515)/$B$10)^3+(1/5)*((H487-$F$4:$F$515)/$B$10)^5+8/15))))/COUNT($F$4:$F$515)</f>
        <v>1.953125E-3</v>
      </c>
      <c r="H487" s="5">
        <f t="shared" si="23"/>
        <v>-4.9154939878499435E-2</v>
      </c>
      <c r="K487" s="4">
        <v>0.01</v>
      </c>
      <c r="L487" s="5">
        <f t="shared" si="21"/>
        <v>-1.6954939878499008E-2</v>
      </c>
    </row>
    <row r="488" spans="4:12" ht="14.4" customHeight="1">
      <c r="D488" s="14">
        <v>42696</v>
      </c>
      <c r="E488" s="15">
        <v>4.7450000000000001</v>
      </c>
      <c r="F488" s="15">
        <f t="shared" si="22"/>
        <v>1.1876342212170357E-2</v>
      </c>
      <c r="G488" s="16" cm="1">
        <f t="array" ref="G488">SUMPRODUCT(IF(((H488-$F$4:$F$515)/$B$10)&lt;=-1,0,IF(((H488-$F$4:$F$515)/$B$10)&gt;=1,1,(15/16)*(((H488-$F$4:$F$515)/$B$10)-(2/3)*((H488-$F$4:$F$515)/$B$10)^3+(1/5)*((H488-$F$4:$F$515)/$B$10)^5+8/15))))/COUNT($F$4:$F$515)</f>
        <v>1.953125E-3</v>
      </c>
      <c r="H488" s="15">
        <f t="shared" si="23"/>
        <v>-4.9054939878499432E-2</v>
      </c>
      <c r="K488" s="14">
        <v>0.01</v>
      </c>
      <c r="L488" s="15">
        <f t="shared" si="21"/>
        <v>-1.6954939878499008E-2</v>
      </c>
    </row>
    <row r="489" spans="4:12" ht="14.4" customHeight="1">
      <c r="D489" s="4">
        <v>42697</v>
      </c>
      <c r="E489" s="5">
        <v>4.7119999999999997</v>
      </c>
      <c r="F489" s="5">
        <f t="shared" si="22"/>
        <v>-3.0309349842662695E-3</v>
      </c>
      <c r="G489" s="3" cm="1">
        <f t="array" ref="G489">SUMPRODUCT(IF(((H489-$F$4:$F$515)/$B$10)&lt;=-1,0,IF(((H489-$F$4:$F$515)/$B$10)&gt;=1,1,(15/16)*(((H489-$F$4:$F$515)/$B$10)-(2/3)*((H489-$F$4:$F$515)/$B$10)^3+(1/5)*((H489-$F$4:$F$515)/$B$10)^5+8/15))))/COUNT($F$4:$F$515)</f>
        <v>1.953125E-3</v>
      </c>
      <c r="H489" s="5">
        <f t="shared" si="23"/>
        <v>-4.8954939878499429E-2</v>
      </c>
      <c r="K489" s="4">
        <v>0.01</v>
      </c>
      <c r="L489" s="5">
        <f t="shared" si="21"/>
        <v>-1.6954939878499008E-2</v>
      </c>
    </row>
    <row r="490" spans="4:12" ht="14.4" customHeight="1">
      <c r="D490" s="14">
        <v>42698</v>
      </c>
      <c r="E490" s="15">
        <v>4.72</v>
      </c>
      <c r="F490" s="15">
        <f t="shared" si="22"/>
        <v>7.3671685504250782E-4</v>
      </c>
      <c r="G490" s="16" cm="1">
        <f t="array" ref="G490">SUMPRODUCT(IF(((H490-$F$4:$F$515)/$B$10)&lt;=-1,0,IF(((H490-$F$4:$F$515)/$B$10)&gt;=1,1,(15/16)*(((H490-$F$4:$F$515)/$B$10)-(2/3)*((H490-$F$4:$F$515)/$B$10)^3+(1/5)*((H490-$F$4:$F$515)/$B$10)^5+8/15))))/COUNT($F$4:$F$515)</f>
        <v>1.953125E-3</v>
      </c>
      <c r="H490" s="15">
        <f t="shared" si="23"/>
        <v>-4.8854939878499426E-2</v>
      </c>
      <c r="K490" s="14">
        <v>0.01</v>
      </c>
      <c r="L490" s="15">
        <f t="shared" si="21"/>
        <v>-1.6954939878499008E-2</v>
      </c>
    </row>
    <row r="491" spans="4:12" ht="14.4" customHeight="1">
      <c r="D491" s="4">
        <v>42699</v>
      </c>
      <c r="E491" s="5">
        <v>4.71</v>
      </c>
      <c r="F491" s="5">
        <f t="shared" si="22"/>
        <v>-9.2109150519159935E-4</v>
      </c>
      <c r="G491" s="3" cm="1">
        <f t="array" ref="G491">SUMPRODUCT(IF(((H491-$F$4:$F$515)/$B$10)&lt;=-1,0,IF(((H491-$F$4:$F$515)/$B$10)&gt;=1,1,(15/16)*(((H491-$F$4:$F$515)/$B$10)-(2/3)*((H491-$F$4:$F$515)/$B$10)^3+(1/5)*((H491-$F$4:$F$515)/$B$10)^5+8/15))))/COUNT($F$4:$F$515)</f>
        <v>1.953125E-3</v>
      </c>
      <c r="H491" s="5">
        <f t="shared" si="23"/>
        <v>-4.8754939878499423E-2</v>
      </c>
      <c r="K491" s="4">
        <v>0.01</v>
      </c>
      <c r="L491" s="5">
        <f t="shared" si="21"/>
        <v>-1.6954939878499008E-2</v>
      </c>
    </row>
    <row r="492" spans="4:12" ht="14.4" customHeight="1">
      <c r="D492" s="14">
        <v>42702</v>
      </c>
      <c r="E492" s="15">
        <v>4.6399999999999997</v>
      </c>
      <c r="F492" s="15">
        <f t="shared" si="22"/>
        <v>-6.5029265740153535E-3</v>
      </c>
      <c r="G492" s="16" cm="1">
        <f t="array" ref="G492">SUMPRODUCT(IF(((H492-$F$4:$F$515)/$B$10)&lt;=-1,0,IF(((H492-$F$4:$F$515)/$B$10)&gt;=1,1,(15/16)*(((H492-$F$4:$F$515)/$B$10)-(2/3)*((H492-$F$4:$F$515)/$B$10)^3+(1/5)*((H492-$F$4:$F$515)/$B$10)^5+8/15))))/COUNT($F$4:$F$515)</f>
        <v>1.953125E-3</v>
      </c>
      <c r="H492" s="15">
        <f t="shared" si="23"/>
        <v>-4.865493987849942E-2</v>
      </c>
      <c r="K492" s="14">
        <v>0.01</v>
      </c>
      <c r="L492" s="15">
        <f t="shared" si="21"/>
        <v>-1.6954939878499008E-2</v>
      </c>
    </row>
    <row r="493" spans="4:12" ht="14.4" customHeight="1">
      <c r="D493" s="4">
        <v>42703</v>
      </c>
      <c r="E493" s="5">
        <v>4.6769999999999996</v>
      </c>
      <c r="F493" s="5">
        <f t="shared" si="22"/>
        <v>3.4493893536232658E-3</v>
      </c>
      <c r="G493" s="3" cm="1">
        <f t="array" ref="G493">SUMPRODUCT(IF(((H493-$F$4:$F$515)/$B$10)&lt;=-1,0,IF(((H493-$F$4:$F$515)/$B$10)&gt;=1,1,(15/16)*(((H493-$F$4:$F$515)/$B$10)-(2/3)*((H493-$F$4:$F$515)/$B$10)^3+(1/5)*((H493-$F$4:$F$515)/$B$10)^5+8/15))))/COUNT($F$4:$F$515)</f>
        <v>1.953125E-3</v>
      </c>
      <c r="H493" s="5">
        <f t="shared" si="23"/>
        <v>-4.8554939878499417E-2</v>
      </c>
      <c r="K493" s="4">
        <v>0.01</v>
      </c>
      <c r="L493" s="5">
        <f t="shared" si="21"/>
        <v>-1.6954939878499008E-2</v>
      </c>
    </row>
    <row r="494" spans="4:12" ht="14.4" customHeight="1">
      <c r="D494" s="14">
        <v>42704</v>
      </c>
      <c r="E494" s="15">
        <v>4.7519999999999998</v>
      </c>
      <c r="F494" s="15">
        <f t="shared" si="22"/>
        <v>6.9090620646330338E-3</v>
      </c>
      <c r="G494" s="16" cm="1">
        <f t="array" ref="G494">SUMPRODUCT(IF(((H494-$F$4:$F$515)/$B$10)&lt;=-1,0,IF(((H494-$F$4:$F$515)/$B$10)&gt;=1,1,(15/16)*(((H494-$F$4:$F$515)/$B$10)-(2/3)*((H494-$F$4:$F$515)/$B$10)^3+(1/5)*((H494-$F$4:$F$515)/$B$10)^5+8/15))))/COUNT($F$4:$F$515)</f>
        <v>1.953125E-3</v>
      </c>
      <c r="H494" s="15">
        <f t="shared" si="23"/>
        <v>-4.8454939878499415E-2</v>
      </c>
      <c r="K494" s="14">
        <v>0.01</v>
      </c>
      <c r="L494" s="15">
        <f t="shared" si="21"/>
        <v>-1.6954939878499008E-2</v>
      </c>
    </row>
    <row r="495" spans="4:12" ht="14.4" customHeight="1">
      <c r="D495" s="4">
        <v>42705</v>
      </c>
      <c r="E495" s="5">
        <v>4.8860000000000001</v>
      </c>
      <c r="F495" s="5">
        <f t="shared" si="22"/>
        <v>1.2077030664280846E-2</v>
      </c>
      <c r="G495" s="3" cm="1">
        <f t="array" ref="G495">SUMPRODUCT(IF(((H495-$F$4:$F$515)/$B$10)&lt;=-1,0,IF(((H495-$F$4:$F$515)/$B$10)&gt;=1,1,(15/16)*(((H495-$F$4:$F$515)/$B$10)-(2/3)*((H495-$F$4:$F$515)/$B$10)^3+(1/5)*((H495-$F$4:$F$515)/$B$10)^5+8/15))))/COUNT($F$4:$F$515)</f>
        <v>1.953125E-3</v>
      </c>
      <c r="H495" s="5">
        <f t="shared" si="23"/>
        <v>-4.8354939878499412E-2</v>
      </c>
      <c r="K495" s="4">
        <v>0.01</v>
      </c>
      <c r="L495" s="5">
        <f t="shared" si="21"/>
        <v>-1.6954939878499008E-2</v>
      </c>
    </row>
    <row r="496" spans="4:12" ht="14.4" customHeight="1">
      <c r="D496" s="14">
        <v>42706</v>
      </c>
      <c r="E496" s="15">
        <v>4.8250000000000002</v>
      </c>
      <c r="F496" s="15">
        <f t="shared" si="22"/>
        <v>-5.4561449576065414E-3</v>
      </c>
      <c r="G496" s="16" cm="1">
        <f t="array" ref="G496">SUMPRODUCT(IF(((H496-$F$4:$F$515)/$B$10)&lt;=-1,0,IF(((H496-$F$4:$F$515)/$B$10)&gt;=1,1,(15/16)*(((H496-$F$4:$F$515)/$B$10)-(2/3)*((H496-$F$4:$F$515)/$B$10)^3+(1/5)*((H496-$F$4:$F$515)/$B$10)^5+8/15))))/COUNT($F$4:$F$515)</f>
        <v>1.953125E-3</v>
      </c>
      <c r="H496" s="15">
        <f t="shared" si="23"/>
        <v>-4.8254939878499409E-2</v>
      </c>
      <c r="K496" s="14">
        <v>0.01</v>
      </c>
      <c r="L496" s="15">
        <f t="shared" si="21"/>
        <v>-1.6954939878499008E-2</v>
      </c>
    </row>
    <row r="497" spans="4:12" ht="14.4" customHeight="1">
      <c r="D497" s="4">
        <v>42709</v>
      </c>
      <c r="E497" s="5">
        <v>4.9589999999999996</v>
      </c>
      <c r="F497" s="5">
        <f t="shared" si="22"/>
        <v>1.1896790611298478E-2</v>
      </c>
      <c r="G497" s="3" cm="1">
        <f t="array" ref="G497">SUMPRODUCT(IF(((H497-$F$4:$F$515)/$B$10)&lt;=-1,0,IF(((H497-$F$4:$F$515)/$B$10)&gt;=1,1,(15/16)*(((H497-$F$4:$F$515)/$B$10)-(2/3)*((H497-$F$4:$F$515)/$B$10)^3+(1/5)*((H497-$F$4:$F$515)/$B$10)^5+8/15))))/COUNT($F$4:$F$515)</f>
        <v>1.953125E-3</v>
      </c>
      <c r="H497" s="5">
        <f t="shared" si="23"/>
        <v>-4.8154939878499406E-2</v>
      </c>
      <c r="K497" s="4">
        <v>0.01</v>
      </c>
      <c r="L497" s="5">
        <f t="shared" si="21"/>
        <v>-1.6954939878499008E-2</v>
      </c>
    </row>
    <row r="498" spans="4:12" ht="14.4" customHeight="1">
      <c r="D498" s="14">
        <v>42710</v>
      </c>
      <c r="E498" s="15">
        <v>5.093</v>
      </c>
      <c r="F498" s="15">
        <f t="shared" si="22"/>
        <v>1.1579567885068261E-2</v>
      </c>
      <c r="G498" s="16" cm="1">
        <f t="array" ref="G498">SUMPRODUCT(IF(((H498-$F$4:$F$515)/$B$10)&lt;=-1,0,IF(((H498-$F$4:$F$515)/$B$10)&gt;=1,1,(15/16)*(((H498-$F$4:$F$515)/$B$10)-(2/3)*((H498-$F$4:$F$515)/$B$10)^3+(1/5)*((H498-$F$4:$F$515)/$B$10)^5+8/15))))/COUNT($F$4:$F$515)</f>
        <v>1.953125E-3</v>
      </c>
      <c r="H498" s="15">
        <f t="shared" si="23"/>
        <v>-4.8054939878499403E-2</v>
      </c>
      <c r="K498" s="14">
        <v>0.01</v>
      </c>
      <c r="L498" s="15">
        <f t="shared" si="21"/>
        <v>-1.6954939878499008E-2</v>
      </c>
    </row>
    <row r="499" spans="4:12" ht="14.4" customHeight="1">
      <c r="D499" s="4">
        <v>42711</v>
      </c>
      <c r="E499" s="5">
        <v>5.2140000000000004</v>
      </c>
      <c r="F499" s="5">
        <f t="shared" si="22"/>
        <v>1.0197350656131938E-2</v>
      </c>
      <c r="G499" s="3" cm="1">
        <f t="array" ref="G499">SUMPRODUCT(IF(((H499-$F$4:$F$515)/$B$10)&lt;=-1,0,IF(((H499-$F$4:$F$515)/$B$10)&gt;=1,1,(15/16)*(((H499-$F$4:$F$515)/$B$10)-(2/3)*((H499-$F$4:$F$515)/$B$10)^3+(1/5)*((H499-$F$4:$F$515)/$B$10)^5+8/15))))/COUNT($F$4:$F$515)</f>
        <v>1.953125E-3</v>
      </c>
      <c r="H499" s="5">
        <f t="shared" si="23"/>
        <v>-4.79549398784994E-2</v>
      </c>
      <c r="K499" s="4">
        <v>0.01</v>
      </c>
      <c r="L499" s="5">
        <f t="shared" si="21"/>
        <v>-1.6954939878499008E-2</v>
      </c>
    </row>
    <row r="500" spans="4:12" ht="14.4" customHeight="1">
      <c r="D500" s="14">
        <v>42712</v>
      </c>
      <c r="E500" s="15">
        <v>5.3739999999999997</v>
      </c>
      <c r="F500" s="15">
        <f t="shared" si="22"/>
        <v>1.3126635264839469E-2</v>
      </c>
      <c r="G500" s="16" cm="1">
        <f t="array" ref="G500">SUMPRODUCT(IF(((H500-$F$4:$F$515)/$B$10)&lt;=-1,0,IF(((H500-$F$4:$F$515)/$B$10)&gt;=1,1,(15/16)*(((H500-$F$4:$F$515)/$B$10)-(2/3)*((H500-$F$4:$F$515)/$B$10)^3+(1/5)*((H500-$F$4:$F$515)/$B$10)^5+8/15))))/COUNT($F$4:$F$515)</f>
        <v>1.953125E-3</v>
      </c>
      <c r="H500" s="15">
        <f t="shared" si="23"/>
        <v>-4.7854939878499397E-2</v>
      </c>
      <c r="K500" s="14">
        <v>0.01</v>
      </c>
      <c r="L500" s="15">
        <f t="shared" si="21"/>
        <v>-1.6954939878499008E-2</v>
      </c>
    </row>
    <row r="501" spans="4:12" ht="14.4" customHeight="1">
      <c r="D501" s="4">
        <v>42713</v>
      </c>
      <c r="E501" s="5">
        <v>5.3920000000000003</v>
      </c>
      <c r="F501" s="5">
        <f t="shared" si="22"/>
        <v>1.4522214301137734E-3</v>
      </c>
      <c r="G501" s="3" cm="1">
        <f t="array" ref="G501">SUMPRODUCT(IF(((H501-$F$4:$F$515)/$B$10)&lt;=-1,0,IF(((H501-$F$4:$F$515)/$B$10)&gt;=1,1,(15/16)*(((H501-$F$4:$F$515)/$B$10)-(2/3)*((H501-$F$4:$F$515)/$B$10)^3+(1/5)*((H501-$F$4:$F$515)/$B$10)^5+8/15))))/COUNT($F$4:$F$515)</f>
        <v>1.953125E-3</v>
      </c>
      <c r="H501" s="5">
        <f t="shared" si="23"/>
        <v>-4.7754939878499394E-2</v>
      </c>
      <c r="K501" s="4">
        <v>0.01</v>
      </c>
      <c r="L501" s="5">
        <f t="shared" si="21"/>
        <v>-1.6954939878499008E-2</v>
      </c>
    </row>
    <row r="502" spans="4:12" ht="14.4" customHeight="1">
      <c r="D502" s="14">
        <v>42716</v>
      </c>
      <c r="E502" s="15">
        <v>5.4939999999999998</v>
      </c>
      <c r="F502" s="15">
        <f t="shared" si="22"/>
        <v>8.138771557279682E-3</v>
      </c>
      <c r="G502" s="16" cm="1">
        <f t="array" ref="G502">SUMPRODUCT(IF(((H502-$F$4:$F$515)/$B$10)&lt;=-1,0,IF(((H502-$F$4:$F$515)/$B$10)&gt;=1,1,(15/16)*(((H502-$F$4:$F$515)/$B$10)-(2/3)*((H502-$F$4:$F$515)/$B$10)^3+(1/5)*((H502-$F$4:$F$515)/$B$10)^5+8/15))))/COUNT($F$4:$F$515)</f>
        <v>1.953125E-3</v>
      </c>
      <c r="H502" s="15">
        <f t="shared" si="23"/>
        <v>-4.7654939878499392E-2</v>
      </c>
      <c r="K502" s="14">
        <v>0.01</v>
      </c>
      <c r="L502" s="15">
        <f t="shared" si="21"/>
        <v>-1.6954939878499008E-2</v>
      </c>
    </row>
    <row r="503" spans="4:12" ht="14.4" customHeight="1">
      <c r="D503" s="4">
        <v>42717</v>
      </c>
      <c r="E503" s="5">
        <v>5.4509999999999996</v>
      </c>
      <c r="F503" s="5">
        <f t="shared" si="22"/>
        <v>-3.4124730568463814E-3</v>
      </c>
      <c r="G503" s="3" cm="1">
        <f t="array" ref="G503">SUMPRODUCT(IF(((H503-$F$4:$F$515)/$B$10)&lt;=-1,0,IF(((H503-$F$4:$F$515)/$B$10)&gt;=1,1,(15/16)*(((H503-$F$4:$F$515)/$B$10)-(2/3)*((H503-$F$4:$F$515)/$B$10)^3+(1/5)*((H503-$F$4:$F$515)/$B$10)^5+8/15))))/COUNT($F$4:$F$515)</f>
        <v>1.953125E-3</v>
      </c>
      <c r="H503" s="5">
        <f t="shared" si="23"/>
        <v>-4.7554939878499389E-2</v>
      </c>
      <c r="K503" s="4">
        <v>0.01</v>
      </c>
      <c r="L503" s="5">
        <f t="shared" si="21"/>
        <v>-1.6954939878499008E-2</v>
      </c>
    </row>
    <row r="504" spans="4:12" ht="14.4" customHeight="1">
      <c r="D504" s="14">
        <v>42718</v>
      </c>
      <c r="E504" s="15">
        <v>5.3460000000000001</v>
      </c>
      <c r="F504" s="15">
        <f t="shared" si="22"/>
        <v>-8.4472276071783075E-3</v>
      </c>
      <c r="G504" s="16" cm="1">
        <f t="array" ref="G504">SUMPRODUCT(IF(((H504-$F$4:$F$515)/$B$10)&lt;=-1,0,IF(((H504-$F$4:$F$515)/$B$10)&gt;=1,1,(15/16)*(((H504-$F$4:$F$515)/$B$10)-(2/3)*((H504-$F$4:$F$515)/$B$10)^3+(1/5)*((H504-$F$4:$F$515)/$B$10)^5+8/15))))/COUNT($F$4:$F$515)</f>
        <v>1.953125E-3</v>
      </c>
      <c r="H504" s="15">
        <f t="shared" si="23"/>
        <v>-4.7454939878499386E-2</v>
      </c>
      <c r="K504" s="14">
        <v>0.01</v>
      </c>
      <c r="L504" s="15">
        <f t="shared" si="21"/>
        <v>-1.6954939878499008E-2</v>
      </c>
    </row>
    <row r="505" spans="4:12" ht="14.4" customHeight="1">
      <c r="D505" s="4">
        <v>42719</v>
      </c>
      <c r="E505" s="5">
        <v>5.44</v>
      </c>
      <c r="F505" s="5">
        <f t="shared" si="22"/>
        <v>7.5699452776614952E-3</v>
      </c>
      <c r="G505" s="3" cm="1">
        <f t="array" ref="G505">SUMPRODUCT(IF(((H505-$F$4:$F$515)/$B$10)&lt;=-1,0,IF(((H505-$F$4:$F$515)/$B$10)&gt;=1,1,(15/16)*(((H505-$F$4:$F$515)/$B$10)-(2/3)*((H505-$F$4:$F$515)/$B$10)^3+(1/5)*((H505-$F$4:$F$515)/$B$10)^5+8/15))))/COUNT($F$4:$F$515)</f>
        <v>1.953125E-3</v>
      </c>
      <c r="H505" s="5">
        <f t="shared" si="23"/>
        <v>-4.7354939878499383E-2</v>
      </c>
      <c r="K505" s="4">
        <v>0.01</v>
      </c>
      <c r="L505" s="5">
        <f t="shared" si="21"/>
        <v>-1.6954939878499008E-2</v>
      </c>
    </row>
    <row r="506" spans="4:12" ht="14.4" customHeight="1">
      <c r="D506" s="14">
        <v>42720</v>
      </c>
      <c r="E506" s="15">
        <v>5.3650000000000002</v>
      </c>
      <c r="F506" s="15">
        <f t="shared" si="22"/>
        <v>-6.0291733962100184E-3</v>
      </c>
      <c r="G506" s="16" cm="1">
        <f t="array" ref="G506">SUMPRODUCT(IF(((H506-$F$4:$F$515)/$B$10)&lt;=-1,0,IF(((H506-$F$4:$F$515)/$B$10)&gt;=1,1,(15/16)*(((H506-$F$4:$F$515)/$B$10)-(2/3)*((H506-$F$4:$F$515)/$B$10)^3+(1/5)*((H506-$F$4:$F$515)/$B$10)^5+8/15))))/COUNT($F$4:$F$515)</f>
        <v>1.953125E-3</v>
      </c>
      <c r="H506" s="15">
        <f t="shared" si="23"/>
        <v>-4.725493987849938E-2</v>
      </c>
      <c r="K506" s="14">
        <v>0.01</v>
      </c>
      <c r="L506" s="15">
        <f t="shared" si="21"/>
        <v>-1.6954939878499008E-2</v>
      </c>
    </row>
    <row r="507" spans="4:12" ht="14.4" customHeight="1">
      <c r="D507" s="4">
        <v>42723</v>
      </c>
      <c r="E507" s="5">
        <v>5.2990000000000004</v>
      </c>
      <c r="F507" s="5">
        <f t="shared" si="22"/>
        <v>-5.3758067876402832E-3</v>
      </c>
      <c r="G507" s="3" cm="1">
        <f t="array" ref="G507">SUMPRODUCT(IF(((H507-$F$4:$F$515)/$B$10)&lt;=-1,0,IF(((H507-$F$4:$F$515)/$B$10)&gt;=1,1,(15/16)*(((H507-$F$4:$F$515)/$B$10)-(2/3)*((H507-$F$4:$F$515)/$B$10)^3+(1/5)*((H507-$F$4:$F$515)/$B$10)^5+8/15))))/COUNT($F$4:$F$515)</f>
        <v>1.953125E-3</v>
      </c>
      <c r="H507" s="5">
        <f t="shared" si="23"/>
        <v>-4.7154939878499377E-2</v>
      </c>
      <c r="K507" s="4">
        <v>0.01</v>
      </c>
      <c r="L507" s="5">
        <f t="shared" si="21"/>
        <v>-1.6954939878499008E-2</v>
      </c>
    </row>
    <row r="508" spans="4:12" ht="14.4" customHeight="1">
      <c r="D508" s="14">
        <v>42724</v>
      </c>
      <c r="E508" s="15">
        <v>5.3819999999999997</v>
      </c>
      <c r="F508" s="15">
        <f t="shared" si="22"/>
        <v>6.7497739134060588E-3</v>
      </c>
      <c r="G508" s="16" cm="1">
        <f t="array" ref="G508">SUMPRODUCT(IF(((H508-$F$4:$F$515)/$B$10)&lt;=-1,0,IF(((H508-$F$4:$F$515)/$B$10)&gt;=1,1,(15/16)*(((H508-$F$4:$F$515)/$B$10)-(2/3)*((H508-$F$4:$F$515)/$B$10)^3+(1/5)*((H508-$F$4:$F$515)/$B$10)^5+8/15))))/COUNT($F$4:$F$515)</f>
        <v>1.953125E-3</v>
      </c>
      <c r="H508" s="15">
        <f t="shared" si="23"/>
        <v>-4.7054939878499374E-2</v>
      </c>
      <c r="K508" s="14">
        <v>0.01</v>
      </c>
      <c r="L508" s="15">
        <f t="shared" si="21"/>
        <v>-1.6954939878499008E-2</v>
      </c>
    </row>
    <row r="509" spans="4:12" ht="14.4" customHeight="1">
      <c r="D509" s="4">
        <v>42725</v>
      </c>
      <c r="E509" s="5">
        <v>5.3979999999999997</v>
      </c>
      <c r="F509" s="5">
        <f t="shared" si="22"/>
        <v>1.2891867927621332E-3</v>
      </c>
      <c r="G509" s="3" cm="1">
        <f t="array" ref="G509">SUMPRODUCT(IF(((H509-$F$4:$F$515)/$B$10)&lt;=-1,0,IF(((H509-$F$4:$F$515)/$B$10)&gt;=1,1,(15/16)*(((H509-$F$4:$F$515)/$B$10)-(2/3)*((H509-$F$4:$F$515)/$B$10)^3+(1/5)*((H509-$F$4:$F$515)/$B$10)^5+8/15))))/COUNT($F$4:$F$515)</f>
        <v>1.953125E-3</v>
      </c>
      <c r="H509" s="5">
        <f t="shared" si="23"/>
        <v>-4.6954939878499372E-2</v>
      </c>
      <c r="K509" s="4">
        <v>0.01</v>
      </c>
      <c r="L509" s="5">
        <f t="shared" si="21"/>
        <v>-1.6954939878499008E-2</v>
      </c>
    </row>
    <row r="510" spans="4:12" ht="14.4" customHeight="1">
      <c r="D510" s="14">
        <v>42726</v>
      </c>
      <c r="E510" s="15">
        <v>5.42</v>
      </c>
      <c r="F510" s="15">
        <f t="shared" si="22"/>
        <v>1.7664063178891107E-3</v>
      </c>
      <c r="G510" s="16" cm="1">
        <f t="array" ref="G510">SUMPRODUCT(IF(((H510-$F$4:$F$515)/$B$10)&lt;=-1,0,IF(((H510-$F$4:$F$515)/$B$10)&gt;=1,1,(15/16)*(((H510-$F$4:$F$515)/$B$10)-(2/3)*((H510-$F$4:$F$515)/$B$10)^3+(1/5)*((H510-$F$4:$F$515)/$B$10)^5+8/15))))/COUNT($F$4:$F$515)</f>
        <v>1.953125E-3</v>
      </c>
      <c r="H510" s="15">
        <f t="shared" si="23"/>
        <v>-4.6854939878499369E-2</v>
      </c>
      <c r="K510" s="14">
        <v>0.01</v>
      </c>
      <c r="L510" s="15">
        <f t="shared" si="21"/>
        <v>-1.6954939878499008E-2</v>
      </c>
    </row>
    <row r="511" spans="4:12" ht="14.4" customHeight="1">
      <c r="D511" s="4">
        <v>42727</v>
      </c>
      <c r="E511" s="5">
        <v>5.3760000000000003</v>
      </c>
      <c r="F511" s="5">
        <f t="shared" si="22"/>
        <v>-3.540026492618047E-3</v>
      </c>
      <c r="G511" s="3" cm="1">
        <f t="array" ref="G511">SUMPRODUCT(IF(((H511-$F$4:$F$515)/$B$10)&lt;=-1,0,IF(((H511-$F$4:$F$515)/$B$10)&gt;=1,1,(15/16)*(((H511-$F$4:$F$515)/$B$10)-(2/3)*((H511-$F$4:$F$515)/$B$10)^3+(1/5)*((H511-$F$4:$F$515)/$B$10)^5+8/15))))/COUNT($F$4:$F$515)</f>
        <v>1.953125E-3</v>
      </c>
      <c r="H511" s="5">
        <f t="shared" si="23"/>
        <v>-4.6754939878499366E-2</v>
      </c>
      <c r="K511" s="4">
        <v>0.01</v>
      </c>
      <c r="L511" s="5">
        <f t="shared" si="21"/>
        <v>-1.6954939878499008E-2</v>
      </c>
    </row>
    <row r="512" spans="4:12" ht="14.4" customHeight="1">
      <c r="D512" s="14">
        <v>42731</v>
      </c>
      <c r="E512" s="15">
        <v>5.38</v>
      </c>
      <c r="F512" s="15">
        <f t="shared" si="22"/>
        <v>3.2301562062027214E-4</v>
      </c>
      <c r="G512" s="16" cm="1">
        <f t="array" ref="G512">SUMPRODUCT(IF(((H512-$F$4:$F$515)/$B$10)&lt;=-1,0,IF(((H512-$F$4:$F$515)/$B$10)&gt;=1,1,(15/16)*(((H512-$F$4:$F$515)/$B$10)-(2/3)*((H512-$F$4:$F$515)/$B$10)^3+(1/5)*((H512-$F$4:$F$515)/$B$10)^5+8/15))))/COUNT($F$4:$F$515)</f>
        <v>1.953125E-3</v>
      </c>
      <c r="H512" s="15">
        <f t="shared" si="23"/>
        <v>-4.6654939878499363E-2</v>
      </c>
      <c r="K512" s="14">
        <v>0.01</v>
      </c>
      <c r="L512" s="15">
        <f t="shared" si="21"/>
        <v>-1.6954939878499008E-2</v>
      </c>
    </row>
    <row r="513" spans="4:12" ht="14.4" customHeight="1">
      <c r="D513" s="4">
        <v>42732</v>
      </c>
      <c r="E513" s="5">
        <v>5.3789999999999996</v>
      </c>
      <c r="F513" s="5">
        <f t="shared" si="22"/>
        <v>-8.07313845439164E-5</v>
      </c>
      <c r="G513" s="3" cm="1">
        <f t="array" ref="G513">SUMPRODUCT(IF(((H513-$F$4:$F$515)/$B$10)&lt;=-1,0,IF(((H513-$F$4:$F$515)/$B$10)&gt;=1,1,(15/16)*(((H513-$F$4:$F$515)/$B$10)-(2/3)*((H513-$F$4:$F$515)/$B$10)^3+(1/5)*((H513-$F$4:$F$515)/$B$10)^5+8/15))))/COUNT($F$4:$F$515)</f>
        <v>1.953125E-3</v>
      </c>
      <c r="H513" s="5">
        <f t="shared" si="23"/>
        <v>-4.655493987849936E-2</v>
      </c>
      <c r="K513" s="4">
        <v>0.01</v>
      </c>
      <c r="L513" s="5">
        <f t="shared" si="21"/>
        <v>-1.6954939878499008E-2</v>
      </c>
    </row>
    <row r="514" spans="4:12" ht="14.4" customHeight="1">
      <c r="D514" s="14">
        <v>42733</v>
      </c>
      <c r="E514" s="15">
        <v>5.3280000000000003</v>
      </c>
      <c r="F514" s="15">
        <f t="shared" si="22"/>
        <v>-4.1373281196005604E-3</v>
      </c>
      <c r="G514" s="16" cm="1">
        <f t="array" ref="G514">SUMPRODUCT(IF(((H514-$F$4:$F$515)/$B$10)&lt;=-1,0,IF(((H514-$F$4:$F$515)/$B$10)&gt;=1,1,(15/16)*(((H514-$F$4:$F$515)/$B$10)-(2/3)*((H514-$F$4:$F$515)/$B$10)^3+(1/5)*((H514-$F$4:$F$515)/$B$10)^5+8/15))))/COUNT($F$4:$F$515)</f>
        <v>1.953125E-3</v>
      </c>
      <c r="H514" s="15">
        <f t="shared" si="23"/>
        <v>-4.6454939878499357E-2</v>
      </c>
      <c r="K514" s="14">
        <v>0.01</v>
      </c>
      <c r="L514" s="15">
        <f t="shared" si="21"/>
        <v>-1.6954939878499008E-2</v>
      </c>
    </row>
    <row r="515" spans="4:12" ht="14.4" customHeight="1">
      <c r="D515" s="4">
        <v>42734</v>
      </c>
      <c r="E515" s="5">
        <v>5.36</v>
      </c>
      <c r="F515" s="5">
        <f t="shared" si="22"/>
        <v>2.600573530525405E-3</v>
      </c>
      <c r="G515" s="3" cm="1">
        <f t="array" ref="G515">SUMPRODUCT(IF(((H515-$F$4:$F$515)/$B$10)&lt;=-1,0,IF(((H515-$F$4:$F$515)/$B$10)&gt;=1,1,(15/16)*(((H515-$F$4:$F$515)/$B$10)-(2/3)*((H515-$F$4:$F$515)/$B$10)^3+(1/5)*((H515-$F$4:$F$515)/$B$10)^5+8/15))))/COUNT($F$4:$F$515)</f>
        <v>1.953125E-3</v>
      </c>
      <c r="H515" s="5">
        <f t="shared" si="23"/>
        <v>-4.6354939878499354E-2</v>
      </c>
      <c r="K515" s="4">
        <v>0.01</v>
      </c>
      <c r="L515" s="5">
        <f t="shared" si="21"/>
        <v>-1.6954939878499008E-2</v>
      </c>
    </row>
    <row r="516" spans="4:12" ht="14.4" customHeight="1">
      <c r="D516" s="14">
        <v>42737</v>
      </c>
      <c r="E516" s="15">
        <v>5.4</v>
      </c>
      <c r="F516" s="15">
        <f t="shared" si="22"/>
        <v>3.2289701301984487E-3</v>
      </c>
      <c r="G516" s="16" cm="1">
        <f t="array" ref="G516">SUMPRODUCT(IF(((H516-$F$4:$F$515)/$B$10)&lt;=-1,0,IF(((H516-$F$4:$F$515)/$B$10)&gt;=1,1,(15/16)*(((H516-$F$4:$F$515)/$B$10)-(2/3)*((H516-$F$4:$F$515)/$B$10)^3+(1/5)*((H516-$F$4:$F$515)/$B$10)^5+8/15))))/COUNT($F$4:$F$515)</f>
        <v>1.953125E-3</v>
      </c>
      <c r="H516" s="15">
        <f t="shared" si="23"/>
        <v>-4.6254939878499352E-2</v>
      </c>
      <c r="K516" s="14">
        <v>0.01</v>
      </c>
      <c r="L516" s="15">
        <f t="shared" ref="L516:L579" si="24">$B$7</f>
        <v>-1.6954939878499008E-2</v>
      </c>
    </row>
    <row r="517" spans="4:12" ht="14.4" customHeight="1">
      <c r="D517" s="4">
        <v>42738</v>
      </c>
      <c r="E517" s="5">
        <v>5.62</v>
      </c>
      <c r="F517" s="5">
        <f t="shared" ref="F517:F580" si="25">LOG(E517/E516)</f>
        <v>1.7342555746092583E-2</v>
      </c>
      <c r="G517" s="3" cm="1">
        <f t="array" ref="G517">SUMPRODUCT(IF(((H517-$F$4:$F$515)/$B$10)&lt;=-1,0,IF(((H517-$F$4:$F$515)/$B$10)&gt;=1,1,(15/16)*(((H517-$F$4:$F$515)/$B$10)-(2/3)*((H517-$F$4:$F$515)/$B$10)^3+(1/5)*((H517-$F$4:$F$515)/$B$10)^5+8/15))))/COUNT($F$4:$F$515)</f>
        <v>1.953125E-3</v>
      </c>
      <c r="H517" s="5">
        <f t="shared" ref="H517:H580" si="26">H516+0.0001</f>
        <v>-4.6154939878499349E-2</v>
      </c>
      <c r="K517" s="4">
        <v>0.01</v>
      </c>
      <c r="L517" s="5">
        <f t="shared" si="24"/>
        <v>-1.6954939878499008E-2</v>
      </c>
    </row>
    <row r="518" spans="4:12" ht="14.4" customHeight="1">
      <c r="D518" s="14">
        <v>42739</v>
      </c>
      <c r="E518" s="15">
        <v>5.641</v>
      </c>
      <c r="F518" s="15">
        <f t="shared" si="25"/>
        <v>1.6197841563326172E-3</v>
      </c>
      <c r="G518" s="16" cm="1">
        <f t="array" ref="G518">SUMPRODUCT(IF(((H518-$F$4:$F$515)/$B$10)&lt;=-1,0,IF(((H518-$F$4:$F$515)/$B$10)&gt;=1,1,(15/16)*(((H518-$F$4:$F$515)/$B$10)-(2/3)*((H518-$F$4:$F$515)/$B$10)^3+(1/5)*((H518-$F$4:$F$515)/$B$10)^5+8/15))))/COUNT($F$4:$F$515)</f>
        <v>1.953125E-3</v>
      </c>
      <c r="H518" s="15">
        <f t="shared" si="26"/>
        <v>-4.6054939878499346E-2</v>
      </c>
      <c r="K518" s="14">
        <v>0.01</v>
      </c>
      <c r="L518" s="15">
        <f t="shared" si="24"/>
        <v>-1.6954939878499008E-2</v>
      </c>
    </row>
    <row r="519" spans="4:12" ht="14.4" customHeight="1">
      <c r="D519" s="4">
        <v>42740</v>
      </c>
      <c r="E519" s="5">
        <v>5.5949999999999998</v>
      </c>
      <c r="F519" s="5">
        <f t="shared" si="25"/>
        <v>-3.5560088610248389E-3</v>
      </c>
      <c r="G519" s="3" cm="1">
        <f t="array" ref="G519">SUMPRODUCT(IF(((H519-$F$4:$F$515)/$B$10)&lt;=-1,0,IF(((H519-$F$4:$F$515)/$B$10)&gt;=1,1,(15/16)*(((H519-$F$4:$F$515)/$B$10)-(2/3)*((H519-$F$4:$F$515)/$B$10)^3+(1/5)*((H519-$F$4:$F$515)/$B$10)^5+8/15))))/COUNT($F$4:$F$515)</f>
        <v>1.953125E-3</v>
      </c>
      <c r="H519" s="5">
        <f t="shared" si="26"/>
        <v>-4.5954939878499343E-2</v>
      </c>
      <c r="K519" s="4">
        <v>0.01</v>
      </c>
      <c r="L519" s="5">
        <f t="shared" si="24"/>
        <v>-1.6954939878499008E-2</v>
      </c>
    </row>
    <row r="520" spans="4:12" ht="14.4" customHeight="1">
      <c r="D520" s="14">
        <v>42741</v>
      </c>
      <c r="E520" s="15">
        <v>5.5629999999999997</v>
      </c>
      <c r="F520" s="15">
        <f t="shared" si="25"/>
        <v>-2.4910309235408475E-3</v>
      </c>
      <c r="G520" s="16" cm="1">
        <f t="array" ref="G520">SUMPRODUCT(IF(((H520-$F$4:$F$515)/$B$10)&lt;=-1,0,IF(((H520-$F$4:$F$515)/$B$10)&gt;=1,1,(15/16)*(((H520-$F$4:$F$515)/$B$10)-(2/3)*((H520-$F$4:$F$515)/$B$10)^3+(1/5)*((H520-$F$4:$F$515)/$B$10)^5+8/15))))/COUNT($F$4:$F$515)</f>
        <v>1.953125E-3</v>
      </c>
      <c r="H520" s="15">
        <f t="shared" si="26"/>
        <v>-4.585493987849934E-2</v>
      </c>
      <c r="K520" s="14">
        <v>0.01</v>
      </c>
      <c r="L520" s="15">
        <f t="shared" si="24"/>
        <v>-1.6954939878499008E-2</v>
      </c>
    </row>
    <row r="521" spans="4:12" ht="14.4" customHeight="1">
      <c r="D521" s="4">
        <v>42744</v>
      </c>
      <c r="E521" s="5">
        <v>5.4480000000000004</v>
      </c>
      <c r="F521" s="5">
        <f t="shared" si="25"/>
        <v>-9.0719610360992034E-3</v>
      </c>
      <c r="G521" s="3" cm="1">
        <f t="array" ref="G521">SUMPRODUCT(IF(((H521-$F$4:$F$515)/$B$10)&lt;=-1,0,IF(((H521-$F$4:$F$515)/$B$10)&gt;=1,1,(15/16)*(((H521-$F$4:$F$515)/$B$10)-(2/3)*((H521-$F$4:$F$515)/$B$10)^3+(1/5)*((H521-$F$4:$F$515)/$B$10)^5+8/15))))/COUNT($F$4:$F$515)</f>
        <v>1.953125E-3</v>
      </c>
      <c r="H521" s="5">
        <f t="shared" si="26"/>
        <v>-4.5754939878499337E-2</v>
      </c>
      <c r="K521" s="4">
        <v>0.01</v>
      </c>
      <c r="L521" s="5">
        <f t="shared" si="24"/>
        <v>-1.6954939878499008E-2</v>
      </c>
    </row>
    <row r="522" spans="4:12" ht="14.4" customHeight="1">
      <c r="D522" s="14">
        <v>42745</v>
      </c>
      <c r="E522" s="15">
        <v>5.4850000000000003</v>
      </c>
      <c r="F522" s="15">
        <f t="shared" si="25"/>
        <v>2.9395330060012288E-3</v>
      </c>
      <c r="G522" s="16" cm="1">
        <f t="array" ref="G522">SUMPRODUCT(IF(((H522-$F$4:$F$515)/$B$10)&lt;=-1,0,IF(((H522-$F$4:$F$515)/$B$10)&gt;=1,1,(15/16)*(((H522-$F$4:$F$515)/$B$10)-(2/3)*((H522-$F$4:$F$515)/$B$10)^3+(1/5)*((H522-$F$4:$F$515)/$B$10)^5+8/15))))/COUNT($F$4:$F$515)</f>
        <v>1.953125E-3</v>
      </c>
      <c r="H522" s="15">
        <f t="shared" si="26"/>
        <v>-4.5654939878499334E-2</v>
      </c>
      <c r="K522" s="14">
        <v>0.01</v>
      </c>
      <c r="L522" s="15">
        <f t="shared" si="24"/>
        <v>-1.6954939878499008E-2</v>
      </c>
    </row>
    <row r="523" spans="4:12" ht="14.4" customHeight="1">
      <c r="D523" s="4">
        <v>42746</v>
      </c>
      <c r="E523" s="5">
        <v>5.4370000000000003</v>
      </c>
      <c r="F523" s="5">
        <f t="shared" si="25"/>
        <v>-3.8172989090191796E-3</v>
      </c>
      <c r="G523" s="3" cm="1">
        <f t="array" ref="G523">SUMPRODUCT(IF(((H523-$F$4:$F$515)/$B$10)&lt;=-1,0,IF(((H523-$F$4:$F$515)/$B$10)&gt;=1,1,(15/16)*(((H523-$F$4:$F$515)/$B$10)-(2/3)*((H523-$F$4:$F$515)/$B$10)^3+(1/5)*((H523-$F$4:$F$515)/$B$10)^5+8/15))))/COUNT($F$4:$F$515)</f>
        <v>1.953125E-3</v>
      </c>
      <c r="H523" s="5">
        <f t="shared" si="26"/>
        <v>-4.5554939878499331E-2</v>
      </c>
      <c r="K523" s="4">
        <v>0.01</v>
      </c>
      <c r="L523" s="5">
        <f t="shared" si="24"/>
        <v>-1.6954939878499008E-2</v>
      </c>
    </row>
    <row r="524" spans="4:12" ht="14.4" customHeight="1">
      <c r="D524" s="14">
        <v>42747</v>
      </c>
      <c r="E524" s="15">
        <v>5.4379999999999997</v>
      </c>
      <c r="F524" s="15">
        <f t="shared" si="25"/>
        <v>7.9870249770528119E-5</v>
      </c>
      <c r="G524" s="16" cm="1">
        <f t="array" ref="G524">SUMPRODUCT(IF(((H524-$F$4:$F$515)/$B$10)&lt;=-1,0,IF(((H524-$F$4:$F$515)/$B$10)&gt;=1,1,(15/16)*(((H524-$F$4:$F$515)/$B$10)-(2/3)*((H524-$F$4:$F$515)/$B$10)^3+(1/5)*((H524-$F$4:$F$515)/$B$10)^5+8/15))))/COUNT($F$4:$F$515)</f>
        <v>1.953125E-3</v>
      </c>
      <c r="H524" s="15">
        <f t="shared" si="26"/>
        <v>-4.5454939878499329E-2</v>
      </c>
      <c r="K524" s="14">
        <v>0.01</v>
      </c>
      <c r="L524" s="15">
        <f t="shared" si="24"/>
        <v>-1.6954939878499008E-2</v>
      </c>
    </row>
    <row r="525" spans="4:12" ht="14.4" customHeight="1">
      <c r="D525" s="4">
        <v>42748</v>
      </c>
      <c r="E525" s="5">
        <v>5.6059999999999999</v>
      </c>
      <c r="F525" s="5">
        <f t="shared" si="25"/>
        <v>1.3213890172786015E-2</v>
      </c>
      <c r="G525" s="3" cm="1">
        <f t="array" ref="G525">SUMPRODUCT(IF(((H525-$F$4:$F$515)/$B$10)&lt;=-1,0,IF(((H525-$F$4:$F$515)/$B$10)&gt;=1,1,(15/16)*(((H525-$F$4:$F$515)/$B$10)-(2/3)*((H525-$F$4:$F$515)/$B$10)^3+(1/5)*((H525-$F$4:$F$515)/$B$10)^5+8/15))))/COUNT($F$4:$F$515)</f>
        <v>1.953125E-3</v>
      </c>
      <c r="H525" s="5">
        <f t="shared" si="26"/>
        <v>-4.5354939878499326E-2</v>
      </c>
      <c r="K525" s="4">
        <v>0.01</v>
      </c>
      <c r="L525" s="5">
        <f t="shared" si="24"/>
        <v>-1.6954939878499008E-2</v>
      </c>
    </row>
    <row r="526" spans="4:12" ht="14.4" customHeight="1">
      <c r="D526" s="14">
        <v>42751</v>
      </c>
      <c r="E526" s="15">
        <v>5.577</v>
      </c>
      <c r="F526" s="15">
        <f t="shared" si="25"/>
        <v>-2.2524489327063152E-3</v>
      </c>
      <c r="G526" s="16" cm="1">
        <f t="array" ref="G526">SUMPRODUCT(IF(((H526-$F$4:$F$515)/$B$10)&lt;=-1,0,IF(((H526-$F$4:$F$515)/$B$10)&gt;=1,1,(15/16)*(((H526-$F$4:$F$515)/$B$10)-(2/3)*((H526-$F$4:$F$515)/$B$10)^3+(1/5)*((H526-$F$4:$F$515)/$B$10)^5+8/15))))/COUNT($F$4:$F$515)</f>
        <v>1.953125E-3</v>
      </c>
      <c r="H526" s="15">
        <f t="shared" si="26"/>
        <v>-4.5254939878499323E-2</v>
      </c>
      <c r="K526" s="14">
        <v>0.01</v>
      </c>
      <c r="L526" s="15">
        <f t="shared" si="24"/>
        <v>-1.6954939878499008E-2</v>
      </c>
    </row>
    <row r="527" spans="4:12" ht="14.4" customHeight="1">
      <c r="D527" s="4">
        <v>42752</v>
      </c>
      <c r="E527" s="5">
        <v>5.4880000000000004</v>
      </c>
      <c r="F527" s="5">
        <f t="shared" si="25"/>
        <v>-6.9865417928656861E-3</v>
      </c>
      <c r="G527" s="3" cm="1">
        <f t="array" ref="G527">SUMPRODUCT(IF(((H527-$F$4:$F$515)/$B$10)&lt;=-1,0,IF(((H527-$F$4:$F$515)/$B$10)&gt;=1,1,(15/16)*(((H527-$F$4:$F$515)/$B$10)-(2/3)*((H527-$F$4:$F$515)/$B$10)^3+(1/5)*((H527-$F$4:$F$515)/$B$10)^5+8/15))))/COUNT($F$4:$F$515)</f>
        <v>1.953125E-3</v>
      </c>
      <c r="H527" s="5">
        <f t="shared" si="26"/>
        <v>-4.515493987849932E-2</v>
      </c>
      <c r="K527" s="4">
        <v>0.01</v>
      </c>
      <c r="L527" s="5">
        <f t="shared" si="24"/>
        <v>-1.6954939878499008E-2</v>
      </c>
    </row>
    <row r="528" spans="4:12" ht="14.4" customHeight="1">
      <c r="D528" s="14">
        <v>42753</v>
      </c>
      <c r="E528" s="15">
        <v>5.4509999999999996</v>
      </c>
      <c r="F528" s="15">
        <f t="shared" si="25"/>
        <v>-2.9379206709985797E-3</v>
      </c>
      <c r="G528" s="16" cm="1">
        <f t="array" ref="G528">SUMPRODUCT(IF(((H528-$F$4:$F$515)/$B$10)&lt;=-1,0,IF(((H528-$F$4:$F$515)/$B$10)&gt;=1,1,(15/16)*(((H528-$F$4:$F$515)/$B$10)-(2/3)*((H528-$F$4:$F$515)/$B$10)^3+(1/5)*((H528-$F$4:$F$515)/$B$10)^5+8/15))))/COUNT($F$4:$F$515)</f>
        <v>1.953125E-3</v>
      </c>
      <c r="H528" s="15">
        <f t="shared" si="26"/>
        <v>-4.5054939878499317E-2</v>
      </c>
      <c r="K528" s="14">
        <v>0.01</v>
      </c>
      <c r="L528" s="15">
        <f t="shared" si="24"/>
        <v>-1.6954939878499008E-2</v>
      </c>
    </row>
    <row r="529" spans="4:12" ht="14.4" customHeight="1">
      <c r="D529" s="4">
        <v>42754</v>
      </c>
      <c r="E529" s="5">
        <v>5.5</v>
      </c>
      <c r="F529" s="5">
        <f t="shared" si="25"/>
        <v>3.8865074665471329E-3</v>
      </c>
      <c r="G529" s="3" cm="1">
        <f t="array" ref="G529">SUMPRODUCT(IF(((H529-$F$4:$F$515)/$B$10)&lt;=-1,0,IF(((H529-$F$4:$F$515)/$B$10)&gt;=1,1,(15/16)*(((H529-$F$4:$F$515)/$B$10)-(2/3)*((H529-$F$4:$F$515)/$B$10)^3+(1/5)*((H529-$F$4:$F$515)/$B$10)^5+8/15))))/COUNT($F$4:$F$515)</f>
        <v>1.953125E-3</v>
      </c>
      <c r="H529" s="5">
        <f t="shared" si="26"/>
        <v>-4.4954939878499314E-2</v>
      </c>
      <c r="K529" s="4">
        <v>0.01</v>
      </c>
      <c r="L529" s="5">
        <f t="shared" si="24"/>
        <v>-1.6954939878499008E-2</v>
      </c>
    </row>
    <row r="530" spans="4:12" ht="14.4" customHeight="1">
      <c r="D530" s="14">
        <v>42755</v>
      </c>
      <c r="E530" s="15">
        <v>5.4950000000000001</v>
      </c>
      <c r="F530" s="15">
        <f t="shared" si="25"/>
        <v>-3.9499273473445171E-4</v>
      </c>
      <c r="G530" s="16" cm="1">
        <f t="array" ref="G530">SUMPRODUCT(IF(((H530-$F$4:$F$515)/$B$10)&lt;=-1,0,IF(((H530-$F$4:$F$515)/$B$10)&gt;=1,1,(15/16)*(((H530-$F$4:$F$515)/$B$10)-(2/3)*((H530-$F$4:$F$515)/$B$10)^3+(1/5)*((H530-$F$4:$F$515)/$B$10)^5+8/15))))/COUNT($F$4:$F$515)</f>
        <v>1.953125E-3</v>
      </c>
      <c r="H530" s="15">
        <f t="shared" si="26"/>
        <v>-4.4854939878499311E-2</v>
      </c>
      <c r="K530" s="14">
        <v>0.01</v>
      </c>
      <c r="L530" s="15">
        <f t="shared" si="24"/>
        <v>-1.6954939878499008E-2</v>
      </c>
    </row>
    <row r="531" spans="4:12" ht="14.4" customHeight="1">
      <c r="D531" s="4">
        <v>42758</v>
      </c>
      <c r="E531" s="5">
        <v>5.3550000000000004</v>
      </c>
      <c r="F531" s="5">
        <f t="shared" si="25"/>
        <v>-1.1208221591634931E-2</v>
      </c>
      <c r="G531" s="3" cm="1">
        <f t="array" ref="G531">SUMPRODUCT(IF(((H531-$F$4:$F$515)/$B$10)&lt;=-1,0,IF(((H531-$F$4:$F$515)/$B$10)&gt;=1,1,(15/16)*(((H531-$F$4:$F$515)/$B$10)-(2/3)*((H531-$F$4:$F$515)/$B$10)^3+(1/5)*((H531-$F$4:$F$515)/$B$10)^5+8/15))))/COUNT($F$4:$F$515)</f>
        <v>1.953125E-3</v>
      </c>
      <c r="H531" s="5">
        <f t="shared" si="26"/>
        <v>-4.4754939878499309E-2</v>
      </c>
      <c r="K531" s="4">
        <v>0.01</v>
      </c>
      <c r="L531" s="5">
        <f t="shared" si="24"/>
        <v>-1.6954939878499008E-2</v>
      </c>
    </row>
    <row r="532" spans="4:12" ht="14.4" customHeight="1">
      <c r="D532" s="14">
        <v>42759</v>
      </c>
      <c r="E532" s="15">
        <v>5.415</v>
      </c>
      <c r="F532" s="15">
        <f t="shared" si="25"/>
        <v>4.8389857934647094E-3</v>
      </c>
      <c r="G532" s="16" cm="1">
        <f t="array" ref="G532">SUMPRODUCT(IF(((H532-$F$4:$F$515)/$B$10)&lt;=-1,0,IF(((H532-$F$4:$F$515)/$B$10)&gt;=1,1,(15/16)*(((H532-$F$4:$F$515)/$B$10)-(2/3)*((H532-$F$4:$F$515)/$B$10)^3+(1/5)*((H532-$F$4:$F$515)/$B$10)^5+8/15))))/COUNT($F$4:$F$515)</f>
        <v>1.953125E-3</v>
      </c>
      <c r="H532" s="15">
        <f t="shared" si="26"/>
        <v>-4.4654939878499306E-2</v>
      </c>
      <c r="K532" s="14">
        <v>0.01</v>
      </c>
      <c r="L532" s="15">
        <f t="shared" si="24"/>
        <v>-1.6954939878499008E-2</v>
      </c>
    </row>
    <row r="533" spans="4:12" ht="14.4" customHeight="1">
      <c r="D533" s="4">
        <v>42760</v>
      </c>
      <c r="E533" s="5">
        <v>5.6890000000000001</v>
      </c>
      <c r="F533" s="5">
        <f t="shared" si="25"/>
        <v>2.1437472806432371E-2</v>
      </c>
      <c r="G533" s="3" cm="1">
        <f t="array" ref="G533">SUMPRODUCT(IF(((H533-$F$4:$F$515)/$B$10)&lt;=-1,0,IF(((H533-$F$4:$F$515)/$B$10)&gt;=1,1,(15/16)*(((H533-$F$4:$F$515)/$B$10)-(2/3)*((H533-$F$4:$F$515)/$B$10)^3+(1/5)*((H533-$F$4:$F$515)/$B$10)^5+8/15))))/COUNT($F$4:$F$515)</f>
        <v>1.953125E-3</v>
      </c>
      <c r="H533" s="5">
        <f t="shared" si="26"/>
        <v>-4.4554939878499303E-2</v>
      </c>
      <c r="K533" s="4">
        <v>0.01</v>
      </c>
      <c r="L533" s="5">
        <f t="shared" si="24"/>
        <v>-1.6954939878499008E-2</v>
      </c>
    </row>
    <row r="534" spans="4:12" ht="14.4" customHeight="1">
      <c r="D534" s="14">
        <v>42761</v>
      </c>
      <c r="E534" s="15">
        <v>5.65</v>
      </c>
      <c r="F534" s="15">
        <f t="shared" si="25"/>
        <v>-2.9874859483329983E-3</v>
      </c>
      <c r="G534" s="16" cm="1">
        <f t="array" ref="G534">SUMPRODUCT(IF(((H534-$F$4:$F$515)/$B$10)&lt;=-1,0,IF(((H534-$F$4:$F$515)/$B$10)&gt;=1,1,(15/16)*(((H534-$F$4:$F$515)/$B$10)-(2/3)*((H534-$F$4:$F$515)/$B$10)^3+(1/5)*((H534-$F$4:$F$515)/$B$10)^5+8/15))))/COUNT($F$4:$F$515)</f>
        <v>1.953125E-3</v>
      </c>
      <c r="H534" s="15">
        <f t="shared" si="26"/>
        <v>-4.44549398784993E-2</v>
      </c>
      <c r="K534" s="14">
        <v>0.01</v>
      </c>
      <c r="L534" s="15">
        <f t="shared" si="24"/>
        <v>-1.6954939878499008E-2</v>
      </c>
    </row>
    <row r="535" spans="4:12" ht="14.4" customHeight="1">
      <c r="D535" s="4">
        <v>42762</v>
      </c>
      <c r="E535" s="5">
        <v>5.64</v>
      </c>
      <c r="F535" s="5">
        <f t="shared" si="25"/>
        <v>-7.693438360962656E-4</v>
      </c>
      <c r="G535" s="3" cm="1">
        <f t="array" ref="G535">SUMPRODUCT(IF(((H535-$F$4:$F$515)/$B$10)&lt;=-1,0,IF(((H535-$F$4:$F$515)/$B$10)&gt;=1,1,(15/16)*(((H535-$F$4:$F$515)/$B$10)-(2/3)*((H535-$F$4:$F$515)/$B$10)^3+(1/5)*((H535-$F$4:$F$515)/$B$10)^5+8/15))))/COUNT($F$4:$F$515)</f>
        <v>1.953125E-3</v>
      </c>
      <c r="H535" s="5">
        <f t="shared" si="26"/>
        <v>-4.4354939878499297E-2</v>
      </c>
      <c r="K535" s="4">
        <v>0.01</v>
      </c>
      <c r="L535" s="5">
        <f t="shared" si="24"/>
        <v>-1.6954939878499008E-2</v>
      </c>
    </row>
    <row r="536" spans="4:12" ht="14.4" customHeight="1">
      <c r="D536" s="14">
        <v>42765</v>
      </c>
      <c r="E536" s="15">
        <v>5.5640000000000001</v>
      </c>
      <c r="F536" s="15">
        <f t="shared" si="25"/>
        <v>-5.8919826633334754E-3</v>
      </c>
      <c r="G536" s="16" cm="1">
        <f t="array" ref="G536">SUMPRODUCT(IF(((H536-$F$4:$F$515)/$B$10)&lt;=-1,0,IF(((H536-$F$4:$F$515)/$B$10)&gt;=1,1,(15/16)*(((H536-$F$4:$F$515)/$B$10)-(2/3)*((H536-$F$4:$F$515)/$B$10)^3+(1/5)*((H536-$F$4:$F$515)/$B$10)^5+8/15))))/COUNT($F$4:$F$515)</f>
        <v>1.953125E-3</v>
      </c>
      <c r="H536" s="15">
        <f t="shared" si="26"/>
        <v>-4.4254939878499294E-2</v>
      </c>
      <c r="K536" s="14">
        <v>0.01</v>
      </c>
      <c r="L536" s="15">
        <f t="shared" si="24"/>
        <v>-1.6954939878499008E-2</v>
      </c>
    </row>
    <row r="537" spans="4:12" ht="14.4" customHeight="1">
      <c r="D537" s="4">
        <v>42766</v>
      </c>
      <c r="E537" s="5">
        <v>5.4850000000000003</v>
      </c>
      <c r="F537" s="5">
        <f t="shared" si="25"/>
        <v>-6.2104894092788292E-3</v>
      </c>
      <c r="G537" s="3" cm="1">
        <f t="array" ref="G537">SUMPRODUCT(IF(((H537-$F$4:$F$515)/$B$10)&lt;=-1,0,IF(((H537-$F$4:$F$515)/$B$10)&gt;=1,1,(15/16)*(((H537-$F$4:$F$515)/$B$10)-(2/3)*((H537-$F$4:$F$515)/$B$10)^3+(1/5)*((H537-$F$4:$F$515)/$B$10)^5+8/15))))/COUNT($F$4:$F$515)</f>
        <v>1.953125E-3</v>
      </c>
      <c r="H537" s="5">
        <f t="shared" si="26"/>
        <v>-4.4154939878499291E-2</v>
      </c>
      <c r="K537" s="4">
        <v>0.01</v>
      </c>
      <c r="L537" s="5">
        <f t="shared" si="24"/>
        <v>-1.6954939878499008E-2</v>
      </c>
    </row>
    <row r="538" spans="4:12" ht="14.4" customHeight="1">
      <c r="D538" s="14">
        <v>42767</v>
      </c>
      <c r="E538" s="15">
        <v>5.5789999999999997</v>
      </c>
      <c r="F538" s="15">
        <f t="shared" si="25"/>
        <v>7.3797294996392265E-3</v>
      </c>
      <c r="G538" s="16" cm="1">
        <f t="array" ref="G538">SUMPRODUCT(IF(((H538-$F$4:$F$515)/$B$10)&lt;=-1,0,IF(((H538-$F$4:$F$515)/$B$10)&gt;=1,1,(15/16)*(((H538-$F$4:$F$515)/$B$10)-(2/3)*((H538-$F$4:$F$515)/$B$10)^3+(1/5)*((H538-$F$4:$F$515)/$B$10)^5+8/15))))/COUNT($F$4:$F$515)</f>
        <v>1.953125E-3</v>
      </c>
      <c r="H538" s="15">
        <f t="shared" si="26"/>
        <v>-4.4054939878499288E-2</v>
      </c>
      <c r="K538" s="14">
        <v>0.01</v>
      </c>
      <c r="L538" s="15">
        <f t="shared" si="24"/>
        <v>-1.6954939878499008E-2</v>
      </c>
    </row>
    <row r="539" spans="4:12" ht="14.4" customHeight="1">
      <c r="D539" s="4">
        <v>42768</v>
      </c>
      <c r="E539" s="5">
        <v>5.569</v>
      </c>
      <c r="F539" s="5">
        <f t="shared" si="25"/>
        <v>-7.7914352061008189E-4</v>
      </c>
      <c r="G539" s="3" cm="1">
        <f t="array" ref="G539">SUMPRODUCT(IF(((H539-$F$4:$F$515)/$B$10)&lt;=-1,0,IF(((H539-$F$4:$F$515)/$B$10)&gt;=1,1,(15/16)*(((H539-$F$4:$F$515)/$B$10)-(2/3)*((H539-$F$4:$F$515)/$B$10)^3+(1/5)*((H539-$F$4:$F$515)/$B$10)^5+8/15))))/COUNT($F$4:$F$515)</f>
        <v>1.953125E-3</v>
      </c>
      <c r="H539" s="5">
        <f t="shared" si="26"/>
        <v>-4.3954939878499286E-2</v>
      </c>
      <c r="K539" s="4">
        <v>0.01</v>
      </c>
      <c r="L539" s="5">
        <f t="shared" si="24"/>
        <v>-1.6954939878499008E-2</v>
      </c>
    </row>
    <row r="540" spans="4:12" ht="14.4" customHeight="1">
      <c r="D540" s="14">
        <v>42769</v>
      </c>
      <c r="E540" s="15">
        <v>5.57</v>
      </c>
      <c r="F540" s="15">
        <f t="shared" si="25"/>
        <v>7.7977283969890533E-5</v>
      </c>
      <c r="G540" s="16" cm="1">
        <f t="array" ref="G540">SUMPRODUCT(IF(((H540-$F$4:$F$515)/$B$10)&lt;=-1,0,IF(((H540-$F$4:$F$515)/$B$10)&gt;=1,1,(15/16)*(((H540-$F$4:$F$515)/$B$10)-(2/3)*((H540-$F$4:$F$515)/$B$10)^3+(1/5)*((H540-$F$4:$F$515)/$B$10)^5+8/15))))/COUNT($F$4:$F$515)</f>
        <v>1.953125E-3</v>
      </c>
      <c r="H540" s="15">
        <f t="shared" si="26"/>
        <v>-4.3854939878499283E-2</v>
      </c>
      <c r="K540" s="14">
        <v>0.01</v>
      </c>
      <c r="L540" s="15">
        <f t="shared" si="24"/>
        <v>-1.6954939878499008E-2</v>
      </c>
    </row>
    <row r="541" spans="4:12" ht="14.4" customHeight="1">
      <c r="D541" s="4">
        <v>42772</v>
      </c>
      <c r="E541" s="5">
        <v>5.5090000000000003</v>
      </c>
      <c r="F541" s="5">
        <f t="shared" si="25"/>
        <v>-4.7824228004075082E-3</v>
      </c>
      <c r="G541" s="3" cm="1">
        <f t="array" ref="G541">SUMPRODUCT(IF(((H541-$F$4:$F$515)/$B$10)&lt;=-1,0,IF(((H541-$F$4:$F$515)/$B$10)&gt;=1,1,(15/16)*(((H541-$F$4:$F$515)/$B$10)-(2/3)*((H541-$F$4:$F$515)/$B$10)^3+(1/5)*((H541-$F$4:$F$515)/$B$10)^5+8/15))))/COUNT($F$4:$F$515)</f>
        <v>1.953125E-3</v>
      </c>
      <c r="H541" s="5">
        <f t="shared" si="26"/>
        <v>-4.375493987849928E-2</v>
      </c>
      <c r="K541" s="4">
        <v>0.01</v>
      </c>
      <c r="L541" s="5">
        <f t="shared" si="24"/>
        <v>-1.6954939878499008E-2</v>
      </c>
    </row>
    <row r="542" spans="4:12" ht="14.4" customHeight="1">
      <c r="D542" s="14">
        <v>42773</v>
      </c>
      <c r="E542" s="15">
        <v>5.399</v>
      </c>
      <c r="F542" s="15">
        <f t="shared" si="25"/>
        <v>-8.7594449020789254E-3</v>
      </c>
      <c r="G542" s="16" cm="1">
        <f t="array" ref="G542">SUMPRODUCT(IF(((H542-$F$4:$F$515)/$B$10)&lt;=-1,0,IF(((H542-$F$4:$F$515)/$B$10)&gt;=1,1,(15/16)*(((H542-$F$4:$F$515)/$B$10)-(2/3)*((H542-$F$4:$F$515)/$B$10)^3+(1/5)*((H542-$F$4:$F$515)/$B$10)^5+8/15))))/COUNT($F$4:$F$515)</f>
        <v>1.953125E-3</v>
      </c>
      <c r="H542" s="15">
        <f t="shared" si="26"/>
        <v>-4.3654939878499277E-2</v>
      </c>
      <c r="K542" s="14">
        <v>0.01</v>
      </c>
      <c r="L542" s="15">
        <f t="shared" si="24"/>
        <v>-1.6954939878499008E-2</v>
      </c>
    </row>
    <row r="543" spans="4:12" ht="14.4" customHeight="1">
      <c r="D543" s="4">
        <v>42774</v>
      </c>
      <c r="E543" s="5">
        <v>5.2279999999999998</v>
      </c>
      <c r="F543" s="5">
        <f t="shared" si="25"/>
        <v>-1.3977748562735834E-2</v>
      </c>
      <c r="G543" s="3" cm="1">
        <f t="array" ref="G543">SUMPRODUCT(IF(((H543-$F$4:$F$515)/$B$10)&lt;=-1,0,IF(((H543-$F$4:$F$515)/$B$10)&gt;=1,1,(15/16)*(((H543-$F$4:$F$515)/$B$10)-(2/3)*((H543-$F$4:$F$515)/$B$10)^3+(1/5)*((H543-$F$4:$F$515)/$B$10)^5+8/15))))/COUNT($F$4:$F$515)</f>
        <v>1.953125E-3</v>
      </c>
      <c r="H543" s="5">
        <f t="shared" si="26"/>
        <v>-4.3554939878499274E-2</v>
      </c>
      <c r="K543" s="4">
        <v>0.01</v>
      </c>
      <c r="L543" s="5">
        <f t="shared" si="24"/>
        <v>-1.6954939878499008E-2</v>
      </c>
    </row>
    <row r="544" spans="4:12" ht="14.4" customHeight="1">
      <c r="D544" s="14">
        <v>42775</v>
      </c>
      <c r="E544" s="15">
        <v>5.327</v>
      </c>
      <c r="F544" s="15">
        <f t="shared" si="25"/>
        <v>8.1471178763229714E-3</v>
      </c>
      <c r="G544" s="16" cm="1">
        <f t="array" ref="G544">SUMPRODUCT(IF(((H544-$F$4:$F$515)/$B$10)&lt;=-1,0,IF(((H544-$F$4:$F$515)/$B$10)&gt;=1,1,(15/16)*(((H544-$F$4:$F$515)/$B$10)-(2/3)*((H544-$F$4:$F$515)/$B$10)^3+(1/5)*((H544-$F$4:$F$515)/$B$10)^5+8/15))))/COUNT($F$4:$F$515)</f>
        <v>1.953125E-3</v>
      </c>
      <c r="H544" s="15">
        <f t="shared" si="26"/>
        <v>-4.3454939878499271E-2</v>
      </c>
      <c r="K544" s="14">
        <v>0.01</v>
      </c>
      <c r="L544" s="15">
        <f t="shared" si="24"/>
        <v>-1.6954939878499008E-2</v>
      </c>
    </row>
    <row r="545" spans="4:12" ht="14.4" customHeight="1">
      <c r="D545" s="4">
        <v>42776</v>
      </c>
      <c r="E545" s="5">
        <v>5.45</v>
      </c>
      <c r="F545" s="5">
        <f t="shared" si="25"/>
        <v>9.9138054918128139E-3</v>
      </c>
      <c r="G545" s="3" cm="1">
        <f t="array" ref="G545">SUMPRODUCT(IF(((H545-$F$4:$F$515)/$B$10)&lt;=-1,0,IF(((H545-$F$4:$F$515)/$B$10)&gt;=1,1,(15/16)*(((H545-$F$4:$F$515)/$B$10)-(2/3)*((H545-$F$4:$F$515)/$B$10)^3+(1/5)*((H545-$F$4:$F$515)/$B$10)^5+8/15))))/COUNT($F$4:$F$515)</f>
        <v>1.953125E-3</v>
      </c>
      <c r="H545" s="5">
        <f t="shared" si="26"/>
        <v>-4.3354939878499268E-2</v>
      </c>
      <c r="K545" s="4">
        <v>0.01</v>
      </c>
      <c r="L545" s="5">
        <f t="shared" si="24"/>
        <v>-1.6954939878499008E-2</v>
      </c>
    </row>
    <row r="546" spans="4:12" ht="14.4" customHeight="1">
      <c r="D546" s="14">
        <v>42779</v>
      </c>
      <c r="E546" s="15">
        <v>5.4790000000000001</v>
      </c>
      <c r="F546" s="15">
        <f t="shared" si="25"/>
        <v>2.3047981580673368E-3</v>
      </c>
      <c r="G546" s="16" cm="1">
        <f t="array" ref="G546">SUMPRODUCT(IF(((H546-$F$4:$F$515)/$B$10)&lt;=-1,0,IF(((H546-$F$4:$F$515)/$B$10)&gt;=1,1,(15/16)*(((H546-$F$4:$F$515)/$B$10)-(2/3)*((H546-$F$4:$F$515)/$B$10)^3+(1/5)*((H546-$F$4:$F$515)/$B$10)^5+8/15))))/COUNT($F$4:$F$515)</f>
        <v>1.953125E-3</v>
      </c>
      <c r="H546" s="15">
        <f t="shared" si="26"/>
        <v>-4.3254939878499266E-2</v>
      </c>
      <c r="K546" s="14">
        <v>0.01</v>
      </c>
      <c r="L546" s="15">
        <f t="shared" si="24"/>
        <v>-1.6954939878499008E-2</v>
      </c>
    </row>
    <row r="547" spans="4:12" ht="14.4" customHeight="1">
      <c r="D547" s="4">
        <v>42780</v>
      </c>
      <c r="E547" s="5">
        <v>5.52</v>
      </c>
      <c r="F547" s="5">
        <f t="shared" si="25"/>
        <v>3.237777294489094E-3</v>
      </c>
      <c r="G547" s="3" cm="1">
        <f t="array" ref="G547">SUMPRODUCT(IF(((H547-$F$4:$F$515)/$B$10)&lt;=-1,0,IF(((H547-$F$4:$F$515)/$B$10)&gt;=1,1,(15/16)*(((H547-$F$4:$F$515)/$B$10)-(2/3)*((H547-$F$4:$F$515)/$B$10)^3+(1/5)*((H547-$F$4:$F$515)/$B$10)^5+8/15))))/COUNT($F$4:$F$515)</f>
        <v>1.953125E-3</v>
      </c>
      <c r="H547" s="5">
        <f t="shared" si="26"/>
        <v>-4.3154939878499263E-2</v>
      </c>
      <c r="K547" s="4">
        <v>0.01</v>
      </c>
      <c r="L547" s="5">
        <f t="shared" si="24"/>
        <v>-1.6954939878499008E-2</v>
      </c>
    </row>
    <row r="548" spans="4:12" ht="14.4" customHeight="1">
      <c r="D548" s="14">
        <v>42781</v>
      </c>
      <c r="E548" s="15">
        <v>5.64</v>
      </c>
      <c r="F548" s="15">
        <f t="shared" si="25"/>
        <v>9.3400262541434315E-3</v>
      </c>
      <c r="G548" s="16" cm="1">
        <f t="array" ref="G548">SUMPRODUCT(IF(((H548-$F$4:$F$515)/$B$10)&lt;=-1,0,IF(((H548-$F$4:$F$515)/$B$10)&gt;=1,1,(15/16)*(((H548-$F$4:$F$515)/$B$10)-(2/3)*((H548-$F$4:$F$515)/$B$10)^3+(1/5)*((H548-$F$4:$F$515)/$B$10)^5+8/15))))/COUNT($F$4:$F$515)</f>
        <v>1.953125E-3</v>
      </c>
      <c r="H548" s="15">
        <f t="shared" si="26"/>
        <v>-4.305493987849926E-2</v>
      </c>
      <c r="K548" s="14">
        <v>0.01</v>
      </c>
      <c r="L548" s="15">
        <f t="shared" si="24"/>
        <v>-1.6954939878499008E-2</v>
      </c>
    </row>
    <row r="549" spans="4:12" ht="14.4" customHeight="1">
      <c r="D549" s="4">
        <v>42782</v>
      </c>
      <c r="E549" s="5">
        <v>5.601</v>
      </c>
      <c r="F549" s="5">
        <f t="shared" si="25"/>
        <v>-3.0135313146015348E-3</v>
      </c>
      <c r="G549" s="3" cm="1">
        <f t="array" ref="G549">SUMPRODUCT(IF(((H549-$F$4:$F$515)/$B$10)&lt;=-1,0,IF(((H549-$F$4:$F$515)/$B$10)&gt;=1,1,(15/16)*(((H549-$F$4:$F$515)/$B$10)-(2/3)*((H549-$F$4:$F$515)/$B$10)^3+(1/5)*((H549-$F$4:$F$515)/$B$10)^5+8/15))))/COUNT($F$4:$F$515)</f>
        <v>1.953125E-3</v>
      </c>
      <c r="H549" s="5">
        <f t="shared" si="26"/>
        <v>-4.2954939878499257E-2</v>
      </c>
      <c r="K549" s="4">
        <v>0.01</v>
      </c>
      <c r="L549" s="5">
        <f t="shared" si="24"/>
        <v>-1.6954939878499008E-2</v>
      </c>
    </row>
    <row r="550" spans="4:12" ht="14.4" customHeight="1">
      <c r="D550" s="14">
        <v>42783</v>
      </c>
      <c r="E550" s="15">
        <v>5.4969999999999999</v>
      </c>
      <c r="F550" s="15">
        <f t="shared" si="25"/>
        <v>-8.1398357030102019E-3</v>
      </c>
      <c r="G550" s="16" cm="1">
        <f t="array" ref="G550">SUMPRODUCT(IF(((H550-$F$4:$F$515)/$B$10)&lt;=-1,0,IF(((H550-$F$4:$F$515)/$B$10)&gt;=1,1,(15/16)*(((H550-$F$4:$F$515)/$B$10)-(2/3)*((H550-$F$4:$F$515)/$B$10)^3+(1/5)*((H550-$F$4:$F$515)/$B$10)^5+8/15))))/COUNT($F$4:$F$515)</f>
        <v>1.953125E-3</v>
      </c>
      <c r="H550" s="15">
        <f t="shared" si="26"/>
        <v>-4.2854939878499254E-2</v>
      </c>
      <c r="K550" s="14">
        <v>0.01</v>
      </c>
      <c r="L550" s="15">
        <f t="shared" si="24"/>
        <v>-1.6954939878499008E-2</v>
      </c>
    </row>
    <row r="551" spans="4:12" ht="14.4" customHeight="1">
      <c r="D551" s="4">
        <v>42786</v>
      </c>
      <c r="E551" s="5">
        <v>5.3929999999999998</v>
      </c>
      <c r="F551" s="5">
        <f t="shared" si="25"/>
        <v>-8.2953166775681809E-3</v>
      </c>
      <c r="G551" s="3" cm="1">
        <f t="array" ref="G551">SUMPRODUCT(IF(((H551-$F$4:$F$515)/$B$10)&lt;=-1,0,IF(((H551-$F$4:$F$515)/$B$10)&gt;=1,1,(15/16)*(((H551-$F$4:$F$515)/$B$10)-(2/3)*((H551-$F$4:$F$515)/$B$10)^3+(1/5)*((H551-$F$4:$F$515)/$B$10)^5+8/15))))/COUNT($F$4:$F$515)</f>
        <v>1.953125E-3</v>
      </c>
      <c r="H551" s="5">
        <f t="shared" si="26"/>
        <v>-4.2754939878499251E-2</v>
      </c>
      <c r="K551" s="4">
        <v>0.01</v>
      </c>
      <c r="L551" s="5">
        <f t="shared" si="24"/>
        <v>-1.6954939878499008E-2</v>
      </c>
    </row>
    <row r="552" spans="4:12" ht="14.4" customHeight="1">
      <c r="D552" s="14">
        <v>42787</v>
      </c>
      <c r="E552" s="15">
        <v>5.3360000000000003</v>
      </c>
      <c r="F552" s="15">
        <f t="shared" si="25"/>
        <v>-4.6145993796697935E-3</v>
      </c>
      <c r="G552" s="16" cm="1">
        <f t="array" ref="G552">SUMPRODUCT(IF(((H552-$F$4:$F$515)/$B$10)&lt;=-1,0,IF(((H552-$F$4:$F$515)/$B$10)&gt;=1,1,(15/16)*(((H552-$F$4:$F$515)/$B$10)-(2/3)*((H552-$F$4:$F$515)/$B$10)^3+(1/5)*((H552-$F$4:$F$515)/$B$10)^5+8/15))))/COUNT($F$4:$F$515)</f>
        <v>1.953125E-3</v>
      </c>
      <c r="H552" s="15">
        <f t="shared" si="26"/>
        <v>-4.2654939878499248E-2</v>
      </c>
      <c r="K552" s="14">
        <v>0.01</v>
      </c>
      <c r="L552" s="15">
        <f t="shared" si="24"/>
        <v>-1.6954939878499008E-2</v>
      </c>
    </row>
    <row r="553" spans="4:12" ht="14.4" customHeight="1">
      <c r="D553" s="4">
        <v>42788</v>
      </c>
      <c r="E553" s="5">
        <v>5.3010000000000002</v>
      </c>
      <c r="F553" s="5">
        <f t="shared" si="25"/>
        <v>-2.8580166820660656E-3</v>
      </c>
      <c r="G553" s="3" cm="1">
        <f t="array" ref="G553">SUMPRODUCT(IF(((H553-$F$4:$F$515)/$B$10)&lt;=-1,0,IF(((H553-$F$4:$F$515)/$B$10)&gt;=1,1,(15/16)*(((H553-$F$4:$F$515)/$B$10)-(2/3)*((H553-$F$4:$F$515)/$B$10)^3+(1/5)*((H553-$F$4:$F$515)/$B$10)^5+8/15))))/COUNT($F$4:$F$515)</f>
        <v>1.953125E-3</v>
      </c>
      <c r="H553" s="5">
        <f t="shared" si="26"/>
        <v>-4.2554939878499246E-2</v>
      </c>
      <c r="K553" s="4">
        <v>0.01</v>
      </c>
      <c r="L553" s="5">
        <f t="shared" si="24"/>
        <v>-1.6954939878499008E-2</v>
      </c>
    </row>
    <row r="554" spans="4:12" ht="14.4" customHeight="1">
      <c r="D554" s="14">
        <v>42789</v>
      </c>
      <c r="E554" s="15">
        <v>5.2460000000000004</v>
      </c>
      <c r="F554" s="15">
        <f t="shared" si="25"/>
        <v>-4.5295179720917546E-3</v>
      </c>
      <c r="G554" s="16" cm="1">
        <f t="array" ref="G554">SUMPRODUCT(IF(((H554-$F$4:$F$515)/$B$10)&lt;=-1,0,IF(((H554-$F$4:$F$515)/$B$10)&gt;=1,1,(15/16)*(((H554-$F$4:$F$515)/$B$10)-(2/3)*((H554-$F$4:$F$515)/$B$10)^3+(1/5)*((H554-$F$4:$F$515)/$B$10)^5+8/15))))/COUNT($F$4:$F$515)</f>
        <v>1.953125E-3</v>
      </c>
      <c r="H554" s="15">
        <f t="shared" si="26"/>
        <v>-4.2454939878499243E-2</v>
      </c>
      <c r="K554" s="14">
        <v>0.01</v>
      </c>
      <c r="L554" s="15">
        <f t="shared" si="24"/>
        <v>-1.6954939878499008E-2</v>
      </c>
    </row>
    <row r="555" spans="4:12" ht="14.4" customHeight="1">
      <c r="D555" s="4">
        <v>42790</v>
      </c>
      <c r="E555" s="5">
        <v>5.15</v>
      </c>
      <c r="F555" s="5">
        <f t="shared" si="25"/>
        <v>-8.0210572131437733E-3</v>
      </c>
      <c r="G555" s="3" cm="1">
        <f t="array" ref="G555">SUMPRODUCT(IF(((H555-$F$4:$F$515)/$B$10)&lt;=-1,0,IF(((H555-$F$4:$F$515)/$B$10)&gt;=1,1,(15/16)*(((H555-$F$4:$F$515)/$B$10)-(2/3)*((H555-$F$4:$F$515)/$B$10)^3+(1/5)*((H555-$F$4:$F$515)/$B$10)^5+8/15))))/COUNT($F$4:$F$515)</f>
        <v>1.953125E-3</v>
      </c>
      <c r="H555" s="5">
        <f t="shared" si="26"/>
        <v>-4.235493987849924E-2</v>
      </c>
      <c r="K555" s="4">
        <v>0.01</v>
      </c>
      <c r="L555" s="5">
        <f t="shared" si="24"/>
        <v>-1.6954939878499008E-2</v>
      </c>
    </row>
    <row r="556" spans="4:12" ht="14.4" customHeight="1">
      <c r="D556" s="14">
        <v>42793</v>
      </c>
      <c r="E556" s="15">
        <v>5.17</v>
      </c>
      <c r="F556" s="15">
        <f t="shared" si="25"/>
        <v>1.6833140527514753E-3</v>
      </c>
      <c r="G556" s="16" cm="1">
        <f t="array" ref="G556">SUMPRODUCT(IF(((H556-$F$4:$F$515)/$B$10)&lt;=-1,0,IF(((H556-$F$4:$F$515)/$B$10)&gt;=1,1,(15/16)*(((H556-$F$4:$F$515)/$B$10)-(2/3)*((H556-$F$4:$F$515)/$B$10)^3+(1/5)*((H556-$F$4:$F$515)/$B$10)^5+8/15))))/COUNT($F$4:$F$515)</f>
        <v>1.953125E-3</v>
      </c>
      <c r="H556" s="15">
        <f t="shared" si="26"/>
        <v>-4.2254939878499237E-2</v>
      </c>
      <c r="K556" s="14">
        <v>0.01</v>
      </c>
      <c r="L556" s="15">
        <f t="shared" si="24"/>
        <v>-1.6954939878499008E-2</v>
      </c>
    </row>
    <row r="557" spans="4:12" ht="14.4" customHeight="1">
      <c r="D557" s="4">
        <v>42794</v>
      </c>
      <c r="E557" s="5">
        <v>5.1509999999999998</v>
      </c>
      <c r="F557" s="5">
        <f t="shared" si="25"/>
        <v>-1.598993213363596E-3</v>
      </c>
      <c r="G557" s="3" cm="1">
        <f t="array" ref="G557">SUMPRODUCT(IF(((H557-$F$4:$F$515)/$B$10)&lt;=-1,0,IF(((H557-$F$4:$F$515)/$B$10)&gt;=1,1,(15/16)*(((H557-$F$4:$F$515)/$B$10)-(2/3)*((H557-$F$4:$F$515)/$B$10)^3+(1/5)*((H557-$F$4:$F$515)/$B$10)^5+8/15))))/COUNT($F$4:$F$515)</f>
        <v>1.953125E-3</v>
      </c>
      <c r="H557" s="5">
        <f t="shared" si="26"/>
        <v>-4.2154939878499234E-2</v>
      </c>
      <c r="K557" s="4">
        <v>0.01</v>
      </c>
      <c r="L557" s="5">
        <f t="shared" si="24"/>
        <v>-1.6954939878499008E-2</v>
      </c>
    </row>
    <row r="558" spans="4:12" ht="14.4" customHeight="1">
      <c r="D558" s="14">
        <v>42795</v>
      </c>
      <c r="E558" s="15">
        <v>5.3609999999999998</v>
      </c>
      <c r="F558" s="15">
        <f t="shared" si="25"/>
        <v>1.7354257344727689E-2</v>
      </c>
      <c r="G558" s="16" cm="1">
        <f t="array" ref="G558">SUMPRODUCT(IF(((H558-$F$4:$F$515)/$B$10)&lt;=-1,0,IF(((H558-$F$4:$F$515)/$B$10)&gt;=1,1,(15/16)*(((H558-$F$4:$F$515)/$B$10)-(2/3)*((H558-$F$4:$F$515)/$B$10)^3+(1/5)*((H558-$F$4:$F$515)/$B$10)^5+8/15))))/COUNT($F$4:$F$515)</f>
        <v>1.953125E-3</v>
      </c>
      <c r="H558" s="15">
        <f t="shared" si="26"/>
        <v>-4.2054939878499231E-2</v>
      </c>
      <c r="K558" s="14">
        <v>0.01</v>
      </c>
      <c r="L558" s="15">
        <f t="shared" si="24"/>
        <v>-1.6954939878499008E-2</v>
      </c>
    </row>
    <row r="559" spans="4:12" ht="14.4" customHeight="1">
      <c r="D559" s="4">
        <v>42796</v>
      </c>
      <c r="E559" s="5">
        <v>5.3739999999999997</v>
      </c>
      <c r="F559" s="5">
        <f t="shared" si="25"/>
        <v>1.0518548718429254E-3</v>
      </c>
      <c r="G559" s="3" cm="1">
        <f t="array" ref="G559">SUMPRODUCT(IF(((H559-$F$4:$F$515)/$B$10)&lt;=-1,0,IF(((H559-$F$4:$F$515)/$B$10)&gt;=1,1,(15/16)*(((H559-$F$4:$F$515)/$B$10)-(2/3)*((H559-$F$4:$F$515)/$B$10)^3+(1/5)*((H559-$F$4:$F$515)/$B$10)^5+8/15))))/COUNT($F$4:$F$515)</f>
        <v>1.953125E-3</v>
      </c>
      <c r="H559" s="5">
        <f t="shared" si="26"/>
        <v>-4.1954939878499228E-2</v>
      </c>
      <c r="K559" s="4">
        <v>0.01</v>
      </c>
      <c r="L559" s="5">
        <f t="shared" si="24"/>
        <v>-1.6954939878499008E-2</v>
      </c>
    </row>
    <row r="560" spans="4:12" ht="14.4" customHeight="1">
      <c r="D560" s="14">
        <v>42797</v>
      </c>
      <c r="E560" s="15">
        <v>5.5279999999999996</v>
      </c>
      <c r="F560" s="15">
        <f t="shared" si="25"/>
        <v>1.2270372268992314E-2</v>
      </c>
      <c r="G560" s="16" cm="1">
        <f t="array" ref="G560">SUMPRODUCT(IF(((H560-$F$4:$F$515)/$B$10)&lt;=-1,0,IF(((H560-$F$4:$F$515)/$B$10)&gt;=1,1,(15/16)*(((H560-$F$4:$F$515)/$B$10)-(2/3)*((H560-$F$4:$F$515)/$B$10)^3+(1/5)*((H560-$F$4:$F$515)/$B$10)^5+8/15))))/COUNT($F$4:$F$515)</f>
        <v>1.953125E-3</v>
      </c>
      <c r="H560" s="15">
        <f t="shared" si="26"/>
        <v>-4.1854939878499225E-2</v>
      </c>
      <c r="K560" s="14">
        <v>0.01</v>
      </c>
      <c r="L560" s="15">
        <f t="shared" si="24"/>
        <v>-1.6954939878499008E-2</v>
      </c>
    </row>
    <row r="561" spans="4:12" ht="14.4" customHeight="1">
      <c r="D561" s="4">
        <v>42800</v>
      </c>
      <c r="E561" s="5">
        <v>5.4349999999999996</v>
      </c>
      <c r="F561" s="5">
        <f t="shared" si="25"/>
        <v>-7.3684859438286551E-3</v>
      </c>
      <c r="G561" s="3" cm="1">
        <f t="array" ref="G561">SUMPRODUCT(IF(((H561-$F$4:$F$515)/$B$10)&lt;=-1,0,IF(((H561-$F$4:$F$515)/$B$10)&gt;=1,1,(15/16)*(((H561-$F$4:$F$515)/$B$10)-(2/3)*((H561-$F$4:$F$515)/$B$10)^3+(1/5)*((H561-$F$4:$F$515)/$B$10)^5+8/15))))/COUNT($F$4:$F$515)</f>
        <v>1.953125E-3</v>
      </c>
      <c r="H561" s="5">
        <f t="shared" si="26"/>
        <v>-4.1754939878499223E-2</v>
      </c>
      <c r="K561" s="4">
        <v>0.01</v>
      </c>
      <c r="L561" s="5">
        <f t="shared" si="24"/>
        <v>-1.6954939878499008E-2</v>
      </c>
    </row>
    <row r="562" spans="4:12" ht="14.4" customHeight="1">
      <c r="D562" s="14">
        <v>42801</v>
      </c>
      <c r="E562" s="15">
        <v>5.41</v>
      </c>
      <c r="F562" s="15">
        <f t="shared" si="25"/>
        <v>-2.0022833157438582E-3</v>
      </c>
      <c r="G562" s="16" cm="1">
        <f t="array" ref="G562">SUMPRODUCT(IF(((H562-$F$4:$F$515)/$B$10)&lt;=-1,0,IF(((H562-$F$4:$F$515)/$B$10)&gt;=1,1,(15/16)*(((H562-$F$4:$F$515)/$B$10)-(2/3)*((H562-$F$4:$F$515)/$B$10)^3+(1/5)*((H562-$F$4:$F$515)/$B$10)^5+8/15))))/COUNT($F$4:$F$515)</f>
        <v>1.953125E-3</v>
      </c>
      <c r="H562" s="15">
        <f t="shared" si="26"/>
        <v>-4.165493987849922E-2</v>
      </c>
      <c r="K562" s="14">
        <v>0.01</v>
      </c>
      <c r="L562" s="15">
        <f t="shared" si="24"/>
        <v>-1.6954939878499008E-2</v>
      </c>
    </row>
    <row r="563" spans="4:12" ht="14.4" customHeight="1">
      <c r="D563" s="4">
        <v>42802</v>
      </c>
      <c r="E563" s="5">
        <v>5.4349999999999996</v>
      </c>
      <c r="F563" s="5">
        <f t="shared" si="25"/>
        <v>2.0022833157438851E-3</v>
      </c>
      <c r="G563" s="3" cm="1">
        <f t="array" ref="G563">SUMPRODUCT(IF(((H563-$F$4:$F$515)/$B$10)&lt;=-1,0,IF(((H563-$F$4:$F$515)/$B$10)&gt;=1,1,(15/16)*(((H563-$F$4:$F$515)/$B$10)-(2/3)*((H563-$F$4:$F$515)/$B$10)^3+(1/5)*((H563-$F$4:$F$515)/$B$10)^5+8/15))))/COUNT($F$4:$F$515)</f>
        <v>1.953125E-3</v>
      </c>
      <c r="H563" s="5">
        <f t="shared" si="26"/>
        <v>-4.1554939878499217E-2</v>
      </c>
      <c r="K563" s="4">
        <v>0.01</v>
      </c>
      <c r="L563" s="5">
        <f t="shared" si="24"/>
        <v>-1.6954939878499008E-2</v>
      </c>
    </row>
    <row r="564" spans="4:12" ht="14.4" customHeight="1">
      <c r="D564" s="14">
        <v>42803</v>
      </c>
      <c r="E564" s="15">
        <v>5.5670000000000002</v>
      </c>
      <c r="F564" s="15">
        <f t="shared" si="25"/>
        <v>1.0421672884625158E-2</v>
      </c>
      <c r="G564" s="16" cm="1">
        <f t="array" ref="G564">SUMPRODUCT(IF(((H564-$F$4:$F$515)/$B$10)&lt;=-1,0,IF(((H564-$F$4:$F$515)/$B$10)&gt;=1,1,(15/16)*(((H564-$F$4:$F$515)/$B$10)-(2/3)*((H564-$F$4:$F$515)/$B$10)^3+(1/5)*((H564-$F$4:$F$515)/$B$10)^5+8/15))))/COUNT($F$4:$F$515)</f>
        <v>1.953125E-3</v>
      </c>
      <c r="H564" s="15">
        <f t="shared" si="26"/>
        <v>-4.1454939878499214E-2</v>
      </c>
      <c r="K564" s="14">
        <v>0.01</v>
      </c>
      <c r="L564" s="15">
        <f t="shared" si="24"/>
        <v>-1.6954939878499008E-2</v>
      </c>
    </row>
    <row r="565" spans="4:12" ht="14.4" customHeight="1">
      <c r="D565" s="4">
        <v>42804</v>
      </c>
      <c r="E565" s="5">
        <v>5.6589999999999998</v>
      </c>
      <c r="F565" s="5">
        <f t="shared" si="25"/>
        <v>7.1184726283895685E-3</v>
      </c>
      <c r="G565" s="3" cm="1">
        <f t="array" ref="G565">SUMPRODUCT(IF(((H565-$F$4:$F$515)/$B$10)&lt;=-1,0,IF(((H565-$F$4:$F$515)/$B$10)&gt;=1,1,(15/16)*(((H565-$F$4:$F$515)/$B$10)-(2/3)*((H565-$F$4:$F$515)/$B$10)^3+(1/5)*((H565-$F$4:$F$515)/$B$10)^5+8/15))))/COUNT($F$4:$F$515)</f>
        <v>1.953125E-3</v>
      </c>
      <c r="H565" s="5">
        <f t="shared" si="26"/>
        <v>-4.1354939878499211E-2</v>
      </c>
      <c r="K565" s="4">
        <v>0.01</v>
      </c>
      <c r="L565" s="5">
        <f t="shared" si="24"/>
        <v>-1.6954939878499008E-2</v>
      </c>
    </row>
    <row r="566" spans="4:12" ht="14.4" customHeight="1">
      <c r="D566" s="14">
        <v>42807</v>
      </c>
      <c r="E566" s="15">
        <v>5.6630000000000003</v>
      </c>
      <c r="F566" s="15">
        <f t="shared" si="25"/>
        <v>3.0686769120111436E-4</v>
      </c>
      <c r="G566" s="16" cm="1">
        <f t="array" ref="G566">SUMPRODUCT(IF(((H566-$F$4:$F$515)/$B$10)&lt;=-1,0,IF(((H566-$F$4:$F$515)/$B$10)&gt;=1,1,(15/16)*(((H566-$F$4:$F$515)/$B$10)-(2/3)*((H566-$F$4:$F$515)/$B$10)^3+(1/5)*((H566-$F$4:$F$515)/$B$10)^5+8/15))))/COUNT($F$4:$F$515)</f>
        <v>1.953125E-3</v>
      </c>
      <c r="H566" s="15">
        <f t="shared" si="26"/>
        <v>-4.1254939878499208E-2</v>
      </c>
      <c r="K566" s="14">
        <v>0.01</v>
      </c>
      <c r="L566" s="15">
        <f t="shared" si="24"/>
        <v>-1.6954939878499008E-2</v>
      </c>
    </row>
    <row r="567" spans="4:12" ht="14.4" customHeight="1">
      <c r="D567" s="4">
        <v>42808</v>
      </c>
      <c r="E567" s="5">
        <v>5.6130000000000004</v>
      </c>
      <c r="F567" s="5">
        <f t="shared" si="25"/>
        <v>-3.851519406856776E-3</v>
      </c>
      <c r="G567" s="3" cm="1">
        <f t="array" ref="G567">SUMPRODUCT(IF(((H567-$F$4:$F$515)/$B$10)&lt;=-1,0,IF(((H567-$F$4:$F$515)/$B$10)&gt;=1,1,(15/16)*(((H567-$F$4:$F$515)/$B$10)-(2/3)*((H567-$F$4:$F$515)/$B$10)^3+(1/5)*((H567-$F$4:$F$515)/$B$10)^5+8/15))))/COUNT($F$4:$F$515)</f>
        <v>1.953125E-3</v>
      </c>
      <c r="H567" s="5">
        <f t="shared" si="26"/>
        <v>-4.1154939878499205E-2</v>
      </c>
      <c r="K567" s="4">
        <v>0.01</v>
      </c>
      <c r="L567" s="5">
        <f t="shared" si="24"/>
        <v>-1.6954939878499008E-2</v>
      </c>
    </row>
    <row r="568" spans="4:12" ht="14.4" customHeight="1">
      <c r="D568" s="14">
        <v>42809</v>
      </c>
      <c r="E568" s="15">
        <v>5.66</v>
      </c>
      <c r="F568" s="15">
        <f t="shared" si="25"/>
        <v>3.6213889685990544E-3</v>
      </c>
      <c r="G568" s="16" cm="1">
        <f t="array" ref="G568">SUMPRODUCT(IF(((H568-$F$4:$F$515)/$B$10)&lt;=-1,0,IF(((H568-$F$4:$F$515)/$B$10)&gt;=1,1,(15/16)*(((H568-$F$4:$F$515)/$B$10)-(2/3)*((H568-$F$4:$F$515)/$B$10)^3+(1/5)*((H568-$F$4:$F$515)/$B$10)^5+8/15))))/COUNT($F$4:$F$515)</f>
        <v>1.953125E-3</v>
      </c>
      <c r="H568" s="15">
        <f t="shared" si="26"/>
        <v>-4.1054939878499203E-2</v>
      </c>
      <c r="K568" s="14">
        <v>0.01</v>
      </c>
      <c r="L568" s="15">
        <f t="shared" si="24"/>
        <v>-1.6954939878499008E-2</v>
      </c>
    </row>
    <row r="569" spans="4:12" ht="14.4" customHeight="1">
      <c r="D569" s="4">
        <v>42810</v>
      </c>
      <c r="E569" s="5">
        <v>5.6669999999999998</v>
      </c>
      <c r="F569" s="5">
        <f t="shared" si="25"/>
        <v>5.3678145322453772E-4</v>
      </c>
      <c r="G569" s="3" cm="1">
        <f t="array" ref="G569">SUMPRODUCT(IF(((H569-$F$4:$F$515)/$B$10)&lt;=-1,0,IF(((H569-$F$4:$F$515)/$B$10)&gt;=1,1,(15/16)*(((H569-$F$4:$F$515)/$B$10)-(2/3)*((H569-$F$4:$F$515)/$B$10)^3+(1/5)*((H569-$F$4:$F$515)/$B$10)^5+8/15))))/COUNT($F$4:$F$515)</f>
        <v>1.953125E-3</v>
      </c>
      <c r="H569" s="5">
        <f t="shared" si="26"/>
        <v>-4.09549398784992E-2</v>
      </c>
      <c r="K569" s="4">
        <v>0.01</v>
      </c>
      <c r="L569" s="5">
        <f t="shared" si="24"/>
        <v>-1.6954939878499008E-2</v>
      </c>
    </row>
    <row r="570" spans="4:12" ht="14.4" customHeight="1">
      <c r="D570" s="14">
        <v>42811</v>
      </c>
      <c r="E570" s="15">
        <v>5.6680000000000001</v>
      </c>
      <c r="F570" s="15">
        <f t="shared" si="25"/>
        <v>7.6628933926769564E-5</v>
      </c>
      <c r="G570" s="16" cm="1">
        <f t="array" ref="G570">SUMPRODUCT(IF(((H570-$F$4:$F$515)/$B$10)&lt;=-1,0,IF(((H570-$F$4:$F$515)/$B$10)&gt;=1,1,(15/16)*(((H570-$F$4:$F$515)/$B$10)-(2/3)*((H570-$F$4:$F$515)/$B$10)^3+(1/5)*((H570-$F$4:$F$515)/$B$10)^5+8/15))))/COUNT($F$4:$F$515)</f>
        <v>1.953125E-3</v>
      </c>
      <c r="H570" s="15">
        <f t="shared" si="26"/>
        <v>-4.0854939878499197E-2</v>
      </c>
      <c r="K570" s="14">
        <v>0.01</v>
      </c>
      <c r="L570" s="15">
        <f t="shared" si="24"/>
        <v>-1.6954939878499008E-2</v>
      </c>
    </row>
    <row r="571" spans="4:12" ht="14.4" customHeight="1">
      <c r="D571" s="4">
        <v>42814</v>
      </c>
      <c r="E571" s="5">
        <v>5.6319999999999997</v>
      </c>
      <c r="F571" s="5">
        <f t="shared" si="25"/>
        <v>-2.7671954413670216E-3</v>
      </c>
      <c r="G571" s="3" cm="1">
        <f t="array" ref="G571">SUMPRODUCT(IF(((H571-$F$4:$F$515)/$B$10)&lt;=-1,0,IF(((H571-$F$4:$F$515)/$B$10)&gt;=1,1,(15/16)*(((H571-$F$4:$F$515)/$B$10)-(2/3)*((H571-$F$4:$F$515)/$B$10)^3+(1/5)*((H571-$F$4:$F$515)/$B$10)^5+8/15))))/COUNT($F$4:$F$515)</f>
        <v>1.953125E-3</v>
      </c>
      <c r="H571" s="5">
        <f t="shared" si="26"/>
        <v>-4.0754939878499194E-2</v>
      </c>
      <c r="K571" s="4">
        <v>0.01</v>
      </c>
      <c r="L571" s="5">
        <f t="shared" si="24"/>
        <v>-1.6954939878499008E-2</v>
      </c>
    </row>
    <row r="572" spans="4:12" ht="14.4" customHeight="1">
      <c r="D572" s="14">
        <v>42815</v>
      </c>
      <c r="E572" s="15">
        <v>5.6280000000000001</v>
      </c>
      <c r="F572" s="15">
        <f t="shared" si="25"/>
        <v>-3.0855737134766561E-4</v>
      </c>
      <c r="G572" s="16" cm="1">
        <f t="array" ref="G572">SUMPRODUCT(IF(((H572-$F$4:$F$515)/$B$10)&lt;=-1,0,IF(((H572-$F$4:$F$515)/$B$10)&gt;=1,1,(15/16)*(((H572-$F$4:$F$515)/$B$10)-(2/3)*((H572-$F$4:$F$515)/$B$10)^3+(1/5)*((H572-$F$4:$F$515)/$B$10)^5+8/15))))/COUNT($F$4:$F$515)</f>
        <v>1.953125E-3</v>
      </c>
      <c r="H572" s="15">
        <f t="shared" si="26"/>
        <v>-4.0654939878499191E-2</v>
      </c>
      <c r="K572" s="14">
        <v>0.01</v>
      </c>
      <c r="L572" s="15">
        <f t="shared" si="24"/>
        <v>-1.6954939878499008E-2</v>
      </c>
    </row>
    <row r="573" spans="4:12" ht="14.4" customHeight="1">
      <c r="D573" s="4">
        <v>42816</v>
      </c>
      <c r="E573" s="5">
        <v>5.5789999999999997</v>
      </c>
      <c r="F573" s="5">
        <f t="shared" si="25"/>
        <v>-3.7977273523389335E-3</v>
      </c>
      <c r="G573" s="3" cm="1">
        <f t="array" ref="G573">SUMPRODUCT(IF(((H573-$F$4:$F$515)/$B$10)&lt;=-1,0,IF(((H573-$F$4:$F$515)/$B$10)&gt;=1,1,(15/16)*(((H573-$F$4:$F$515)/$B$10)-(2/3)*((H573-$F$4:$F$515)/$B$10)^3+(1/5)*((H573-$F$4:$F$515)/$B$10)^5+8/15))))/COUNT($F$4:$F$515)</f>
        <v>1.953125E-3</v>
      </c>
      <c r="H573" s="5">
        <f t="shared" si="26"/>
        <v>-4.0554939878499188E-2</v>
      </c>
      <c r="K573" s="4">
        <v>0.01</v>
      </c>
      <c r="L573" s="5">
        <f t="shared" si="24"/>
        <v>-1.6954939878499008E-2</v>
      </c>
    </row>
    <row r="574" spans="4:12" ht="14.4" customHeight="1">
      <c r="D574" s="14">
        <v>42817</v>
      </c>
      <c r="E574" s="15">
        <v>5.64</v>
      </c>
      <c r="F574" s="15">
        <f t="shared" si="25"/>
        <v>4.7227425729731353E-3</v>
      </c>
      <c r="G574" s="16" cm="1">
        <f t="array" ref="G574">SUMPRODUCT(IF(((H574-$F$4:$F$515)/$B$10)&lt;=-1,0,IF(((H574-$F$4:$F$515)/$B$10)&gt;=1,1,(15/16)*(((H574-$F$4:$F$515)/$B$10)-(2/3)*((H574-$F$4:$F$515)/$B$10)^3+(1/5)*((H574-$F$4:$F$515)/$B$10)^5+8/15))))/COUNT($F$4:$F$515)</f>
        <v>1.953125E-3</v>
      </c>
      <c r="H574" s="15">
        <f t="shared" si="26"/>
        <v>-4.0454939878499185E-2</v>
      </c>
      <c r="K574" s="14">
        <v>0.01</v>
      </c>
      <c r="L574" s="15">
        <f t="shared" si="24"/>
        <v>-1.6954939878499008E-2</v>
      </c>
    </row>
    <row r="575" spans="4:12" ht="14.4" customHeight="1">
      <c r="D575" s="4">
        <v>42818</v>
      </c>
      <c r="E575" s="5">
        <v>5.5910000000000002</v>
      </c>
      <c r="F575" s="5">
        <f t="shared" si="25"/>
        <v>-3.7896117246693992E-3</v>
      </c>
      <c r="G575" s="3" cm="1">
        <f t="array" ref="G575">SUMPRODUCT(IF(((H575-$F$4:$F$515)/$B$10)&lt;=-1,0,IF(((H575-$F$4:$F$515)/$B$10)&gt;=1,1,(15/16)*(((H575-$F$4:$F$515)/$B$10)-(2/3)*((H575-$F$4:$F$515)/$B$10)^3+(1/5)*((H575-$F$4:$F$515)/$B$10)^5+8/15))))/COUNT($F$4:$F$515)</f>
        <v>1.953125E-3</v>
      </c>
      <c r="H575" s="5">
        <f t="shared" si="26"/>
        <v>-4.0354939878499183E-2</v>
      </c>
      <c r="K575" s="4">
        <v>0.01</v>
      </c>
      <c r="L575" s="5">
        <f t="shared" si="24"/>
        <v>-1.6954939878499008E-2</v>
      </c>
    </row>
    <row r="576" spans="4:12" ht="14.4" customHeight="1">
      <c r="D576" s="14">
        <v>42821</v>
      </c>
      <c r="E576" s="15">
        <v>5.5629999999999997</v>
      </c>
      <c r="F576" s="15">
        <f t="shared" si="25"/>
        <v>-2.18043231784494E-3</v>
      </c>
      <c r="G576" s="16" cm="1">
        <f t="array" ref="G576">SUMPRODUCT(IF(((H576-$F$4:$F$515)/$B$10)&lt;=-1,0,IF(((H576-$F$4:$F$515)/$B$10)&gt;=1,1,(15/16)*(((H576-$F$4:$F$515)/$B$10)-(2/3)*((H576-$F$4:$F$515)/$B$10)^3+(1/5)*((H576-$F$4:$F$515)/$B$10)^5+8/15))))/COUNT($F$4:$F$515)</f>
        <v>1.953125E-3</v>
      </c>
      <c r="H576" s="15">
        <f t="shared" si="26"/>
        <v>-4.025493987849918E-2</v>
      </c>
      <c r="K576" s="14">
        <v>0.01</v>
      </c>
      <c r="L576" s="15">
        <f t="shared" si="24"/>
        <v>-1.6954939878499008E-2</v>
      </c>
    </row>
    <row r="577" spans="4:12" ht="14.4" customHeight="1">
      <c r="D577" s="4">
        <v>42822</v>
      </c>
      <c r="E577" s="5">
        <v>5.6710000000000003</v>
      </c>
      <c r="F577" s="5">
        <f t="shared" si="25"/>
        <v>8.3505873451707926E-3</v>
      </c>
      <c r="G577" s="3" cm="1">
        <f t="array" ref="G577">SUMPRODUCT(IF(((H577-$F$4:$F$515)/$B$10)&lt;=-1,0,IF(((H577-$F$4:$F$515)/$B$10)&gt;=1,1,(15/16)*(((H577-$F$4:$F$515)/$B$10)-(2/3)*((H577-$F$4:$F$515)/$B$10)^3+(1/5)*((H577-$F$4:$F$515)/$B$10)^5+8/15))))/COUNT($F$4:$F$515)</f>
        <v>1.953125E-3</v>
      </c>
      <c r="H577" s="5">
        <f t="shared" si="26"/>
        <v>-4.0154939878499177E-2</v>
      </c>
      <c r="K577" s="4">
        <v>0.01</v>
      </c>
      <c r="L577" s="5">
        <f t="shared" si="24"/>
        <v>-1.6954939878499008E-2</v>
      </c>
    </row>
    <row r="578" spans="4:12" ht="14.4" customHeight="1">
      <c r="D578" s="14">
        <v>42823</v>
      </c>
      <c r="E578" s="15">
        <v>5.6779999999999999</v>
      </c>
      <c r="F578" s="15">
        <f t="shared" si="25"/>
        <v>5.3574090383969823E-4</v>
      </c>
      <c r="G578" s="16" cm="1">
        <f t="array" ref="G578">SUMPRODUCT(IF(((H578-$F$4:$F$515)/$B$10)&lt;=-1,0,IF(((H578-$F$4:$F$515)/$B$10)&gt;=1,1,(15/16)*(((H578-$F$4:$F$515)/$B$10)-(2/3)*((H578-$F$4:$F$515)/$B$10)^3+(1/5)*((H578-$F$4:$F$515)/$B$10)^5+8/15))))/COUNT($F$4:$F$515)</f>
        <v>1.953125E-3</v>
      </c>
      <c r="H578" s="15">
        <f t="shared" si="26"/>
        <v>-4.0054939878499174E-2</v>
      </c>
      <c r="K578" s="14">
        <v>0.01</v>
      </c>
      <c r="L578" s="15">
        <f t="shared" si="24"/>
        <v>-1.6954939878499008E-2</v>
      </c>
    </row>
    <row r="579" spans="4:12" ht="14.4" customHeight="1">
      <c r="D579" s="4">
        <v>42824</v>
      </c>
      <c r="E579" s="5">
        <v>5.7229999999999999</v>
      </c>
      <c r="F579" s="5">
        <f t="shared" si="25"/>
        <v>3.4283577185505905E-3</v>
      </c>
      <c r="G579" s="3" cm="1">
        <f t="array" ref="G579">SUMPRODUCT(IF(((H579-$F$4:$F$515)/$B$10)&lt;=-1,0,IF(((H579-$F$4:$F$515)/$B$10)&gt;=1,1,(15/16)*(((H579-$F$4:$F$515)/$B$10)-(2/3)*((H579-$F$4:$F$515)/$B$10)^3+(1/5)*((H579-$F$4:$F$515)/$B$10)^5+8/15))))/COUNT($F$4:$F$515)</f>
        <v>1.953125E-3</v>
      </c>
      <c r="H579" s="5">
        <f t="shared" si="26"/>
        <v>-3.9954939878499171E-2</v>
      </c>
      <c r="K579" s="4">
        <v>0.01</v>
      </c>
      <c r="L579" s="5">
        <f t="shared" si="24"/>
        <v>-1.6954939878499008E-2</v>
      </c>
    </row>
    <row r="580" spans="4:12" ht="14.4" customHeight="1">
      <c r="D580" s="14">
        <v>42825</v>
      </c>
      <c r="E580" s="15">
        <v>5.7759999999999998</v>
      </c>
      <c r="F580" s="15">
        <f t="shared" si="25"/>
        <v>4.0034386531936769E-3</v>
      </c>
      <c r="G580" s="16" cm="1">
        <f t="array" ref="G580">SUMPRODUCT(IF(((H580-$F$4:$F$515)/$B$10)&lt;=-1,0,IF(((H580-$F$4:$F$515)/$B$10)&gt;=1,1,(15/16)*(((H580-$F$4:$F$515)/$B$10)-(2/3)*((H580-$F$4:$F$515)/$B$10)^3+(1/5)*((H580-$F$4:$F$515)/$B$10)^5+8/15))))/COUNT($F$4:$F$515)</f>
        <v>1.953125E-3</v>
      </c>
      <c r="H580" s="15">
        <f t="shared" si="26"/>
        <v>-3.9854939878499168E-2</v>
      </c>
      <c r="K580" s="14">
        <v>0.01</v>
      </c>
      <c r="L580" s="15">
        <f t="shared" ref="L580:L643" si="27">$B$7</f>
        <v>-1.6954939878499008E-2</v>
      </c>
    </row>
    <row r="581" spans="4:12" ht="14.4" customHeight="1">
      <c r="D581" s="4">
        <v>42828</v>
      </c>
      <c r="E581" s="5">
        <v>5.6890000000000001</v>
      </c>
      <c r="F581" s="5">
        <f t="shared" ref="F581:F644" si="28">LOG(E581/E580)</f>
        <v>-6.5912507938111356E-3</v>
      </c>
      <c r="G581" s="3" cm="1">
        <f t="array" ref="G581">SUMPRODUCT(IF(((H581-$F$4:$F$515)/$B$10)&lt;=-1,0,IF(((H581-$F$4:$F$515)/$B$10)&gt;=1,1,(15/16)*(((H581-$F$4:$F$515)/$B$10)-(2/3)*((H581-$F$4:$F$515)/$B$10)^3+(1/5)*((H581-$F$4:$F$515)/$B$10)^5+8/15))))/COUNT($F$4:$F$515)</f>
        <v>1.953125E-3</v>
      </c>
      <c r="H581" s="5">
        <f t="shared" ref="H581:H644" si="29">H580+0.0001</f>
        <v>-3.9754939878499165E-2</v>
      </c>
      <c r="K581" s="4">
        <v>0.01</v>
      </c>
      <c r="L581" s="5">
        <f t="shared" si="27"/>
        <v>-1.6954939878499008E-2</v>
      </c>
    </row>
    <row r="582" spans="4:12" ht="14.4" customHeight="1">
      <c r="D582" s="14">
        <v>42829</v>
      </c>
      <c r="E582" s="15">
        <v>5.65</v>
      </c>
      <c r="F582" s="15">
        <f t="shared" si="28"/>
        <v>-2.9874859483329983E-3</v>
      </c>
      <c r="G582" s="16" cm="1">
        <f t="array" ref="G582">SUMPRODUCT(IF(((H582-$F$4:$F$515)/$B$10)&lt;=-1,0,IF(((H582-$F$4:$F$515)/$B$10)&gt;=1,1,(15/16)*(((H582-$F$4:$F$515)/$B$10)-(2/3)*((H582-$F$4:$F$515)/$B$10)^3+(1/5)*((H582-$F$4:$F$515)/$B$10)^5+8/15))))/COUNT($F$4:$F$515)</f>
        <v>1.953125E-3</v>
      </c>
      <c r="H582" s="15">
        <f t="shared" si="29"/>
        <v>-3.9654939878499162E-2</v>
      </c>
      <c r="K582" s="14">
        <v>0.01</v>
      </c>
      <c r="L582" s="15">
        <f t="shared" si="27"/>
        <v>-1.6954939878499008E-2</v>
      </c>
    </row>
    <row r="583" spans="4:12" ht="14.4" customHeight="1">
      <c r="D583" s="4">
        <v>42830</v>
      </c>
      <c r="E583" s="5">
        <v>5.6619999999999999</v>
      </c>
      <c r="F583" s="5">
        <f t="shared" si="28"/>
        <v>9.2141720964562649E-4</v>
      </c>
      <c r="G583" s="3" cm="1">
        <f t="array" ref="G583">SUMPRODUCT(IF(((H583-$F$4:$F$515)/$B$10)&lt;=-1,0,IF(((H583-$F$4:$F$515)/$B$10)&gt;=1,1,(15/16)*(((H583-$F$4:$F$515)/$B$10)-(2/3)*((H583-$F$4:$F$515)/$B$10)^3+(1/5)*((H583-$F$4:$F$515)/$B$10)^5+8/15))))/COUNT($F$4:$F$515)</f>
        <v>1.953125E-3</v>
      </c>
      <c r="H583" s="5">
        <f t="shared" si="29"/>
        <v>-3.955493987849916E-2</v>
      </c>
      <c r="K583" s="4">
        <v>0.01</v>
      </c>
      <c r="L583" s="5">
        <f t="shared" si="27"/>
        <v>-1.6954939878499008E-2</v>
      </c>
    </row>
    <row r="584" spans="4:12" ht="14.4" customHeight="1">
      <c r="D584" s="14">
        <v>42831</v>
      </c>
      <c r="E584" s="15">
        <v>5.7060000000000004</v>
      </c>
      <c r="F584" s="15">
        <f t="shared" si="28"/>
        <v>3.3619022919734046E-3</v>
      </c>
      <c r="G584" s="16" cm="1">
        <f t="array" ref="G584">SUMPRODUCT(IF(((H584-$F$4:$F$515)/$B$10)&lt;=-1,0,IF(((H584-$F$4:$F$515)/$B$10)&gt;=1,1,(15/16)*(((H584-$F$4:$F$515)/$B$10)-(2/3)*((H584-$F$4:$F$515)/$B$10)^3+(1/5)*((H584-$F$4:$F$515)/$B$10)^5+8/15))))/COUNT($F$4:$F$515)</f>
        <v>1.953125E-3</v>
      </c>
      <c r="H584" s="15">
        <f t="shared" si="29"/>
        <v>-3.9454939878499157E-2</v>
      </c>
      <c r="K584" s="14">
        <v>0.01</v>
      </c>
      <c r="L584" s="15">
        <f t="shared" si="27"/>
        <v>-1.6954939878499008E-2</v>
      </c>
    </row>
    <row r="585" spans="4:12" ht="14.4" customHeight="1">
      <c r="D585" s="4">
        <v>42832</v>
      </c>
      <c r="E585" s="5">
        <v>5.75</v>
      </c>
      <c r="F585" s="5">
        <f t="shared" si="28"/>
        <v>3.3360773685728717E-3</v>
      </c>
      <c r="G585" s="3" cm="1">
        <f t="array" ref="G585">SUMPRODUCT(IF(((H585-$F$4:$F$515)/$B$10)&lt;=-1,0,IF(((H585-$F$4:$F$515)/$B$10)&gt;=1,1,(15/16)*(((H585-$F$4:$F$515)/$B$10)-(2/3)*((H585-$F$4:$F$515)/$B$10)^3+(1/5)*((H585-$F$4:$F$515)/$B$10)^5+8/15))))/COUNT($F$4:$F$515)</f>
        <v>1.953125E-3</v>
      </c>
      <c r="H585" s="5">
        <f t="shared" si="29"/>
        <v>-3.9354939878499154E-2</v>
      </c>
      <c r="K585" s="4">
        <v>0.01</v>
      </c>
      <c r="L585" s="5">
        <f t="shared" si="27"/>
        <v>-1.6954939878499008E-2</v>
      </c>
    </row>
    <row r="586" spans="4:12" ht="14.4" customHeight="1">
      <c r="D586" s="14">
        <v>42835</v>
      </c>
      <c r="E586" s="15">
        <v>5.6970000000000001</v>
      </c>
      <c r="F586" s="15">
        <f t="shared" si="28"/>
        <v>-4.0216252329505191E-3</v>
      </c>
      <c r="G586" s="16" cm="1">
        <f t="array" ref="G586">SUMPRODUCT(IF(((H586-$F$4:$F$515)/$B$10)&lt;=-1,0,IF(((H586-$F$4:$F$515)/$B$10)&gt;=1,1,(15/16)*(((H586-$F$4:$F$515)/$B$10)-(2/3)*((H586-$F$4:$F$515)/$B$10)^3+(1/5)*((H586-$F$4:$F$515)/$B$10)^5+8/15))))/COUNT($F$4:$F$515)</f>
        <v>1.953125E-3</v>
      </c>
      <c r="H586" s="15">
        <f t="shared" si="29"/>
        <v>-3.9254939878499151E-2</v>
      </c>
      <c r="K586" s="14">
        <v>0.01</v>
      </c>
      <c r="L586" s="15">
        <f t="shared" si="27"/>
        <v>-1.6954939878499008E-2</v>
      </c>
    </row>
    <row r="587" spans="4:12" ht="14.4" customHeight="1">
      <c r="D587" s="4">
        <v>42836</v>
      </c>
      <c r="E587" s="5">
        <v>5.6260000000000003</v>
      </c>
      <c r="F587" s="5">
        <f t="shared" si="28"/>
        <v>-5.4464916274978049E-3</v>
      </c>
      <c r="G587" s="3" cm="1">
        <f t="array" ref="G587">SUMPRODUCT(IF(((H587-$F$4:$F$515)/$B$10)&lt;=-1,0,IF(((H587-$F$4:$F$515)/$B$10)&gt;=1,1,(15/16)*(((H587-$F$4:$F$515)/$B$10)-(2/3)*((H587-$F$4:$F$515)/$B$10)^3+(1/5)*((H587-$F$4:$F$515)/$B$10)^5+8/15))))/COUNT($F$4:$F$515)</f>
        <v>1.953125E-3</v>
      </c>
      <c r="H587" s="5">
        <f t="shared" si="29"/>
        <v>-3.9154939878499148E-2</v>
      </c>
      <c r="K587" s="4">
        <v>0.01</v>
      </c>
      <c r="L587" s="5">
        <f t="shared" si="27"/>
        <v>-1.6954939878499008E-2</v>
      </c>
    </row>
    <row r="588" spans="4:12" ht="14.4" customHeight="1">
      <c r="D588" s="14">
        <v>42837</v>
      </c>
      <c r="E588" s="15">
        <v>5.5439999999999996</v>
      </c>
      <c r="F588" s="15">
        <f t="shared" si="28"/>
        <v>-6.3765062254318812E-3</v>
      </c>
      <c r="G588" s="16" cm="1">
        <f t="array" ref="G588">SUMPRODUCT(IF(((H588-$F$4:$F$515)/$B$10)&lt;=-1,0,IF(((H588-$F$4:$F$515)/$B$10)&gt;=1,1,(15/16)*(((H588-$F$4:$F$515)/$B$10)-(2/3)*((H588-$F$4:$F$515)/$B$10)^3+(1/5)*((H588-$F$4:$F$515)/$B$10)^5+8/15))))/COUNT($F$4:$F$515)</f>
        <v>1.953125E-3</v>
      </c>
      <c r="H588" s="15">
        <f t="shared" si="29"/>
        <v>-3.9054939878499145E-2</v>
      </c>
      <c r="K588" s="14">
        <v>0.01</v>
      </c>
      <c r="L588" s="15">
        <f t="shared" si="27"/>
        <v>-1.6954939878499008E-2</v>
      </c>
    </row>
    <row r="589" spans="4:12" ht="14.4" customHeight="1">
      <c r="D589" s="4">
        <v>42838</v>
      </c>
      <c r="E589" s="5">
        <v>5.41</v>
      </c>
      <c r="F589" s="5">
        <f t="shared" si="28"/>
        <v>-1.0625956497180847E-2</v>
      </c>
      <c r="G589" s="3" cm="1">
        <f t="array" ref="G589">SUMPRODUCT(IF(((H589-$F$4:$F$515)/$B$10)&lt;=-1,0,IF(((H589-$F$4:$F$515)/$B$10)&gt;=1,1,(15/16)*(((H589-$F$4:$F$515)/$B$10)-(2/3)*((H589-$F$4:$F$515)/$B$10)^3+(1/5)*((H589-$F$4:$F$515)/$B$10)^5+8/15))))/COUNT($F$4:$F$515)</f>
        <v>1.953125E-3</v>
      </c>
      <c r="H589" s="5">
        <f t="shared" si="29"/>
        <v>-3.8954939878499142E-2</v>
      </c>
      <c r="K589" s="4">
        <v>0.01</v>
      </c>
      <c r="L589" s="5">
        <f t="shared" si="27"/>
        <v>-1.6954939878499008E-2</v>
      </c>
    </row>
    <row r="590" spans="4:12" ht="14.4" customHeight="1">
      <c r="D590" s="14">
        <v>42843</v>
      </c>
      <c r="E590" s="15">
        <v>5.4189999999999996</v>
      </c>
      <c r="F590" s="15">
        <f t="shared" si="28"/>
        <v>7.218859058214038E-4</v>
      </c>
      <c r="G590" s="16" cm="1">
        <f t="array" ref="G590">SUMPRODUCT(IF(((H590-$F$4:$F$515)/$B$10)&lt;=-1,0,IF(((H590-$F$4:$F$515)/$B$10)&gt;=1,1,(15/16)*(((H590-$F$4:$F$515)/$B$10)-(2/3)*((H590-$F$4:$F$515)/$B$10)^3+(1/5)*((H590-$F$4:$F$515)/$B$10)^5+8/15))))/COUNT($F$4:$F$515)</f>
        <v>1.953125E-3</v>
      </c>
      <c r="H590" s="15">
        <f t="shared" si="29"/>
        <v>-3.885493987849914E-2</v>
      </c>
      <c r="K590" s="14">
        <v>0.01</v>
      </c>
      <c r="L590" s="15">
        <f t="shared" si="27"/>
        <v>-1.6954939878499008E-2</v>
      </c>
    </row>
    <row r="591" spans="4:12" ht="14.4" customHeight="1">
      <c r="D591" s="4">
        <v>42844</v>
      </c>
      <c r="E591" s="5">
        <v>5.5380000000000003</v>
      </c>
      <c r="F591" s="5">
        <f t="shared" si="28"/>
        <v>9.4338003971648366E-3</v>
      </c>
      <c r="G591" s="3" cm="1">
        <f t="array" ref="G591">SUMPRODUCT(IF(((H591-$F$4:$F$515)/$B$10)&lt;=-1,0,IF(((H591-$F$4:$F$515)/$B$10)&gt;=1,1,(15/16)*(((H591-$F$4:$F$515)/$B$10)-(2/3)*((H591-$F$4:$F$515)/$B$10)^3+(1/5)*((H591-$F$4:$F$515)/$B$10)^5+8/15))))/COUNT($F$4:$F$515)</f>
        <v>1.953125E-3</v>
      </c>
      <c r="H591" s="5">
        <f t="shared" si="29"/>
        <v>-3.8754939878499137E-2</v>
      </c>
      <c r="K591" s="4">
        <v>0.01</v>
      </c>
      <c r="L591" s="5">
        <f t="shared" si="27"/>
        <v>-1.6954939878499008E-2</v>
      </c>
    </row>
    <row r="592" spans="4:12" ht="14.4" customHeight="1">
      <c r="D592" s="14">
        <v>42845</v>
      </c>
      <c r="E592" s="15">
        <v>5.702</v>
      </c>
      <c r="F592" s="15">
        <f t="shared" si="28"/>
        <v>1.2674261563885453E-2</v>
      </c>
      <c r="G592" s="16" cm="1">
        <f t="array" ref="G592">SUMPRODUCT(IF(((H592-$F$4:$F$515)/$B$10)&lt;=-1,0,IF(((H592-$F$4:$F$515)/$B$10)&gt;=1,1,(15/16)*(((H592-$F$4:$F$515)/$B$10)-(2/3)*((H592-$F$4:$F$515)/$B$10)^3+(1/5)*((H592-$F$4:$F$515)/$B$10)^5+8/15))))/COUNT($F$4:$F$515)</f>
        <v>1.953125E-3</v>
      </c>
      <c r="H592" s="15">
        <f t="shared" si="29"/>
        <v>-3.8654939878499134E-2</v>
      </c>
      <c r="K592" s="14">
        <v>0.01</v>
      </c>
      <c r="L592" s="15">
        <f t="shared" si="27"/>
        <v>-1.6954939878499008E-2</v>
      </c>
    </row>
    <row r="593" spans="4:12" ht="14.4" customHeight="1">
      <c r="D593" s="4">
        <v>42846</v>
      </c>
      <c r="E593" s="5">
        <v>5.7930000000000001</v>
      </c>
      <c r="F593" s="5">
        <f t="shared" si="28"/>
        <v>6.8763155256159805E-3</v>
      </c>
      <c r="G593" s="3" cm="1">
        <f t="array" ref="G593">SUMPRODUCT(IF(((H593-$F$4:$F$515)/$B$10)&lt;=-1,0,IF(((H593-$F$4:$F$515)/$B$10)&gt;=1,1,(15/16)*(((H593-$F$4:$F$515)/$B$10)-(2/3)*((H593-$F$4:$F$515)/$B$10)^3+(1/5)*((H593-$F$4:$F$515)/$B$10)^5+8/15))))/COUNT($F$4:$F$515)</f>
        <v>1.953125E-3</v>
      </c>
      <c r="H593" s="5">
        <f t="shared" si="29"/>
        <v>-3.8554939878499131E-2</v>
      </c>
      <c r="K593" s="4">
        <v>0.01</v>
      </c>
      <c r="L593" s="5">
        <f t="shared" si="27"/>
        <v>-1.6954939878499008E-2</v>
      </c>
    </row>
    <row r="594" spans="4:12" ht="14.4" customHeight="1">
      <c r="D594" s="14">
        <v>42849</v>
      </c>
      <c r="E594" s="15">
        <v>6.3159999999999998</v>
      </c>
      <c r="F594" s="15">
        <f t="shared" si="28"/>
        <v>3.7538592837199444E-2</v>
      </c>
      <c r="G594" s="16" cm="1">
        <f t="array" ref="G594">SUMPRODUCT(IF(((H594-$F$4:$F$515)/$B$10)&lt;=-1,0,IF(((H594-$F$4:$F$515)/$B$10)&gt;=1,1,(15/16)*(((H594-$F$4:$F$515)/$B$10)-(2/3)*((H594-$F$4:$F$515)/$B$10)^3+(1/5)*((H594-$F$4:$F$515)/$B$10)^5+8/15))))/COUNT($F$4:$F$515)</f>
        <v>1.953125E-3</v>
      </c>
      <c r="H594" s="15">
        <f t="shared" si="29"/>
        <v>-3.8454939878499128E-2</v>
      </c>
      <c r="K594" s="14">
        <v>0.01</v>
      </c>
      <c r="L594" s="15">
        <f t="shared" si="27"/>
        <v>-1.6954939878499008E-2</v>
      </c>
    </row>
    <row r="595" spans="4:12" ht="14.4" customHeight="1">
      <c r="D595" s="4">
        <v>42850</v>
      </c>
      <c r="E595" s="5">
        <v>6.3479999999999999</v>
      </c>
      <c r="F595" s="5">
        <f t="shared" si="28"/>
        <v>2.1947967465539425E-3</v>
      </c>
      <c r="G595" s="3" cm="1">
        <f t="array" ref="G595">SUMPRODUCT(IF(((H595-$F$4:$F$515)/$B$10)&lt;=-1,0,IF(((H595-$F$4:$F$515)/$B$10)&gt;=1,1,(15/16)*(((H595-$F$4:$F$515)/$B$10)-(2/3)*((H595-$F$4:$F$515)/$B$10)^3+(1/5)*((H595-$F$4:$F$515)/$B$10)^5+8/15))))/COUNT($F$4:$F$515)</f>
        <v>1.953125E-3</v>
      </c>
      <c r="H595" s="5">
        <f t="shared" si="29"/>
        <v>-3.8354939878499125E-2</v>
      </c>
      <c r="K595" s="4">
        <v>0.01</v>
      </c>
      <c r="L595" s="5">
        <f t="shared" si="27"/>
        <v>-1.6954939878499008E-2</v>
      </c>
    </row>
    <row r="596" spans="4:12" ht="14.4" customHeight="1">
      <c r="D596" s="14">
        <v>42851</v>
      </c>
      <c r="E596" s="15">
        <v>6.4039999999999999</v>
      </c>
      <c r="F596" s="15">
        <f t="shared" si="28"/>
        <v>3.8144051644515425E-3</v>
      </c>
      <c r="G596" s="16" cm="1">
        <f t="array" ref="G596">SUMPRODUCT(IF(((H596-$F$4:$F$515)/$B$10)&lt;=-1,0,IF(((H596-$F$4:$F$515)/$B$10)&gt;=1,1,(15/16)*(((H596-$F$4:$F$515)/$B$10)-(2/3)*((H596-$F$4:$F$515)/$B$10)^3+(1/5)*((H596-$F$4:$F$515)/$B$10)^5+8/15))))/COUNT($F$4:$F$515)</f>
        <v>1.953125E-3</v>
      </c>
      <c r="H596" s="15">
        <f t="shared" si="29"/>
        <v>-3.8254939878499122E-2</v>
      </c>
      <c r="K596" s="14">
        <v>0.01</v>
      </c>
      <c r="L596" s="15">
        <f t="shared" si="27"/>
        <v>-1.6954939878499008E-2</v>
      </c>
    </row>
    <row r="597" spans="4:12" ht="14.4" customHeight="1">
      <c r="D597" s="4">
        <v>42852</v>
      </c>
      <c r="E597" s="5">
        <v>6.3579999999999997</v>
      </c>
      <c r="F597" s="5">
        <f t="shared" si="28"/>
        <v>-3.1307996685080524E-3</v>
      </c>
      <c r="G597" s="3" cm="1">
        <f t="array" ref="G597">SUMPRODUCT(IF(((H597-$F$4:$F$515)/$B$10)&lt;=-1,0,IF(((H597-$F$4:$F$515)/$B$10)&gt;=1,1,(15/16)*(((H597-$F$4:$F$515)/$B$10)-(2/3)*((H597-$F$4:$F$515)/$B$10)^3+(1/5)*((H597-$F$4:$F$515)/$B$10)^5+8/15))))/COUNT($F$4:$F$515)</f>
        <v>1.953125E-3</v>
      </c>
      <c r="H597" s="5">
        <f t="shared" si="29"/>
        <v>-3.8154939878499119E-2</v>
      </c>
      <c r="K597" s="4">
        <v>0.01</v>
      </c>
      <c r="L597" s="5">
        <f t="shared" si="27"/>
        <v>-1.6954939878499008E-2</v>
      </c>
    </row>
    <row r="598" spans="4:12" ht="14.4" customHeight="1">
      <c r="D598" s="14">
        <v>42853</v>
      </c>
      <c r="E598" s="15">
        <v>6.3869999999999996</v>
      </c>
      <c r="F598" s="15">
        <f t="shared" si="28"/>
        <v>1.9763925792309015E-3</v>
      </c>
      <c r="G598" s="16" cm="1">
        <f t="array" ref="G598">SUMPRODUCT(IF(((H598-$F$4:$F$515)/$B$10)&lt;=-1,0,IF(((H598-$F$4:$F$515)/$B$10)&gt;=1,1,(15/16)*(((H598-$F$4:$F$515)/$B$10)-(2/3)*((H598-$F$4:$F$515)/$B$10)^3+(1/5)*((H598-$F$4:$F$515)/$B$10)^5+8/15))))/COUNT($F$4:$F$515)</f>
        <v>1.953125E-3</v>
      </c>
      <c r="H598" s="15">
        <f t="shared" si="29"/>
        <v>-3.8054939878499117E-2</v>
      </c>
      <c r="K598" s="14">
        <v>0.01</v>
      </c>
      <c r="L598" s="15">
        <f t="shared" si="27"/>
        <v>-1.6954939878499008E-2</v>
      </c>
    </row>
    <row r="599" spans="4:12" ht="14.4" customHeight="1">
      <c r="D599" s="4">
        <v>42857</v>
      </c>
      <c r="E599" s="5">
        <v>6.44</v>
      </c>
      <c r="F599" s="5">
        <f t="shared" si="28"/>
        <v>3.588951201827183E-3</v>
      </c>
      <c r="G599" s="3" cm="1">
        <f t="array" ref="G599">SUMPRODUCT(IF(((H599-$F$4:$F$515)/$B$10)&lt;=-1,0,IF(((H599-$F$4:$F$515)/$B$10)&gt;=1,1,(15/16)*(((H599-$F$4:$F$515)/$B$10)-(2/3)*((H599-$F$4:$F$515)/$B$10)^3+(1/5)*((H599-$F$4:$F$515)/$B$10)^5+8/15))))/COUNT($F$4:$F$515)</f>
        <v>1.953125E-3</v>
      </c>
      <c r="H599" s="5">
        <f t="shared" si="29"/>
        <v>-3.7954939878499114E-2</v>
      </c>
      <c r="K599" s="4">
        <v>0.01</v>
      </c>
      <c r="L599" s="5">
        <f t="shared" si="27"/>
        <v>-1.6954939878499008E-2</v>
      </c>
    </row>
    <row r="600" spans="4:12" ht="14.4" customHeight="1">
      <c r="D600" s="14">
        <v>42858</v>
      </c>
      <c r="E600" s="15">
        <v>6.423</v>
      </c>
      <c r="F600" s="15">
        <f t="shared" si="28"/>
        <v>-1.1479453457113433E-3</v>
      </c>
      <c r="G600" s="16" cm="1">
        <f t="array" ref="G600">SUMPRODUCT(IF(((H600-$F$4:$F$515)/$B$10)&lt;=-1,0,IF(((H600-$F$4:$F$515)/$B$10)&gt;=1,1,(15/16)*(((H600-$F$4:$F$515)/$B$10)-(2/3)*((H600-$F$4:$F$515)/$B$10)^3+(1/5)*((H600-$F$4:$F$515)/$B$10)^5+8/15))))/COUNT($F$4:$F$515)</f>
        <v>1.953125E-3</v>
      </c>
      <c r="H600" s="15">
        <f t="shared" si="29"/>
        <v>-3.7854939878499111E-2</v>
      </c>
      <c r="K600" s="14">
        <v>0.01</v>
      </c>
      <c r="L600" s="15">
        <f t="shared" si="27"/>
        <v>-1.6954939878499008E-2</v>
      </c>
    </row>
    <row r="601" spans="4:12" ht="14.4" customHeight="1">
      <c r="D601" s="4">
        <v>42859</v>
      </c>
      <c r="E601" s="5">
        <v>6.4850000000000003</v>
      </c>
      <c r="F601" s="5">
        <f t="shared" si="28"/>
        <v>4.1720584059981346E-3</v>
      </c>
      <c r="G601" s="3" cm="1">
        <f t="array" ref="G601">SUMPRODUCT(IF(((H601-$F$4:$F$515)/$B$10)&lt;=-1,0,IF(((H601-$F$4:$F$515)/$B$10)&gt;=1,1,(15/16)*(((H601-$F$4:$F$515)/$B$10)-(2/3)*((H601-$F$4:$F$515)/$B$10)^3+(1/5)*((H601-$F$4:$F$515)/$B$10)^5+8/15))))/COUNT($F$4:$F$515)</f>
        <v>1.953125E-3</v>
      </c>
      <c r="H601" s="5">
        <f t="shared" si="29"/>
        <v>-3.7754939878499108E-2</v>
      </c>
      <c r="K601" s="4">
        <v>0.01</v>
      </c>
      <c r="L601" s="5">
        <f t="shared" si="27"/>
        <v>-1.6954939878499008E-2</v>
      </c>
    </row>
    <row r="602" spans="4:12" ht="14.4" customHeight="1">
      <c r="D602" s="14">
        <v>42860</v>
      </c>
      <c r="E602" s="15">
        <v>6.5759999999999996</v>
      </c>
      <c r="F602" s="15">
        <f t="shared" si="28"/>
        <v>6.05182411189506E-3</v>
      </c>
      <c r="G602" s="16" cm="1">
        <f t="array" ref="G602">SUMPRODUCT(IF(((H602-$F$4:$F$515)/$B$10)&lt;=-1,0,IF(((H602-$F$4:$F$515)/$B$10)&gt;=1,1,(15/16)*(((H602-$F$4:$F$515)/$B$10)-(2/3)*((H602-$F$4:$F$515)/$B$10)^3+(1/5)*((H602-$F$4:$F$515)/$B$10)^5+8/15))))/COUNT($F$4:$F$515)</f>
        <v>1.953125E-3</v>
      </c>
      <c r="H602" s="15">
        <f t="shared" si="29"/>
        <v>-3.7654939878499105E-2</v>
      </c>
      <c r="K602" s="14">
        <v>0.01</v>
      </c>
      <c r="L602" s="15">
        <f t="shared" si="27"/>
        <v>-1.6954939878499008E-2</v>
      </c>
    </row>
    <row r="603" spans="4:12" ht="14.4" customHeight="1">
      <c r="D603" s="4">
        <v>42863</v>
      </c>
      <c r="E603" s="5">
        <v>6.4640000000000004</v>
      </c>
      <c r="F603" s="5">
        <f t="shared" si="28"/>
        <v>-7.4604567654641832E-3</v>
      </c>
      <c r="G603" s="3" cm="1">
        <f t="array" ref="G603">SUMPRODUCT(IF(((H603-$F$4:$F$515)/$B$10)&lt;=-1,0,IF(((H603-$F$4:$F$515)/$B$10)&gt;=1,1,(15/16)*(((H603-$F$4:$F$515)/$B$10)-(2/3)*((H603-$F$4:$F$515)/$B$10)^3+(1/5)*((H603-$F$4:$F$515)/$B$10)^5+8/15))))/COUNT($F$4:$F$515)</f>
        <v>1.953125E-3</v>
      </c>
      <c r="H603" s="5">
        <f t="shared" si="29"/>
        <v>-3.7554939878499102E-2</v>
      </c>
      <c r="K603" s="4">
        <v>0.01</v>
      </c>
      <c r="L603" s="5">
        <f t="shared" si="27"/>
        <v>-1.6954939878499008E-2</v>
      </c>
    </row>
    <row r="604" spans="4:12" ht="14.4" customHeight="1">
      <c r="D604" s="14">
        <v>42864</v>
      </c>
      <c r="E604" s="15">
        <v>6.4450000000000003</v>
      </c>
      <c r="F604" s="15">
        <f t="shared" si="28"/>
        <v>-1.2784260771079238E-3</v>
      </c>
      <c r="G604" s="16" cm="1">
        <f t="array" ref="G604">SUMPRODUCT(IF(((H604-$F$4:$F$515)/$B$10)&lt;=-1,0,IF(((H604-$F$4:$F$515)/$B$10)&gt;=1,1,(15/16)*(((H604-$F$4:$F$515)/$B$10)-(2/3)*((H604-$F$4:$F$515)/$B$10)^3+(1/5)*((H604-$F$4:$F$515)/$B$10)^5+8/15))))/COUNT($F$4:$F$515)</f>
        <v>1.953125E-3</v>
      </c>
      <c r="H604" s="15">
        <f t="shared" si="29"/>
        <v>-3.7454939878499099E-2</v>
      </c>
      <c r="K604" s="14">
        <v>0.01</v>
      </c>
      <c r="L604" s="15">
        <f t="shared" si="27"/>
        <v>-1.6954939878499008E-2</v>
      </c>
    </row>
    <row r="605" spans="4:12" ht="14.4" customHeight="1">
      <c r="D605" s="4">
        <v>42865</v>
      </c>
      <c r="E605" s="5">
        <v>6.5250000000000004</v>
      </c>
      <c r="F605" s="5">
        <f t="shared" si="28"/>
        <v>5.3575943208967096E-3</v>
      </c>
      <c r="G605" s="3" cm="1">
        <f t="array" ref="G605">SUMPRODUCT(IF(((H605-$F$4:$F$515)/$B$10)&lt;=-1,0,IF(((H605-$F$4:$F$515)/$B$10)&gt;=1,1,(15/16)*(((H605-$F$4:$F$515)/$B$10)-(2/3)*((H605-$F$4:$F$515)/$B$10)^3+(1/5)*((H605-$F$4:$F$515)/$B$10)^5+8/15))))/COUNT($F$4:$F$515)</f>
        <v>1.953125E-3</v>
      </c>
      <c r="H605" s="5">
        <f t="shared" si="29"/>
        <v>-3.7354939878499097E-2</v>
      </c>
      <c r="K605" s="4">
        <v>0.01</v>
      </c>
      <c r="L605" s="5">
        <f t="shared" si="27"/>
        <v>-1.6954939878499008E-2</v>
      </c>
    </row>
    <row r="606" spans="4:12" ht="14.4" customHeight="1">
      <c r="D606" s="14">
        <v>42866</v>
      </c>
      <c r="E606" s="15">
        <v>6.4560000000000004</v>
      </c>
      <c r="F606" s="15">
        <f t="shared" si="28"/>
        <v>-4.6169942963045644E-3</v>
      </c>
      <c r="G606" s="16" cm="1">
        <f t="array" ref="G606">SUMPRODUCT(IF(((H606-$F$4:$F$515)/$B$10)&lt;=-1,0,IF(((H606-$F$4:$F$515)/$B$10)&gt;=1,1,(15/16)*(((H606-$F$4:$F$515)/$B$10)-(2/3)*((H606-$F$4:$F$515)/$B$10)^3+(1/5)*((H606-$F$4:$F$515)/$B$10)^5+8/15))))/COUNT($F$4:$F$515)</f>
        <v>1.953125E-3</v>
      </c>
      <c r="H606" s="15">
        <f t="shared" si="29"/>
        <v>-3.7254939878499094E-2</v>
      </c>
      <c r="K606" s="14">
        <v>0.01</v>
      </c>
      <c r="L606" s="15">
        <f t="shared" si="27"/>
        <v>-1.6954939878499008E-2</v>
      </c>
    </row>
    <row r="607" spans="4:12" ht="14.4" customHeight="1">
      <c r="D607" s="4">
        <v>42867</v>
      </c>
      <c r="E607" s="5">
        <v>6.4039999999999999</v>
      </c>
      <c r="F607" s="5">
        <f t="shared" si="28"/>
        <v>-3.5121984667518986E-3</v>
      </c>
      <c r="G607" s="3" cm="1">
        <f t="array" ref="G607">SUMPRODUCT(IF(((H607-$F$4:$F$515)/$B$10)&lt;=-1,0,IF(((H607-$F$4:$F$515)/$B$10)&gt;=1,1,(15/16)*(((H607-$F$4:$F$515)/$B$10)-(2/3)*((H607-$F$4:$F$515)/$B$10)^3+(1/5)*((H607-$F$4:$F$515)/$B$10)^5+8/15))))/COUNT($F$4:$F$515)</f>
        <v>1.953125E-3</v>
      </c>
      <c r="H607" s="5">
        <f t="shared" si="29"/>
        <v>-3.7154939878499091E-2</v>
      </c>
      <c r="K607" s="4">
        <v>0.01</v>
      </c>
      <c r="L607" s="5">
        <f t="shared" si="27"/>
        <v>-1.6954939878499008E-2</v>
      </c>
    </row>
    <row r="608" spans="4:12" ht="14.4" customHeight="1">
      <c r="D608" s="14">
        <v>42870</v>
      </c>
      <c r="E608" s="15">
        <v>6.5620000000000003</v>
      </c>
      <c r="F608" s="15">
        <f t="shared" si="28"/>
        <v>1.0584902802766786E-2</v>
      </c>
      <c r="G608" s="16" cm="1">
        <f t="array" ref="G608">SUMPRODUCT(IF(((H608-$F$4:$F$515)/$B$10)&lt;=-1,0,IF(((H608-$F$4:$F$515)/$B$10)&gt;=1,1,(15/16)*(((H608-$F$4:$F$515)/$B$10)-(2/3)*((H608-$F$4:$F$515)/$B$10)^3+(1/5)*((H608-$F$4:$F$515)/$B$10)^5+8/15))))/COUNT($F$4:$F$515)</f>
        <v>1.953125E-3</v>
      </c>
      <c r="H608" s="15">
        <f t="shared" si="29"/>
        <v>-3.7054939878499088E-2</v>
      </c>
      <c r="K608" s="14">
        <v>0.01</v>
      </c>
      <c r="L608" s="15">
        <f t="shared" si="27"/>
        <v>-1.6954939878499008E-2</v>
      </c>
    </row>
    <row r="609" spans="4:12" ht="14.4" customHeight="1">
      <c r="D609" s="4">
        <v>42871</v>
      </c>
      <c r="E609" s="5">
        <v>6.5519999999999996</v>
      </c>
      <c r="F609" s="5">
        <f t="shared" si="28"/>
        <v>-6.6233729766685214E-4</v>
      </c>
      <c r="G609" s="3" cm="1">
        <f t="array" ref="G609">SUMPRODUCT(IF(((H609-$F$4:$F$515)/$B$10)&lt;=-1,0,IF(((H609-$F$4:$F$515)/$B$10)&gt;=1,1,(15/16)*(((H609-$F$4:$F$515)/$B$10)-(2/3)*((H609-$F$4:$F$515)/$B$10)^3+(1/5)*((H609-$F$4:$F$515)/$B$10)^5+8/15))))/COUNT($F$4:$F$515)</f>
        <v>1.953125E-3</v>
      </c>
      <c r="H609" s="5">
        <f t="shared" si="29"/>
        <v>-3.6954939878499085E-2</v>
      </c>
      <c r="K609" s="4">
        <v>0.01</v>
      </c>
      <c r="L609" s="5">
        <f t="shared" si="27"/>
        <v>-1.6954939878499008E-2</v>
      </c>
    </row>
    <row r="610" spans="4:12" ht="14.4" customHeight="1">
      <c r="D610" s="14">
        <v>42872</v>
      </c>
      <c r="E610" s="15">
        <v>6.343</v>
      </c>
      <c r="F610" s="15">
        <f t="shared" si="28"/>
        <v>-1.4079177354898321E-2</v>
      </c>
      <c r="G610" s="16" cm="1">
        <f t="array" ref="G610">SUMPRODUCT(IF(((H610-$F$4:$F$515)/$B$10)&lt;=-1,0,IF(((H610-$F$4:$F$515)/$B$10)&gt;=1,1,(15/16)*(((H610-$F$4:$F$515)/$B$10)-(2/3)*((H610-$F$4:$F$515)/$B$10)^3+(1/5)*((H610-$F$4:$F$515)/$B$10)^5+8/15))))/COUNT($F$4:$F$515)</f>
        <v>1.953125E-3</v>
      </c>
      <c r="H610" s="15">
        <f t="shared" si="29"/>
        <v>-3.6854939878499082E-2</v>
      </c>
      <c r="K610" s="14">
        <v>0.01</v>
      </c>
      <c r="L610" s="15">
        <f t="shared" si="27"/>
        <v>-1.6954939878499008E-2</v>
      </c>
    </row>
    <row r="611" spans="4:12" ht="14.4" customHeight="1">
      <c r="D611" s="4">
        <v>42873</v>
      </c>
      <c r="E611" s="5">
        <v>6.2539999999999996</v>
      </c>
      <c r="F611" s="5">
        <f t="shared" si="28"/>
        <v>-6.1368344905493519E-3</v>
      </c>
      <c r="G611" s="3" cm="1">
        <f t="array" ref="G611">SUMPRODUCT(IF(((H611-$F$4:$F$515)/$B$10)&lt;=-1,0,IF(((H611-$F$4:$F$515)/$B$10)&gt;=1,1,(15/16)*(((H611-$F$4:$F$515)/$B$10)-(2/3)*((H611-$F$4:$F$515)/$B$10)^3+(1/5)*((H611-$F$4:$F$515)/$B$10)^5+8/15))))/COUNT($F$4:$F$515)</f>
        <v>1.953125E-3</v>
      </c>
      <c r="H611" s="5">
        <f t="shared" si="29"/>
        <v>-3.6754939878499079E-2</v>
      </c>
      <c r="K611" s="4">
        <v>0.01</v>
      </c>
      <c r="L611" s="5">
        <f t="shared" si="27"/>
        <v>-1.6954939878499008E-2</v>
      </c>
    </row>
    <row r="612" spans="4:12" ht="14.4" customHeight="1">
      <c r="D612" s="14">
        <v>42874</v>
      </c>
      <c r="E612" s="15">
        <v>6.3470000000000004</v>
      </c>
      <c r="F612" s="15">
        <f t="shared" si="28"/>
        <v>6.4106214070420555E-3</v>
      </c>
      <c r="G612" s="16" cm="1">
        <f t="array" ref="G612">SUMPRODUCT(IF(((H612-$F$4:$F$515)/$B$10)&lt;=-1,0,IF(((H612-$F$4:$F$515)/$B$10)&gt;=1,1,(15/16)*(((H612-$F$4:$F$515)/$B$10)-(2/3)*((H612-$F$4:$F$515)/$B$10)^3+(1/5)*((H612-$F$4:$F$515)/$B$10)^5+8/15))))/COUNT($F$4:$F$515)</f>
        <v>1.953125E-3</v>
      </c>
      <c r="H612" s="15">
        <f t="shared" si="29"/>
        <v>-3.6654939878499077E-2</v>
      </c>
      <c r="K612" s="14">
        <v>0.01</v>
      </c>
      <c r="L612" s="15">
        <f t="shared" si="27"/>
        <v>-1.6954939878499008E-2</v>
      </c>
    </row>
    <row r="613" spans="4:12" ht="14.4" customHeight="1">
      <c r="D613" s="4">
        <v>42877</v>
      </c>
      <c r="E613" s="5">
        <v>6.2809999999999997</v>
      </c>
      <c r="F613" s="5">
        <f t="shared" si="28"/>
        <v>-4.5397049098834371E-3</v>
      </c>
      <c r="G613" s="3" cm="1">
        <f t="array" ref="G613">SUMPRODUCT(IF(((H613-$F$4:$F$515)/$B$10)&lt;=-1,0,IF(((H613-$F$4:$F$515)/$B$10)&gt;=1,1,(15/16)*(((H613-$F$4:$F$515)/$B$10)-(2/3)*((H613-$F$4:$F$515)/$B$10)^3+(1/5)*((H613-$F$4:$F$515)/$B$10)^5+8/15))))/COUNT($F$4:$F$515)</f>
        <v>1.953125E-3</v>
      </c>
      <c r="H613" s="5">
        <f t="shared" si="29"/>
        <v>-3.6554939878499074E-2</v>
      </c>
      <c r="K613" s="4">
        <v>0.01</v>
      </c>
      <c r="L613" s="5">
        <f t="shared" si="27"/>
        <v>-1.6954939878499008E-2</v>
      </c>
    </row>
    <row r="614" spans="4:12" ht="14.4" customHeight="1">
      <c r="D614" s="14">
        <v>42878</v>
      </c>
      <c r="E614" s="15">
        <v>6.444</v>
      </c>
      <c r="F614" s="15">
        <f t="shared" si="28"/>
        <v>1.1126738343107354E-2</v>
      </c>
      <c r="G614" s="16" cm="1">
        <f t="array" ref="G614">SUMPRODUCT(IF(((H614-$F$4:$F$515)/$B$10)&lt;=-1,0,IF(((H614-$F$4:$F$515)/$B$10)&gt;=1,1,(15/16)*(((H614-$F$4:$F$515)/$B$10)-(2/3)*((H614-$F$4:$F$515)/$B$10)^3+(1/5)*((H614-$F$4:$F$515)/$B$10)^5+8/15))))/COUNT($F$4:$F$515)</f>
        <v>1.953125E-3</v>
      </c>
      <c r="H614" s="15">
        <f t="shared" si="29"/>
        <v>-3.6454939878499071E-2</v>
      </c>
      <c r="K614" s="14">
        <v>0.01</v>
      </c>
      <c r="L614" s="15">
        <f t="shared" si="27"/>
        <v>-1.6954939878499008E-2</v>
      </c>
    </row>
    <row r="615" spans="4:12" ht="14.4" customHeight="1">
      <c r="D615" s="4">
        <v>42879</v>
      </c>
      <c r="E615" s="5">
        <v>6.5250000000000004</v>
      </c>
      <c r="F615" s="5">
        <f t="shared" si="28"/>
        <v>5.4249842631381847E-3</v>
      </c>
      <c r="G615" s="3" cm="1">
        <f t="array" ref="G615">SUMPRODUCT(IF(((H615-$F$4:$F$515)/$B$10)&lt;=-1,0,IF(((H615-$F$4:$F$515)/$B$10)&gt;=1,1,(15/16)*(((H615-$F$4:$F$515)/$B$10)-(2/3)*((H615-$F$4:$F$515)/$B$10)^3+(1/5)*((H615-$F$4:$F$515)/$B$10)^5+8/15))))/COUNT($F$4:$F$515)</f>
        <v>1.953125E-3</v>
      </c>
      <c r="H615" s="5">
        <f t="shared" si="29"/>
        <v>-3.6354939878499068E-2</v>
      </c>
      <c r="K615" s="4">
        <v>0.01</v>
      </c>
      <c r="L615" s="5">
        <f t="shared" si="27"/>
        <v>-1.6954939878499008E-2</v>
      </c>
    </row>
    <row r="616" spans="4:12" ht="14.4" customHeight="1">
      <c r="D616" s="14">
        <v>42880</v>
      </c>
      <c r="E616" s="15">
        <v>6.4749999999999996</v>
      </c>
      <c r="F616" s="15">
        <f t="shared" si="28"/>
        <v>-3.3407432570291629E-3</v>
      </c>
      <c r="G616" s="16" cm="1">
        <f t="array" ref="G616">SUMPRODUCT(IF(((H616-$F$4:$F$515)/$B$10)&lt;=-1,0,IF(((H616-$F$4:$F$515)/$B$10)&gt;=1,1,(15/16)*(((H616-$F$4:$F$515)/$B$10)-(2/3)*((H616-$F$4:$F$515)/$B$10)^3+(1/5)*((H616-$F$4:$F$515)/$B$10)^5+8/15))))/COUNT($F$4:$F$515)</f>
        <v>1.953125E-3</v>
      </c>
      <c r="H616" s="15">
        <f t="shared" si="29"/>
        <v>-3.6254939878499065E-2</v>
      </c>
      <c r="K616" s="14">
        <v>0.01</v>
      </c>
      <c r="L616" s="15">
        <f t="shared" si="27"/>
        <v>-1.6954939878499008E-2</v>
      </c>
    </row>
    <row r="617" spans="4:12" ht="14.4" customHeight="1">
      <c r="D617" s="4">
        <v>42881</v>
      </c>
      <c r="E617" s="5">
        <v>6.1210000000000004</v>
      </c>
      <c r="F617" s="5">
        <f t="shared" si="28"/>
        <v>-2.4417393254101971E-2</v>
      </c>
      <c r="G617" s="3" cm="1">
        <f t="array" ref="G617">SUMPRODUCT(IF(((H617-$F$4:$F$515)/$B$10)&lt;=-1,0,IF(((H617-$F$4:$F$515)/$B$10)&gt;=1,1,(15/16)*(((H617-$F$4:$F$515)/$B$10)-(2/3)*((H617-$F$4:$F$515)/$B$10)^3+(1/5)*((H617-$F$4:$F$515)/$B$10)^5+8/15))))/COUNT($F$4:$F$515)</f>
        <v>1.953125E-3</v>
      </c>
      <c r="H617" s="5">
        <f t="shared" si="29"/>
        <v>-3.6154939878499062E-2</v>
      </c>
      <c r="K617" s="4">
        <v>0.01</v>
      </c>
      <c r="L617" s="5">
        <f t="shared" si="27"/>
        <v>-1.6954939878499008E-2</v>
      </c>
    </row>
    <row r="618" spans="4:12" ht="14.4" customHeight="1">
      <c r="D618" s="14">
        <v>42884</v>
      </c>
      <c r="E618" s="15">
        <v>6.0960000000000001</v>
      </c>
      <c r="F618" s="15">
        <f t="shared" si="28"/>
        <v>-1.777421167643375E-3</v>
      </c>
      <c r="G618" s="16" cm="1">
        <f t="array" ref="G618">SUMPRODUCT(IF(((H618-$F$4:$F$515)/$B$10)&lt;=-1,0,IF(((H618-$F$4:$F$515)/$B$10)&gt;=1,1,(15/16)*(((H618-$F$4:$F$515)/$B$10)-(2/3)*((H618-$F$4:$F$515)/$B$10)^3+(1/5)*((H618-$F$4:$F$515)/$B$10)^5+8/15))))/COUNT($F$4:$F$515)</f>
        <v>1.953125E-3</v>
      </c>
      <c r="H618" s="15">
        <f t="shared" si="29"/>
        <v>-3.6054939878499059E-2</v>
      </c>
      <c r="K618" s="14">
        <v>0.01</v>
      </c>
      <c r="L618" s="15">
        <f t="shared" si="27"/>
        <v>-1.6954939878499008E-2</v>
      </c>
    </row>
    <row r="619" spans="4:12" ht="14.4" customHeight="1">
      <c r="D619" s="4">
        <v>42885</v>
      </c>
      <c r="E619" s="5">
        <v>5.9370000000000003</v>
      </c>
      <c r="F619" s="5">
        <f t="shared" si="28"/>
        <v>-1.1477909405485359E-2</v>
      </c>
      <c r="G619" s="3" cm="1">
        <f t="array" ref="G619">SUMPRODUCT(IF(((H619-$F$4:$F$515)/$B$10)&lt;=-1,0,IF(((H619-$F$4:$F$515)/$B$10)&gt;=1,1,(15/16)*(((H619-$F$4:$F$515)/$B$10)-(2/3)*((H619-$F$4:$F$515)/$B$10)^3+(1/5)*((H619-$F$4:$F$515)/$B$10)^5+8/15))))/COUNT($F$4:$F$515)</f>
        <v>1.953125E-3</v>
      </c>
      <c r="H619" s="5">
        <f t="shared" si="29"/>
        <v>-3.5954939878499056E-2</v>
      </c>
      <c r="K619" s="4">
        <v>0.01</v>
      </c>
      <c r="L619" s="5">
        <f t="shared" si="27"/>
        <v>-1.6954939878499008E-2</v>
      </c>
    </row>
    <row r="620" spans="4:12" ht="14.4" customHeight="1">
      <c r="D620" s="14">
        <v>42886</v>
      </c>
      <c r="E620" s="15">
        <v>5.88</v>
      </c>
      <c r="F620" s="15">
        <f t="shared" si="28"/>
        <v>-4.1897228499202573E-3</v>
      </c>
      <c r="G620" s="16" cm="1">
        <f t="array" ref="G620">SUMPRODUCT(IF(((H620-$F$4:$F$515)/$B$10)&lt;=-1,0,IF(((H620-$F$4:$F$515)/$B$10)&gt;=1,1,(15/16)*(((H620-$F$4:$F$515)/$B$10)-(2/3)*((H620-$F$4:$F$515)/$B$10)^3+(1/5)*((H620-$F$4:$F$515)/$B$10)^5+8/15))))/COUNT($F$4:$F$515)</f>
        <v>1.953125E-3</v>
      </c>
      <c r="H620" s="15">
        <f t="shared" si="29"/>
        <v>-3.5854939878499054E-2</v>
      </c>
      <c r="K620" s="14">
        <v>0.01</v>
      </c>
      <c r="L620" s="15">
        <f t="shared" si="27"/>
        <v>-1.6954939878499008E-2</v>
      </c>
    </row>
    <row r="621" spans="4:12" ht="14.4" customHeight="1">
      <c r="D621" s="4">
        <v>42887</v>
      </c>
      <c r="E621" s="5">
        <v>5.9560000000000004</v>
      </c>
      <c r="F621" s="5">
        <f t="shared" si="28"/>
        <v>5.5773630040000825E-3</v>
      </c>
      <c r="G621" s="3" cm="1">
        <f t="array" ref="G621">SUMPRODUCT(IF(((H621-$F$4:$F$515)/$B$10)&lt;=-1,0,IF(((H621-$F$4:$F$515)/$B$10)&gt;=1,1,(15/16)*(((H621-$F$4:$F$515)/$B$10)-(2/3)*((H621-$F$4:$F$515)/$B$10)^3+(1/5)*((H621-$F$4:$F$515)/$B$10)^5+8/15))))/COUNT($F$4:$F$515)</f>
        <v>1.953125E-3</v>
      </c>
      <c r="H621" s="5">
        <f t="shared" si="29"/>
        <v>-3.5754939878499051E-2</v>
      </c>
      <c r="K621" s="4">
        <v>0.01</v>
      </c>
      <c r="L621" s="5">
        <f t="shared" si="27"/>
        <v>-1.6954939878499008E-2</v>
      </c>
    </row>
    <row r="622" spans="4:12" ht="14.4" customHeight="1">
      <c r="D622" s="14">
        <v>42888</v>
      </c>
      <c r="E622" s="15">
        <v>5.9630000000000001</v>
      </c>
      <c r="F622" s="15">
        <f t="shared" si="28"/>
        <v>5.101202656006402E-4</v>
      </c>
      <c r="G622" s="16" cm="1">
        <f t="array" ref="G622">SUMPRODUCT(IF(((H622-$F$4:$F$515)/$B$10)&lt;=-1,0,IF(((H622-$F$4:$F$515)/$B$10)&gt;=1,1,(15/16)*(((H622-$F$4:$F$515)/$B$10)-(2/3)*((H622-$F$4:$F$515)/$B$10)^3+(1/5)*((H622-$F$4:$F$515)/$B$10)^5+8/15))))/COUNT($F$4:$F$515)</f>
        <v>1.953125E-3</v>
      </c>
      <c r="H622" s="15">
        <f t="shared" si="29"/>
        <v>-3.5654939878499048E-2</v>
      </c>
      <c r="K622" s="14">
        <v>0.01</v>
      </c>
      <c r="L622" s="15">
        <f t="shared" si="27"/>
        <v>-1.6954939878499008E-2</v>
      </c>
    </row>
    <row r="623" spans="4:12" ht="14.4" customHeight="1">
      <c r="D623" s="4">
        <v>42891</v>
      </c>
      <c r="E623" s="5">
        <v>5.9139999999999997</v>
      </c>
      <c r="F623" s="5">
        <f t="shared" si="28"/>
        <v>-3.5834891556404051E-3</v>
      </c>
      <c r="G623" s="3" cm="1">
        <f t="array" ref="G623">SUMPRODUCT(IF(((H623-$F$4:$F$515)/$B$10)&lt;=-1,0,IF(((H623-$F$4:$F$515)/$B$10)&gt;=1,1,(15/16)*(((H623-$F$4:$F$515)/$B$10)-(2/3)*((H623-$F$4:$F$515)/$B$10)^3+(1/5)*((H623-$F$4:$F$515)/$B$10)^5+8/15))))/COUNT($F$4:$F$515)</f>
        <v>1.953125E-3</v>
      </c>
      <c r="H623" s="5">
        <f t="shared" si="29"/>
        <v>-3.5554939878499045E-2</v>
      </c>
      <c r="K623" s="4">
        <v>0.01</v>
      </c>
      <c r="L623" s="5">
        <f t="shared" si="27"/>
        <v>-1.6954939878499008E-2</v>
      </c>
    </row>
    <row r="624" spans="4:12" ht="14.4" customHeight="1">
      <c r="D624" s="14">
        <v>42892</v>
      </c>
      <c r="E624" s="15">
        <v>5.8410000000000002</v>
      </c>
      <c r="F624" s="15">
        <f t="shared" si="28"/>
        <v>-5.3941139504047123E-3</v>
      </c>
      <c r="G624" s="16" cm="1">
        <f t="array" ref="G624">SUMPRODUCT(IF(((H624-$F$4:$F$515)/$B$10)&lt;=-1,0,IF(((H624-$F$4:$F$515)/$B$10)&gt;=1,1,(15/16)*(((H624-$F$4:$F$515)/$B$10)-(2/3)*((H624-$F$4:$F$515)/$B$10)^3+(1/5)*((H624-$F$4:$F$515)/$B$10)^5+8/15))))/COUNT($F$4:$F$515)</f>
        <v>1.953125E-3</v>
      </c>
      <c r="H624" s="15">
        <f t="shared" si="29"/>
        <v>-3.5454939878499042E-2</v>
      </c>
      <c r="K624" s="14">
        <v>0.01</v>
      </c>
      <c r="L624" s="15">
        <f t="shared" si="27"/>
        <v>-1.6954939878499008E-2</v>
      </c>
    </row>
    <row r="625" spans="4:12" ht="14.4" customHeight="1">
      <c r="D625" s="4">
        <v>42893</v>
      </c>
      <c r="E625" s="5">
        <v>5.8719999999999999</v>
      </c>
      <c r="F625" s="5">
        <f t="shared" si="28"/>
        <v>2.2988406683199501E-3</v>
      </c>
      <c r="G625" s="3" cm="1">
        <f t="array" ref="G625">SUMPRODUCT(IF(((H625-$F$4:$F$515)/$B$10)&lt;=-1,0,IF(((H625-$F$4:$F$515)/$B$10)&gt;=1,1,(15/16)*(((H625-$F$4:$F$515)/$B$10)-(2/3)*((H625-$F$4:$F$515)/$B$10)^3+(1/5)*((H625-$F$4:$F$515)/$B$10)^5+8/15))))/COUNT($F$4:$F$515)</f>
        <v>1.953125E-3</v>
      </c>
      <c r="H625" s="5">
        <f t="shared" si="29"/>
        <v>-3.5354939878499039E-2</v>
      </c>
      <c r="K625" s="4">
        <v>0.01</v>
      </c>
      <c r="L625" s="5">
        <f t="shared" si="27"/>
        <v>-1.6954939878499008E-2</v>
      </c>
    </row>
    <row r="626" spans="4:12" ht="14.4" customHeight="1">
      <c r="D626" s="14">
        <v>42894</v>
      </c>
      <c r="E626" s="15">
        <v>5.9619999999999997</v>
      </c>
      <c r="F626" s="15">
        <f t="shared" si="28"/>
        <v>6.6059247885978545E-3</v>
      </c>
      <c r="G626" s="16" cm="1">
        <f t="array" ref="G626">SUMPRODUCT(IF(((H626-$F$4:$F$515)/$B$10)&lt;=-1,0,IF(((H626-$F$4:$F$515)/$B$10)&gt;=1,1,(15/16)*(((H626-$F$4:$F$515)/$B$10)-(2/3)*((H626-$F$4:$F$515)/$B$10)^3+(1/5)*((H626-$F$4:$F$515)/$B$10)^5+8/15))))/COUNT($F$4:$F$515)</f>
        <v>1.953125E-3</v>
      </c>
      <c r="H626" s="15">
        <f t="shared" si="29"/>
        <v>-3.5254939878499036E-2</v>
      </c>
      <c r="K626" s="14">
        <v>0.01</v>
      </c>
      <c r="L626" s="15">
        <f t="shared" si="27"/>
        <v>-1.6954939878499008E-2</v>
      </c>
    </row>
    <row r="627" spans="4:12" ht="14.4" customHeight="1">
      <c r="D627" s="4">
        <v>42895</v>
      </c>
      <c r="E627" s="5">
        <v>6.0629999999999997</v>
      </c>
      <c r="F627" s="5">
        <f t="shared" si="28"/>
        <v>7.2955965383544553E-3</v>
      </c>
      <c r="G627" s="3" cm="1">
        <f t="array" ref="G627">SUMPRODUCT(IF(((H627-$F$4:$F$515)/$B$10)&lt;=-1,0,IF(((H627-$F$4:$F$515)/$B$10)&gt;=1,1,(15/16)*(((H627-$F$4:$F$515)/$B$10)-(2/3)*((H627-$F$4:$F$515)/$B$10)^3+(1/5)*((H627-$F$4:$F$515)/$B$10)^5+8/15))))/COUNT($F$4:$F$515)</f>
        <v>1.953125E-3</v>
      </c>
      <c r="H627" s="5">
        <f t="shared" si="29"/>
        <v>-3.5154939878499034E-2</v>
      </c>
      <c r="K627" s="4">
        <v>0.01</v>
      </c>
      <c r="L627" s="5">
        <f t="shared" si="27"/>
        <v>-1.6954939878499008E-2</v>
      </c>
    </row>
    <row r="628" spans="4:12" ht="14.4" customHeight="1">
      <c r="D628" s="14">
        <v>42898</v>
      </c>
      <c r="E628" s="15">
        <v>5.9619999999999997</v>
      </c>
      <c r="F628" s="15">
        <f t="shared" si="28"/>
        <v>-7.2955965383544649E-3</v>
      </c>
      <c r="G628" s="16" cm="1">
        <f t="array" ref="G628">SUMPRODUCT(IF(((H628-$F$4:$F$515)/$B$10)&lt;=-1,0,IF(((H628-$F$4:$F$515)/$B$10)&gt;=1,1,(15/16)*(((H628-$F$4:$F$515)/$B$10)-(2/3)*((H628-$F$4:$F$515)/$B$10)^3+(1/5)*((H628-$F$4:$F$515)/$B$10)^5+8/15))))/COUNT($F$4:$F$515)</f>
        <v>1.953125E-3</v>
      </c>
      <c r="H628" s="15">
        <f t="shared" si="29"/>
        <v>-3.5054939878499031E-2</v>
      </c>
      <c r="K628" s="14">
        <v>0.01</v>
      </c>
      <c r="L628" s="15">
        <f t="shared" si="27"/>
        <v>-1.6954939878499008E-2</v>
      </c>
    </row>
    <row r="629" spans="4:12" ht="14.4" customHeight="1">
      <c r="D629" s="4">
        <v>42899</v>
      </c>
      <c r="E629" s="5">
        <v>5.9980000000000002</v>
      </c>
      <c r="F629" s="5">
        <f t="shared" si="28"/>
        <v>2.614489726896443E-3</v>
      </c>
      <c r="G629" s="3" cm="1">
        <f t="array" ref="G629">SUMPRODUCT(IF(((H629-$F$4:$F$515)/$B$10)&lt;=-1,0,IF(((H629-$F$4:$F$515)/$B$10)&gt;=1,1,(15/16)*(((H629-$F$4:$F$515)/$B$10)-(2/3)*((H629-$F$4:$F$515)/$B$10)^3+(1/5)*((H629-$F$4:$F$515)/$B$10)^5+8/15))))/COUNT($F$4:$F$515)</f>
        <v>1.953125E-3</v>
      </c>
      <c r="H629" s="5">
        <f t="shared" si="29"/>
        <v>-3.4954939878499028E-2</v>
      </c>
      <c r="K629" s="4">
        <v>0.01</v>
      </c>
      <c r="L629" s="5">
        <f t="shared" si="27"/>
        <v>-1.6954939878499008E-2</v>
      </c>
    </row>
    <row r="630" spans="4:12" ht="14.4" customHeight="1">
      <c r="D630" s="14">
        <v>42900</v>
      </c>
      <c r="E630" s="15">
        <v>5.8129999999999997</v>
      </c>
      <c r="F630" s="15">
        <f t="shared" si="28"/>
        <v>-1.3606138467120258E-2</v>
      </c>
      <c r="G630" s="16" cm="1">
        <f t="array" ref="G630">SUMPRODUCT(IF(((H630-$F$4:$F$515)/$B$10)&lt;=-1,0,IF(((H630-$F$4:$F$515)/$B$10)&gt;=1,1,(15/16)*(((H630-$F$4:$F$515)/$B$10)-(2/3)*((H630-$F$4:$F$515)/$B$10)^3+(1/5)*((H630-$F$4:$F$515)/$B$10)^5+8/15))))/COUNT($F$4:$F$515)</f>
        <v>1.953125E-3</v>
      </c>
      <c r="H630" s="15">
        <f t="shared" si="29"/>
        <v>-3.4854939878499025E-2</v>
      </c>
      <c r="K630" s="14">
        <v>0.01</v>
      </c>
      <c r="L630" s="15">
        <f t="shared" si="27"/>
        <v>-1.6954939878499008E-2</v>
      </c>
    </row>
    <row r="631" spans="4:12" ht="14.4" customHeight="1">
      <c r="D631" s="4">
        <v>42901</v>
      </c>
      <c r="E631" s="5">
        <v>5.8209999999999997</v>
      </c>
      <c r="F631" s="5">
        <f t="shared" si="28"/>
        <v>5.9727632849248505E-4</v>
      </c>
      <c r="G631" s="3" cm="1">
        <f t="array" ref="G631">SUMPRODUCT(IF(((H631-$F$4:$F$515)/$B$10)&lt;=-1,0,IF(((H631-$F$4:$F$515)/$B$10)&gt;=1,1,(15/16)*(((H631-$F$4:$F$515)/$B$10)-(2/3)*((H631-$F$4:$F$515)/$B$10)^3+(1/5)*((H631-$F$4:$F$515)/$B$10)^5+8/15))))/COUNT($F$4:$F$515)</f>
        <v>1.953125E-3</v>
      </c>
      <c r="H631" s="5">
        <f t="shared" si="29"/>
        <v>-3.4754939878499022E-2</v>
      </c>
      <c r="K631" s="4">
        <v>0.01</v>
      </c>
      <c r="L631" s="5">
        <f t="shared" si="27"/>
        <v>-1.6954939878499008E-2</v>
      </c>
    </row>
    <row r="632" spans="4:12" ht="14.4" customHeight="1">
      <c r="D632" s="14">
        <v>42902</v>
      </c>
      <c r="E632" s="15">
        <v>5.8289999999999997</v>
      </c>
      <c r="F632" s="15">
        <f t="shared" si="28"/>
        <v>5.9645603456440742E-4</v>
      </c>
      <c r="G632" s="16" cm="1">
        <f t="array" ref="G632">SUMPRODUCT(IF(((H632-$F$4:$F$515)/$B$10)&lt;=-1,0,IF(((H632-$F$4:$F$515)/$B$10)&gt;=1,1,(15/16)*(((H632-$F$4:$F$515)/$B$10)-(2/3)*((H632-$F$4:$F$515)/$B$10)^3+(1/5)*((H632-$F$4:$F$515)/$B$10)^5+8/15))))/COUNT($F$4:$F$515)</f>
        <v>1.953125E-3</v>
      </c>
      <c r="H632" s="15">
        <f t="shared" si="29"/>
        <v>-3.4654939878499019E-2</v>
      </c>
      <c r="K632" s="14">
        <v>0.01</v>
      </c>
      <c r="L632" s="15">
        <f t="shared" si="27"/>
        <v>-1.6954939878499008E-2</v>
      </c>
    </row>
    <row r="633" spans="4:12" ht="14.4" customHeight="1">
      <c r="D633" s="4">
        <v>42905</v>
      </c>
      <c r="E633" s="5">
        <v>5.9550000000000001</v>
      </c>
      <c r="F633" s="5">
        <f t="shared" si="28"/>
        <v>9.2877104993513461E-3</v>
      </c>
      <c r="G633" s="3" cm="1">
        <f t="array" ref="G633">SUMPRODUCT(IF(((H633-$F$4:$F$515)/$B$10)&lt;=-1,0,IF(((H633-$F$4:$F$515)/$B$10)&gt;=1,1,(15/16)*(((H633-$F$4:$F$515)/$B$10)-(2/3)*((H633-$F$4:$F$515)/$B$10)^3+(1/5)*((H633-$F$4:$F$515)/$B$10)^5+8/15))))/COUNT($F$4:$F$515)</f>
        <v>1.953125E-3</v>
      </c>
      <c r="H633" s="5">
        <f t="shared" si="29"/>
        <v>-3.4554939878499016E-2</v>
      </c>
      <c r="K633" s="4">
        <v>0.01</v>
      </c>
      <c r="L633" s="5">
        <f t="shared" si="27"/>
        <v>-1.6954939878499008E-2</v>
      </c>
    </row>
    <row r="634" spans="4:12" ht="14.4" customHeight="1">
      <c r="D634" s="14">
        <v>42906</v>
      </c>
      <c r="E634" s="15">
        <v>5.915</v>
      </c>
      <c r="F634" s="15">
        <f t="shared" si="28"/>
        <v>-2.9270168548471125E-3</v>
      </c>
      <c r="G634" s="16" cm="1">
        <f t="array" ref="G634">SUMPRODUCT(IF(((H634-$F$4:$F$515)/$B$10)&lt;=-1,0,IF(((H634-$F$4:$F$515)/$B$10)&gt;=1,1,(15/16)*(((H634-$F$4:$F$515)/$B$10)-(2/3)*((H634-$F$4:$F$515)/$B$10)^3+(1/5)*((H634-$F$4:$F$515)/$B$10)^5+8/15))))/COUNT($F$4:$F$515)</f>
        <v>1.953125E-3</v>
      </c>
      <c r="H634" s="15">
        <f t="shared" si="29"/>
        <v>-3.4454939878499014E-2</v>
      </c>
      <c r="K634" s="14">
        <v>0.01</v>
      </c>
      <c r="L634" s="15">
        <f t="shared" si="27"/>
        <v>-1.6954939878499008E-2</v>
      </c>
    </row>
    <row r="635" spans="4:12" ht="14.4" customHeight="1">
      <c r="D635" s="4">
        <v>42907</v>
      </c>
      <c r="E635" s="5">
        <v>5.8659999999999997</v>
      </c>
      <c r="F635" s="5">
        <f t="shared" si="28"/>
        <v>-3.6126903194158666E-3</v>
      </c>
      <c r="G635" s="3" cm="1">
        <f t="array" ref="G635">SUMPRODUCT(IF(((H635-$F$4:$F$515)/$B$10)&lt;=-1,0,IF(((H635-$F$4:$F$515)/$B$10)&gt;=1,1,(15/16)*(((H635-$F$4:$F$515)/$B$10)-(2/3)*((H635-$F$4:$F$515)/$B$10)^3+(1/5)*((H635-$F$4:$F$515)/$B$10)^5+8/15))))/COUNT($F$4:$F$515)</f>
        <v>1.953125E-3</v>
      </c>
      <c r="H635" s="5">
        <f t="shared" si="29"/>
        <v>-3.4354939878499011E-2</v>
      </c>
      <c r="K635" s="4">
        <v>0.01</v>
      </c>
      <c r="L635" s="5">
        <f t="shared" si="27"/>
        <v>-1.6954939878499008E-2</v>
      </c>
    </row>
    <row r="636" spans="4:12" ht="14.4" customHeight="1">
      <c r="D636" s="14">
        <v>42908</v>
      </c>
      <c r="E636" s="15">
        <v>5.8890000000000002</v>
      </c>
      <c r="F636" s="15">
        <f t="shared" si="28"/>
        <v>1.6994956751353325E-3</v>
      </c>
      <c r="G636" s="16" cm="1">
        <f t="array" ref="G636">SUMPRODUCT(IF(((H636-$F$4:$F$515)/$B$10)&lt;=-1,0,IF(((H636-$F$4:$F$515)/$B$10)&gt;=1,1,(15/16)*(((H636-$F$4:$F$515)/$B$10)-(2/3)*((H636-$F$4:$F$515)/$B$10)^3+(1/5)*((H636-$F$4:$F$515)/$B$10)^5+8/15))))/COUNT($F$4:$F$515)</f>
        <v>1.9531258104912527E-3</v>
      </c>
      <c r="H636" s="15">
        <f t="shared" si="29"/>
        <v>-3.4254939878499008E-2</v>
      </c>
      <c r="K636" s="14">
        <v>0.01</v>
      </c>
      <c r="L636" s="15">
        <f t="shared" si="27"/>
        <v>-1.6954939878499008E-2</v>
      </c>
    </row>
    <row r="637" spans="4:12" ht="14.4" customHeight="1">
      <c r="D637" s="4">
        <v>42909</v>
      </c>
      <c r="E637" s="5">
        <v>5.8120000000000003</v>
      </c>
      <c r="F637" s="5">
        <f t="shared" si="28"/>
        <v>-5.7159486936847045E-3</v>
      </c>
      <c r="G637" s="3" cm="1">
        <f t="array" ref="G637">SUMPRODUCT(IF(((H637-$F$4:$F$515)/$B$10)&lt;=-1,0,IF(((H637-$F$4:$F$515)/$B$10)&gt;=1,1,(15/16)*(((H637-$F$4:$F$515)/$B$10)-(2/3)*((H637-$F$4:$F$515)/$B$10)^3+(1/5)*((H637-$F$4:$F$515)/$B$10)^5+8/15))))/COUNT($F$4:$F$515)</f>
        <v>1.9532583128279743E-3</v>
      </c>
      <c r="H637" s="5">
        <f t="shared" si="29"/>
        <v>-3.4154939878499005E-2</v>
      </c>
      <c r="K637" s="4">
        <v>0.01</v>
      </c>
      <c r="L637" s="5">
        <f t="shared" si="27"/>
        <v>-1.6954939878499008E-2</v>
      </c>
    </row>
    <row r="638" spans="4:12" ht="14.4" customHeight="1">
      <c r="D638" s="14">
        <v>42912</v>
      </c>
      <c r="E638" s="15">
        <v>5.8970000000000002</v>
      </c>
      <c r="F638" s="15">
        <f t="shared" si="28"/>
        <v>6.3055221518226864E-3</v>
      </c>
      <c r="G638" s="16" cm="1">
        <f t="array" ref="G638">SUMPRODUCT(IF(((H638-$F$4:$F$515)/$B$10)&lt;=-1,0,IF(((H638-$F$4:$F$515)/$B$10)&gt;=1,1,(15/16)*(((H638-$F$4:$F$515)/$B$10)-(2/3)*((H638-$F$4:$F$515)/$B$10)^3+(1/5)*((H638-$F$4:$F$515)/$B$10)^5+8/15))))/COUNT($F$4:$F$515)</f>
        <v>1.9539082526186715E-3</v>
      </c>
      <c r="H638" s="15">
        <f t="shared" si="29"/>
        <v>-3.4054939878499002E-2</v>
      </c>
      <c r="K638" s="14">
        <v>0.01</v>
      </c>
      <c r="L638" s="15">
        <f t="shared" si="27"/>
        <v>-1.6954939878499008E-2</v>
      </c>
    </row>
    <row r="639" spans="4:12" ht="14.4" customHeight="1">
      <c r="D639" s="4">
        <v>42913</v>
      </c>
      <c r="E639" s="5">
        <v>5.9450000000000003</v>
      </c>
      <c r="F639" s="5">
        <f t="shared" si="28"/>
        <v>3.5207311769038015E-3</v>
      </c>
      <c r="G639" s="3" cm="1">
        <f t="array" ref="G639">SUMPRODUCT(IF(((H639-$F$4:$F$515)/$B$10)&lt;=-1,0,IF(((H639-$F$4:$F$515)/$B$10)&gt;=1,1,(15/16)*(((H639-$F$4:$F$515)/$B$10)-(2/3)*((H639-$F$4:$F$515)/$B$10)^3+(1/5)*((H639-$F$4:$F$515)/$B$10)^5+8/15))))/COUNT($F$4:$F$515)</f>
        <v>1.9554567180700192E-3</v>
      </c>
      <c r="H639" s="5">
        <f t="shared" si="29"/>
        <v>-3.3954939878498999E-2</v>
      </c>
      <c r="K639" s="4">
        <v>0.01</v>
      </c>
      <c r="L639" s="5">
        <f t="shared" si="27"/>
        <v>-1.6954939878499008E-2</v>
      </c>
    </row>
    <row r="640" spans="4:12" ht="14.4" customHeight="1">
      <c r="D640" s="14">
        <v>42914</v>
      </c>
      <c r="E640" s="15">
        <v>6.0789999999999997</v>
      </c>
      <c r="F640" s="15">
        <f t="shared" si="28"/>
        <v>9.6802844297306703E-3</v>
      </c>
      <c r="G640" s="16" cm="1">
        <f t="array" ref="G640">SUMPRODUCT(IF(((H640-$F$4:$F$515)/$B$10)&lt;=-1,0,IF(((H640-$F$4:$F$515)/$B$10)&gt;=1,1,(15/16)*(((H640-$F$4:$F$515)/$B$10)-(2/3)*((H640-$F$4:$F$515)/$B$10)^3+(1/5)*((H640-$F$4:$F$515)/$B$10)^5+8/15))))/COUNT($F$4:$F$515)</f>
        <v>1.958245207821693E-3</v>
      </c>
      <c r="H640" s="15">
        <f t="shared" si="29"/>
        <v>-3.3854939878498996E-2</v>
      </c>
      <c r="K640" s="14">
        <v>0.01</v>
      </c>
      <c r="L640" s="15">
        <f t="shared" si="27"/>
        <v>-1.6954939878499008E-2</v>
      </c>
    </row>
    <row r="641" spans="4:12" ht="14.4" customHeight="1">
      <c r="D641" s="4">
        <v>42915</v>
      </c>
      <c r="E641" s="5">
        <v>6.0019999999999998</v>
      </c>
      <c r="F641" s="5">
        <f t="shared" si="28"/>
        <v>-5.5361522956072599E-3</v>
      </c>
      <c r="G641" s="3" cm="1">
        <f t="array" ref="G641">SUMPRODUCT(IF(((H641-$F$4:$F$515)/$B$10)&lt;=-1,0,IF(((H641-$F$4:$F$515)/$B$10)&gt;=1,1,(15/16)*(((H641-$F$4:$F$515)/$B$10)-(2/3)*((H641-$F$4:$F$515)/$B$10)^3+(1/5)*((H641-$F$4:$F$515)/$B$10)^5+8/15))))/COUNT($F$4:$F$515)</f>
        <v>1.9625769658645231E-3</v>
      </c>
      <c r="H641" s="5">
        <f t="shared" si="29"/>
        <v>-3.3754939878498993E-2</v>
      </c>
      <c r="K641" s="4">
        <v>0.01</v>
      </c>
      <c r="L641" s="5">
        <f t="shared" si="27"/>
        <v>-1.6954939878499008E-2</v>
      </c>
    </row>
    <row r="642" spans="4:12" ht="14.4" customHeight="1">
      <c r="D642" s="14">
        <v>42916</v>
      </c>
      <c r="E642" s="15">
        <v>5.8769999999999998</v>
      </c>
      <c r="F642" s="15">
        <f t="shared" si="28"/>
        <v>-9.1403003744350408E-3</v>
      </c>
      <c r="G642" s="16" cm="1">
        <f t="array" ref="G642">SUMPRODUCT(IF(((H642-$F$4:$F$515)/$B$10)&lt;=-1,0,IF(((H642-$F$4:$F$515)/$B$10)&gt;=1,1,(15/16)*(((H642-$F$4:$F$515)/$B$10)-(2/3)*((H642-$F$4:$F$515)/$B$10)^3+(1/5)*((H642-$F$4:$F$515)/$B$10)^5+8/15))))/COUNT($F$4:$F$515)</f>
        <v>1.9687183164586466E-3</v>
      </c>
      <c r="H642" s="15">
        <f t="shared" si="29"/>
        <v>-3.3654939878498991E-2</v>
      </c>
      <c r="K642" s="14">
        <v>0.01</v>
      </c>
      <c r="L642" s="15">
        <f t="shared" si="27"/>
        <v>-1.6954939878499008E-2</v>
      </c>
    </row>
    <row r="643" spans="4:12" ht="14.4" customHeight="1">
      <c r="D643" s="4">
        <v>42919</v>
      </c>
      <c r="E643" s="5">
        <v>6.0960000000000001</v>
      </c>
      <c r="F643" s="5">
        <f t="shared" si="28"/>
        <v>1.5889267617145347E-2</v>
      </c>
      <c r="G643" s="3" cm="1">
        <f t="array" ref="G643">SUMPRODUCT(IF(((H643-$F$4:$F$515)/$B$10)&lt;=-1,0,IF(((H643-$F$4:$F$515)/$B$10)&gt;=1,1,(15/16)*(((H643-$F$4:$F$515)/$B$10)-(2/3)*((H643-$F$4:$F$515)/$B$10)^3+(1/5)*((H643-$F$4:$F$515)/$B$10)^5+8/15))))/COUNT($F$4:$F$515)</f>
        <v>1.9768999990516607E-3</v>
      </c>
      <c r="H643" s="5">
        <f t="shared" si="29"/>
        <v>-3.3554939878498988E-2</v>
      </c>
      <c r="K643" s="4">
        <v>0.01</v>
      </c>
      <c r="L643" s="5">
        <f t="shared" si="27"/>
        <v>-1.6954939878499008E-2</v>
      </c>
    </row>
    <row r="644" spans="4:12" ht="14.4" customHeight="1">
      <c r="D644" s="14">
        <v>42920</v>
      </c>
      <c r="E644" s="15">
        <v>6.0659999999999998</v>
      </c>
      <c r="F644" s="15">
        <f t="shared" si="28"/>
        <v>-2.1425523568993827E-3</v>
      </c>
      <c r="G644" s="16" cm="1">
        <f t="array" ref="G644">SUMPRODUCT(IF(((H644-$F$4:$F$515)/$B$10)&lt;=-1,0,IF(((H644-$F$4:$F$515)/$B$10)&gt;=1,1,(15/16)*(((H644-$F$4:$F$515)/$B$10)-(2/3)*((H644-$F$4:$F$515)/$B$10)^3+(1/5)*((H644-$F$4:$F$515)/$B$10)^5+8/15))))/COUNT($F$4:$F$515)</f>
        <v>1.9873185031967742E-3</v>
      </c>
      <c r="H644" s="15">
        <f t="shared" si="29"/>
        <v>-3.3454939878498985E-2</v>
      </c>
      <c r="K644" s="14">
        <v>0.01</v>
      </c>
      <c r="L644" s="15">
        <f t="shared" ref="L644:L707" si="30">$B$7</f>
        <v>-1.6954939878499008E-2</v>
      </c>
    </row>
    <row r="645" spans="4:12" ht="14.4" customHeight="1">
      <c r="D645" s="4">
        <v>42921</v>
      </c>
      <c r="E645" s="5">
        <v>6.0270000000000001</v>
      </c>
      <c r="F645" s="5">
        <f t="shared" ref="F645:F708" si="31">LOG(E645/E644)</f>
        <v>-2.8012145067330945E-3</v>
      </c>
      <c r="G645" s="3" cm="1">
        <f t="array" ref="G645">SUMPRODUCT(IF(((H645-$F$4:$F$515)/$B$10)&lt;=-1,0,IF(((H645-$F$4:$F$515)/$B$10)&gt;=1,1,(15/16)*(((H645-$F$4:$F$515)/$B$10)-(2/3)*((H645-$F$4:$F$515)/$B$10)^3+(1/5)*((H645-$F$4:$F$515)/$B$10)^5+8/15))))/COUNT($F$4:$F$515)</f>
        <v>2.000137403470961E-3</v>
      </c>
      <c r="H645" s="5">
        <f t="shared" ref="H645:H708" si="32">H644+0.0001</f>
        <v>-3.3354939878498982E-2</v>
      </c>
      <c r="K645" s="4">
        <v>0.01</v>
      </c>
      <c r="L645" s="5">
        <f t="shared" si="30"/>
        <v>-1.6954939878499008E-2</v>
      </c>
    </row>
    <row r="646" spans="4:12" ht="14.4" customHeight="1">
      <c r="D646" s="14">
        <v>42922</v>
      </c>
      <c r="E646" s="15">
        <v>6.1349999999999998</v>
      </c>
      <c r="F646" s="15">
        <f t="shared" si="31"/>
        <v>7.7133755951114035E-3</v>
      </c>
      <c r="G646" s="16" cm="1">
        <f t="array" ref="G646">SUMPRODUCT(IF(((H646-$F$4:$F$515)/$B$10)&lt;=-1,0,IF(((H646-$F$4:$F$515)/$B$10)&gt;=1,1,(15/16)*(((H646-$F$4:$F$515)/$B$10)-(2/3)*((H646-$F$4:$F$515)/$B$10)^3+(1/5)*((H646-$F$4:$F$515)/$B$10)^5+8/15))))/COUNT($F$4:$F$515)</f>
        <v>2.0154886943931118E-3</v>
      </c>
      <c r="H646" s="15">
        <f t="shared" si="32"/>
        <v>-3.3254939878498979E-2</v>
      </c>
      <c r="K646" s="14">
        <v>0.01</v>
      </c>
      <c r="L646" s="15">
        <f t="shared" si="30"/>
        <v>-1.6954939878499008E-2</v>
      </c>
    </row>
    <row r="647" spans="4:12" ht="14.4" customHeight="1">
      <c r="D647" s="4">
        <v>42923</v>
      </c>
      <c r="E647" s="5">
        <v>6.101</v>
      </c>
      <c r="F647" s="5">
        <f t="shared" si="31"/>
        <v>-2.4135420706355277E-3</v>
      </c>
      <c r="G647" s="3" cm="1">
        <f t="array" ref="G647">SUMPRODUCT(IF(((H647-$F$4:$F$515)/$B$10)&lt;=-1,0,IF(((H647-$F$4:$F$515)/$B$10)&gt;=1,1,(15/16)*(((H647-$F$4:$F$515)/$B$10)-(2/3)*((H647-$F$4:$F$515)/$B$10)^3+(1/5)*((H647-$F$4:$F$515)/$B$10)^5+8/15))))/COUNT($F$4:$F$515)</f>
        <v>2.033474125342188E-3</v>
      </c>
      <c r="H647" s="5">
        <f t="shared" si="32"/>
        <v>-3.3154939878498976E-2</v>
      </c>
      <c r="K647" s="4">
        <v>0.01</v>
      </c>
      <c r="L647" s="5">
        <f t="shared" si="30"/>
        <v>-1.6954939878499008E-2</v>
      </c>
    </row>
    <row r="648" spans="4:12" ht="14.4" customHeight="1">
      <c r="D648" s="14">
        <v>42926</v>
      </c>
      <c r="E648" s="15">
        <v>6.109</v>
      </c>
      <c r="F648" s="15">
        <f t="shared" si="31"/>
        <v>5.6910013962205958E-4</v>
      </c>
      <c r="G648" s="16" cm="1">
        <f t="array" ref="G648">SUMPRODUCT(IF(((H648-$F$4:$F$515)/$B$10)&lt;=-1,0,IF(((H648-$F$4:$F$515)/$B$10)&gt;=1,1,(15/16)*(((H648-$F$4:$F$515)/$B$10)-(2/3)*((H648-$F$4:$F$515)/$B$10)^3+(1/5)*((H648-$F$4:$F$515)/$B$10)^5+8/15))))/COUNT($F$4:$F$515)</f>
        <v>2.0541665354753729E-3</v>
      </c>
      <c r="H648" s="15">
        <f t="shared" si="32"/>
        <v>-3.3054939878498973E-2</v>
      </c>
      <c r="K648" s="14">
        <v>0.01</v>
      </c>
      <c r="L648" s="15">
        <f t="shared" si="30"/>
        <v>-1.6954939878499008E-2</v>
      </c>
    </row>
    <row r="649" spans="4:12" ht="14.4" customHeight="1">
      <c r="D649" s="4">
        <v>42927</v>
      </c>
      <c r="E649" s="5">
        <v>6.0890000000000004</v>
      </c>
      <c r="F649" s="5">
        <f t="shared" si="31"/>
        <v>-1.4241510774869184E-3</v>
      </c>
      <c r="G649" s="3" cm="1">
        <f t="array" ref="G649">SUMPRODUCT(IF(((H649-$F$4:$F$515)/$B$10)&lt;=-1,0,IF(((H649-$F$4:$F$515)/$B$10)&gt;=1,1,(15/16)*(((H649-$F$4:$F$515)/$B$10)-(2/3)*((H649-$F$4:$F$515)/$B$10)^3+(1/5)*((H649-$F$4:$F$515)/$B$10)^5+8/15))))/COUNT($F$4:$F$515)</f>
        <v>2.0776111886462241E-3</v>
      </c>
      <c r="H649" s="5">
        <f t="shared" si="32"/>
        <v>-3.2954939878498971E-2</v>
      </c>
      <c r="K649" s="4">
        <v>0.01</v>
      </c>
      <c r="L649" s="5">
        <f t="shared" si="30"/>
        <v>-1.6954939878499008E-2</v>
      </c>
    </row>
    <row r="650" spans="4:12" ht="14.4" customHeight="1">
      <c r="D650" s="14">
        <v>42928</v>
      </c>
      <c r="E650" s="15">
        <v>6.101</v>
      </c>
      <c r="F650" s="15">
        <f t="shared" si="31"/>
        <v>8.5505093786486281E-4</v>
      </c>
      <c r="G650" s="16" cm="1">
        <f t="array" ref="G650">SUMPRODUCT(IF(((H650-$F$4:$F$515)/$B$10)&lt;=-1,0,IF(((H650-$F$4:$F$515)/$B$10)&gt;=1,1,(15/16)*(((H650-$F$4:$F$515)/$B$10)-(2/3)*((H650-$F$4:$F$515)/$B$10)^3+(1/5)*((H650-$F$4:$F$515)/$B$10)^5+8/15))))/COUNT($F$4:$F$515)</f>
        <v>2.103827108322829E-3</v>
      </c>
      <c r="H650" s="15">
        <f t="shared" si="32"/>
        <v>-3.2854939878498968E-2</v>
      </c>
      <c r="K650" s="14">
        <v>0.01</v>
      </c>
      <c r="L650" s="15">
        <f t="shared" si="30"/>
        <v>-1.6954939878499008E-2</v>
      </c>
    </row>
    <row r="651" spans="4:12" ht="14.4" customHeight="1">
      <c r="D651" s="4">
        <v>42929</v>
      </c>
      <c r="E651" s="5">
        <v>6.2050000000000001</v>
      </c>
      <c r="F651" s="5">
        <f t="shared" si="31"/>
        <v>7.3407608423611184E-3</v>
      </c>
      <c r="G651" s="3" cm="1">
        <f t="array" ref="G651">SUMPRODUCT(IF(((H651-$F$4:$F$515)/$B$10)&lt;=-1,0,IF(((H651-$F$4:$F$515)/$B$10)&gt;=1,1,(15/16)*(((H651-$F$4:$F$515)/$B$10)-(2/3)*((H651-$F$4:$F$515)/$B$10)^3+(1/5)*((H651-$F$4:$F$515)/$B$10)^5+8/15))))/COUNT($F$4:$F$515)</f>
        <v>2.1328084125059525E-3</v>
      </c>
      <c r="H651" s="5">
        <f t="shared" si="32"/>
        <v>-3.2754939878498965E-2</v>
      </c>
      <c r="K651" s="4">
        <v>0.01</v>
      </c>
      <c r="L651" s="5">
        <f t="shared" si="30"/>
        <v>-1.6954939878499008E-2</v>
      </c>
    </row>
    <row r="652" spans="4:12" ht="14.4" customHeight="1">
      <c r="D652" s="14">
        <v>42930</v>
      </c>
      <c r="E652" s="15">
        <v>6.1239999999999997</v>
      </c>
      <c r="F652" s="15">
        <f t="shared" si="31"/>
        <v>-5.7066038085252591E-3</v>
      </c>
      <c r="G652" s="16" cm="1">
        <f t="array" ref="G652">SUMPRODUCT(IF(((H652-$F$4:$F$515)/$B$10)&lt;=-1,0,IF(((H652-$F$4:$F$515)/$B$10)&gt;=1,1,(15/16)*(((H652-$F$4:$F$515)/$B$10)-(2/3)*((H652-$F$4:$F$515)/$B$10)^3+(1/5)*((H652-$F$4:$F$515)/$B$10)^5+8/15))))/COUNT($F$4:$F$515)</f>
        <v>2.164525648647195E-3</v>
      </c>
      <c r="H652" s="15">
        <f t="shared" si="32"/>
        <v>-3.2654939878498962E-2</v>
      </c>
      <c r="K652" s="14">
        <v>0.01</v>
      </c>
      <c r="L652" s="15">
        <f t="shared" si="30"/>
        <v>-1.6954939878499008E-2</v>
      </c>
    </row>
    <row r="653" spans="4:12" ht="14.4" customHeight="1">
      <c r="D653" s="4">
        <v>42933</v>
      </c>
      <c r="E653" s="5">
        <v>6.0860000000000003</v>
      </c>
      <c r="F653" s="5">
        <f t="shared" si="31"/>
        <v>-2.703234004075065E-3</v>
      </c>
      <c r="G653" s="3" cm="1">
        <f t="array" ref="G653">SUMPRODUCT(IF(((H653-$F$4:$F$515)/$B$10)&lt;=-1,0,IF(((H653-$F$4:$F$515)/$B$10)&gt;=1,1,(15/16)*(((H653-$F$4:$F$515)/$B$10)-(2/3)*((H653-$F$4:$F$515)/$B$10)^3+(1/5)*((H653-$F$4:$F$515)/$B$10)^5+8/15))))/COUNT($F$4:$F$515)</f>
        <v>2.1989271285671398E-3</v>
      </c>
      <c r="H653" s="5">
        <f t="shared" si="32"/>
        <v>-3.2554939878498959E-2</v>
      </c>
      <c r="K653" s="4">
        <v>0.01</v>
      </c>
      <c r="L653" s="5">
        <f t="shared" si="30"/>
        <v>-1.6954939878499008E-2</v>
      </c>
    </row>
    <row r="654" spans="4:12" ht="14.4" customHeight="1">
      <c r="D654" s="14">
        <v>42934</v>
      </c>
      <c r="E654" s="15">
        <v>5.98</v>
      </c>
      <c r="F654" s="15">
        <f t="shared" si="31"/>
        <v>-7.630764033737452E-3</v>
      </c>
      <c r="G654" s="16" cm="1">
        <f t="array" ref="G654">SUMPRODUCT(IF(((H654-$F$4:$F$515)/$B$10)&lt;=-1,0,IF(((H654-$F$4:$F$515)/$B$10)&gt;=1,1,(15/16)*(((H654-$F$4:$F$515)/$B$10)-(2/3)*((H654-$F$4:$F$515)/$B$10)^3+(1/5)*((H654-$F$4:$F$515)/$B$10)^5+8/15))))/COUNT($F$4:$F$515)</f>
        <v>2.2359402633735101E-3</v>
      </c>
      <c r="H654" s="15">
        <f t="shared" si="32"/>
        <v>-3.2454939878498956E-2</v>
      </c>
      <c r="K654" s="14">
        <v>0.01</v>
      </c>
      <c r="L654" s="15">
        <f t="shared" si="30"/>
        <v>-1.6954939878499008E-2</v>
      </c>
    </row>
    <row r="655" spans="4:12" ht="14.4" customHeight="1">
      <c r="D655" s="4">
        <v>42935</v>
      </c>
      <c r="E655" s="5">
        <v>6.0110000000000001</v>
      </c>
      <c r="F655" s="5">
        <f t="shared" si="31"/>
        <v>2.2455439802059143E-3</v>
      </c>
      <c r="G655" s="3" cm="1">
        <f t="array" ref="G655">SUMPRODUCT(IF(((H655-$F$4:$F$515)/$B$10)&lt;=-1,0,IF(((H655-$F$4:$F$515)/$B$10)&gt;=1,1,(15/16)*(((H655-$F$4:$F$515)/$B$10)-(2/3)*((H655-$F$4:$F$515)/$B$10)^3+(1/5)*((H655-$F$4:$F$515)/$B$10)^5+8/15))))/COUNT($F$4:$F$515)</f>
        <v>2.2754728983793182E-3</v>
      </c>
      <c r="H655" s="5">
        <f t="shared" si="32"/>
        <v>-3.2354939878498953E-2</v>
      </c>
      <c r="K655" s="4">
        <v>0.01</v>
      </c>
      <c r="L655" s="5">
        <f t="shared" si="30"/>
        <v>-1.6954939878499008E-2</v>
      </c>
    </row>
    <row r="656" spans="4:12" ht="14.4" customHeight="1">
      <c r="D656" s="14">
        <v>42936</v>
      </c>
      <c r="E656" s="15">
        <v>6.0069999999999997</v>
      </c>
      <c r="F656" s="15">
        <f t="shared" si="31"/>
        <v>-2.8909602126150983E-4</v>
      </c>
      <c r="G656" s="16" cm="1">
        <f t="array" ref="G656">SUMPRODUCT(IF(((H656-$F$4:$F$515)/$B$10)&lt;=-1,0,IF(((H656-$F$4:$F$515)/$B$10)&gt;=1,1,(15/16)*(((H656-$F$4:$F$515)/$B$10)-(2/3)*((H656-$F$4:$F$515)/$B$10)^3+(1/5)*((H656-$F$4:$F$515)/$B$10)^5+8/15))))/COUNT($F$4:$F$515)</f>
        <v>2.3174146480210204E-3</v>
      </c>
      <c r="H656" s="15">
        <f t="shared" si="32"/>
        <v>-3.2254939878498951E-2</v>
      </c>
      <c r="K656" s="14">
        <v>0.01</v>
      </c>
      <c r="L656" s="15">
        <f t="shared" si="30"/>
        <v>-1.6954939878499008E-2</v>
      </c>
    </row>
    <row r="657" spans="4:12" ht="14.4" customHeight="1">
      <c r="D657" s="4">
        <v>42937</v>
      </c>
      <c r="E657" s="5">
        <v>5.92</v>
      </c>
      <c r="F657" s="5">
        <f t="shared" si="31"/>
        <v>-6.335925224435433E-3</v>
      </c>
      <c r="G657" s="3" cm="1">
        <f t="array" ref="G657">SUMPRODUCT(IF(((H657-$F$4:$F$515)/$B$10)&lt;=-1,0,IF(((H657-$F$4:$F$515)/$B$10)&gt;=1,1,(15/16)*(((H657-$F$4:$F$515)/$B$10)-(2/3)*((H657-$F$4:$F$515)/$B$10)^3+(1/5)*((H657-$F$4:$F$515)/$B$10)^5+8/15))))/COUNT($F$4:$F$515)</f>
        <v>2.3616382307766687E-3</v>
      </c>
      <c r="H657" s="5">
        <f t="shared" si="32"/>
        <v>-3.2154939878498948E-2</v>
      </c>
      <c r="K657" s="4">
        <v>0.01</v>
      </c>
      <c r="L657" s="5">
        <f t="shared" si="30"/>
        <v>-1.6954939878499008E-2</v>
      </c>
    </row>
    <row r="658" spans="4:12" ht="14.4" customHeight="1">
      <c r="D658" s="14">
        <v>42940</v>
      </c>
      <c r="E658" s="15">
        <v>6.0170000000000003</v>
      </c>
      <c r="F658" s="15">
        <f t="shared" si="31"/>
        <v>7.0583047687360545E-3</v>
      </c>
      <c r="G658" s="16" cm="1">
        <f t="array" ref="G658">SUMPRODUCT(IF(((H658-$F$4:$F$515)/$B$10)&lt;=-1,0,IF(((H658-$F$4:$F$515)/$B$10)&gt;=1,1,(15/16)*(((H658-$F$4:$F$515)/$B$10)-(2/3)*((H658-$F$4:$F$515)/$B$10)^3+(1/5)*((H658-$F$4:$F$515)/$B$10)^5+8/15))))/COUNT($F$4:$F$515)</f>
        <v>2.4080008040840628E-3</v>
      </c>
      <c r="H658" s="15">
        <f t="shared" si="32"/>
        <v>-3.2054939878498945E-2</v>
      </c>
      <c r="K658" s="14">
        <v>0.01</v>
      </c>
      <c r="L658" s="15">
        <f t="shared" si="30"/>
        <v>-1.6954939878499008E-2</v>
      </c>
    </row>
    <row r="659" spans="4:12" ht="14.4" customHeight="1">
      <c r="D659" s="4">
        <v>42941</v>
      </c>
      <c r="E659" s="5">
        <v>6.1429999999999998</v>
      </c>
      <c r="F659" s="5">
        <f t="shared" si="31"/>
        <v>9.0005038279074162E-3</v>
      </c>
      <c r="G659" s="3" cm="1">
        <f t="array" ref="G659">SUMPRODUCT(IF(((H659-$F$4:$F$515)/$B$10)&lt;=-1,0,IF(((H659-$F$4:$F$515)/$B$10)&gt;=1,1,(15/16)*(((H659-$F$4:$F$515)/$B$10)-(2/3)*((H659-$F$4:$F$515)/$B$10)^3+(1/5)*((H659-$F$4:$F$515)/$B$10)^5+8/15))))/COUNT($F$4:$F$515)</f>
        <v>2.4563452992589041E-3</v>
      </c>
      <c r="H659" s="5">
        <f t="shared" si="32"/>
        <v>-3.1954939878498942E-2</v>
      </c>
      <c r="K659" s="4">
        <v>0.01</v>
      </c>
      <c r="L659" s="5">
        <f t="shared" si="30"/>
        <v>-1.6954939878499008E-2</v>
      </c>
    </row>
    <row r="660" spans="4:12" ht="14.4" customHeight="1">
      <c r="D660" s="14">
        <v>42942</v>
      </c>
      <c r="E660" s="15">
        <v>6.1760000000000002</v>
      </c>
      <c r="F660" s="15">
        <f t="shared" si="31"/>
        <v>2.3267720081164749E-3</v>
      </c>
      <c r="G660" s="16" cm="1">
        <f t="array" ref="G660">SUMPRODUCT(IF(((H660-$F$4:$F$515)/$B$10)&lt;=-1,0,IF(((H660-$F$4:$F$515)/$B$10)&gt;=1,1,(15/16)*(((H660-$F$4:$F$515)/$B$10)-(2/3)*((H660-$F$4:$F$515)/$B$10)^3+(1/5)*((H660-$F$4:$F$515)/$B$10)^5+8/15))))/COUNT($F$4:$F$515)</f>
        <v>2.5065017564129466E-3</v>
      </c>
      <c r="H660" s="15">
        <f t="shared" si="32"/>
        <v>-3.1854939878498939E-2</v>
      </c>
      <c r="K660" s="14">
        <v>0.01</v>
      </c>
      <c r="L660" s="15">
        <f t="shared" si="30"/>
        <v>-1.6954939878499008E-2</v>
      </c>
    </row>
    <row r="661" spans="4:12" ht="14.4" customHeight="1">
      <c r="D661" s="4">
        <v>42943</v>
      </c>
      <c r="E661" s="5">
        <v>6.1790000000000003</v>
      </c>
      <c r="F661" s="5">
        <f t="shared" si="31"/>
        <v>2.1090788689858908E-4</v>
      </c>
      <c r="G661" s="3" cm="1">
        <f t="array" ref="G661">SUMPRODUCT(IF(((H661-$F$4:$F$515)/$B$10)&lt;=-1,0,IF(((H661-$F$4:$F$515)/$B$10)&gt;=1,1,(15/16)*(((H661-$F$4:$F$515)/$B$10)-(2/3)*((H661-$F$4:$F$515)/$B$10)^3+(1/5)*((H661-$F$4:$F$515)/$B$10)^5+8/15))))/COUNT($F$4:$F$515)</f>
        <v>2.5582886593721508E-3</v>
      </c>
      <c r="H661" s="5">
        <f t="shared" si="32"/>
        <v>-3.1754939878498936E-2</v>
      </c>
      <c r="K661" s="4">
        <v>0.01</v>
      </c>
      <c r="L661" s="5">
        <f t="shared" si="30"/>
        <v>-1.6954939878499008E-2</v>
      </c>
    </row>
    <row r="662" spans="4:12" ht="14.4" customHeight="1">
      <c r="D662" s="14">
        <v>42944</v>
      </c>
      <c r="E662" s="15">
        <v>6.2</v>
      </c>
      <c r="F662" s="15">
        <f t="shared" si="31"/>
        <v>1.4734942836756083E-3</v>
      </c>
      <c r="G662" s="16" cm="1">
        <f t="array" ref="G662">SUMPRODUCT(IF(((H662-$F$4:$F$515)/$B$10)&lt;=-1,0,IF(((H662-$F$4:$F$515)/$B$10)&gt;=1,1,(15/16)*(((H662-$F$4:$F$515)/$B$10)-(2/3)*((H662-$F$4:$F$515)/$B$10)^3+(1/5)*((H662-$F$4:$F$515)/$B$10)^5+8/15))))/COUNT($F$4:$F$515)</f>
        <v>2.6115142705948353E-3</v>
      </c>
      <c r="H662" s="15">
        <f t="shared" si="32"/>
        <v>-3.1654939878498933E-2</v>
      </c>
      <c r="K662" s="14">
        <v>0.01</v>
      </c>
      <c r="L662" s="15">
        <f t="shared" si="30"/>
        <v>-1.6954939878499008E-2</v>
      </c>
    </row>
    <row r="663" spans="4:12" ht="14.4" customHeight="1">
      <c r="D663" s="4">
        <v>42947</v>
      </c>
      <c r="E663" s="5">
        <v>6.1429999999999998</v>
      </c>
      <c r="F663" s="5">
        <f t="shared" si="31"/>
        <v>-4.0111741786905911E-3</v>
      </c>
      <c r="G663" s="3" cm="1">
        <f t="array" ref="G663">SUMPRODUCT(IF(((H663-$F$4:$F$515)/$B$10)&lt;=-1,0,IF(((H663-$F$4:$F$515)/$B$10)&gt;=1,1,(15/16)*(((H663-$F$4:$F$515)/$B$10)-(2/3)*((H663-$F$4:$F$515)/$B$10)^3+(1/5)*((H663-$F$4:$F$515)/$B$10)^5+8/15))))/COUNT($F$4:$F$515)</f>
        <v>2.6659779660898313E-3</v>
      </c>
      <c r="H663" s="5">
        <f t="shared" si="32"/>
        <v>-3.155493987849893E-2</v>
      </c>
      <c r="K663" s="4">
        <v>0.01</v>
      </c>
      <c r="L663" s="5">
        <f t="shared" si="30"/>
        <v>-1.6954939878499008E-2</v>
      </c>
    </row>
    <row r="664" spans="4:12" ht="14.4" customHeight="1">
      <c r="D664" s="14">
        <v>42948</v>
      </c>
      <c r="E664" s="15">
        <v>6.1879999999999997</v>
      </c>
      <c r="F664" s="15">
        <f t="shared" si="31"/>
        <v>3.1697897077666423E-3</v>
      </c>
      <c r="G664" s="16" cm="1">
        <f t="array" ref="G664">SUMPRODUCT(IF(((H664-$F$4:$F$515)/$B$10)&lt;=-1,0,IF(((H664-$F$4:$F$515)/$B$10)&gt;=1,1,(15/16)*(((H664-$F$4:$F$515)/$B$10)-(2/3)*((H664-$F$4:$F$515)/$B$10)^3+(1/5)*((H664-$F$4:$F$515)/$B$10)^5+8/15))))/COUNT($F$4:$F$515)</f>
        <v>2.721471570334632E-3</v>
      </c>
      <c r="H664" s="15">
        <f t="shared" si="32"/>
        <v>-3.1454939878498928E-2</v>
      </c>
      <c r="K664" s="14">
        <v>0.01</v>
      </c>
      <c r="L664" s="15">
        <f t="shared" si="30"/>
        <v>-1.6954939878499008E-2</v>
      </c>
    </row>
    <row r="665" spans="4:12" ht="14.4" customHeight="1">
      <c r="D665" s="4">
        <v>42949</v>
      </c>
      <c r="E665" s="5">
        <v>6.2140000000000004</v>
      </c>
      <c r="F665" s="5">
        <f t="shared" si="31"/>
        <v>1.82094389162582E-3</v>
      </c>
      <c r="G665" s="3" cm="1">
        <f t="array" ref="G665">SUMPRODUCT(IF(((H665-$F$4:$F$515)/$B$10)&lt;=-1,0,IF(((H665-$F$4:$F$515)/$B$10)&gt;=1,1,(15/16)*(((H665-$F$4:$F$515)/$B$10)-(2/3)*((H665-$F$4:$F$515)/$B$10)^3+(1/5)*((H665-$F$4:$F$515)/$B$10)^5+8/15))))/COUNT($F$4:$F$515)</f>
        <v>2.7777806911935478E-3</v>
      </c>
      <c r="H665" s="5">
        <f t="shared" si="32"/>
        <v>-3.1354939878498925E-2</v>
      </c>
      <c r="K665" s="4">
        <v>0.01</v>
      </c>
      <c r="L665" s="5">
        <f t="shared" si="30"/>
        <v>-1.6954939878499008E-2</v>
      </c>
    </row>
    <row r="666" spans="4:12" ht="14.4" customHeight="1">
      <c r="D666" s="14">
        <v>42950</v>
      </c>
      <c r="E666" s="15">
        <v>6.3570000000000002</v>
      </c>
      <c r="F666" s="15">
        <f t="shared" si="31"/>
        <v>9.8809625115013552E-3</v>
      </c>
      <c r="G666" s="16" cm="1">
        <f t="array" ref="G666">SUMPRODUCT(IF(((H666-$F$4:$F$515)/$B$10)&lt;=-1,0,IF(((H666-$F$4:$F$515)/$B$10)&gt;=1,1,(15/16)*(((H666-$F$4:$F$515)/$B$10)-(2/3)*((H666-$F$4:$F$515)/$B$10)^3+(1/5)*((H666-$F$4:$F$515)/$B$10)^5+8/15))))/COUNT($F$4:$F$515)</f>
        <v>2.8346860548358584E-3</v>
      </c>
      <c r="H666" s="15">
        <f t="shared" si="32"/>
        <v>-3.1254939878498922E-2</v>
      </c>
      <c r="K666" s="14">
        <v>0.01</v>
      </c>
      <c r="L666" s="15">
        <f t="shared" si="30"/>
        <v>-1.6954939878499008E-2</v>
      </c>
    </row>
    <row r="667" spans="4:12" ht="14.4" customHeight="1">
      <c r="D667" s="4">
        <v>42951</v>
      </c>
      <c r="E667" s="5">
        <v>6.5309999999999997</v>
      </c>
      <c r="F667" s="5">
        <f t="shared" si="31"/>
        <v>1.1727472330299714E-2</v>
      </c>
      <c r="G667" s="3" cm="1">
        <f t="array" ref="G667">SUMPRODUCT(IF(((H667-$F$4:$F$515)/$B$10)&lt;=-1,0,IF(((H667-$F$4:$F$515)/$B$10)&gt;=1,1,(15/16)*(((H667-$F$4:$F$515)/$B$10)-(2/3)*((H667-$F$4:$F$515)/$B$10)^3+(1/5)*((H667-$F$4:$F$515)/$B$10)^5+8/15))))/COUNT($F$4:$F$515)</f>
        <v>2.8919648406539626E-3</v>
      </c>
      <c r="H667" s="5">
        <f t="shared" si="32"/>
        <v>-3.1154939878498922E-2</v>
      </c>
      <c r="K667" s="4">
        <v>0.01</v>
      </c>
      <c r="L667" s="5">
        <f t="shared" si="30"/>
        <v>-1.6954939878499008E-2</v>
      </c>
    </row>
    <row r="668" spans="4:12" ht="14.4" customHeight="1">
      <c r="D668" s="14">
        <v>42954</v>
      </c>
      <c r="E668" s="15">
        <v>6.6150000000000002</v>
      </c>
      <c r="F668" s="15">
        <f t="shared" si="31"/>
        <v>5.5501647627630444E-3</v>
      </c>
      <c r="G668" s="16" cm="1">
        <f t="array" ref="G668">SUMPRODUCT(IF(((H668-$F$4:$F$515)/$B$10)&lt;=-1,0,IF(((H668-$F$4:$F$515)/$B$10)&gt;=1,1,(15/16)*(((H668-$F$4:$F$515)/$B$10)-(2/3)*((H668-$F$4:$F$515)/$B$10)^3+(1/5)*((H668-$F$4:$F$515)/$B$10)^5+8/15))))/COUNT($F$4:$F$515)</f>
        <v>2.9493920161815373E-3</v>
      </c>
      <c r="H668" s="15">
        <f t="shared" si="32"/>
        <v>-3.1054939878498923E-2</v>
      </c>
      <c r="K668" s="14">
        <v>0.01</v>
      </c>
      <c r="L668" s="15">
        <f t="shared" si="30"/>
        <v>-1.6954939878499008E-2</v>
      </c>
    </row>
    <row r="669" spans="4:12" ht="14.4" customHeight="1">
      <c r="D669" s="4">
        <v>42955</v>
      </c>
      <c r="E669" s="5">
        <v>6.68</v>
      </c>
      <c r="F669" s="5">
        <f t="shared" si="31"/>
        <v>4.2466139520258546E-3</v>
      </c>
      <c r="G669" s="3" cm="1">
        <f t="array" ref="G669">SUMPRODUCT(IF(((H669-$F$4:$F$515)/$B$10)&lt;=-1,0,IF(((H669-$F$4:$F$515)/$B$10)&gt;=1,1,(15/16)*(((H669-$F$4:$F$515)/$B$10)-(2/3)*((H669-$F$4:$F$515)/$B$10)^3+(1/5)*((H669-$F$4:$F$515)/$B$10)^5+8/15))))/COUNT($F$4:$F$515)</f>
        <v>3.0067416720116836E-3</v>
      </c>
      <c r="H669" s="5">
        <f t="shared" si="32"/>
        <v>-3.0954939878498924E-2</v>
      </c>
      <c r="K669" s="4">
        <v>0.01</v>
      </c>
      <c r="L669" s="5">
        <f t="shared" si="30"/>
        <v>-1.6954939878499008E-2</v>
      </c>
    </row>
    <row r="670" spans="4:12" ht="14.4" customHeight="1">
      <c r="D670" s="14">
        <v>42956</v>
      </c>
      <c r="E670" s="15">
        <v>6.556</v>
      </c>
      <c r="F670" s="15">
        <f t="shared" si="31"/>
        <v>-8.1375175770841725E-3</v>
      </c>
      <c r="G670" s="16" cm="1">
        <f t="array" ref="G670">SUMPRODUCT(IF(((H670-$F$4:$F$515)/$B$10)&lt;=-1,0,IF(((H670-$F$4:$F$515)/$B$10)&gt;=1,1,(15/16)*(((H670-$F$4:$F$515)/$B$10)-(2/3)*((H670-$F$4:$F$515)/$B$10)^3+(1/5)*((H670-$F$4:$F$515)/$B$10)^5+8/15))))/COUNT($F$4:$F$515)</f>
        <v>3.0637883567150828E-3</v>
      </c>
      <c r="H670" s="15">
        <f t="shared" si="32"/>
        <v>-3.0854939878498924E-2</v>
      </c>
      <c r="K670" s="14">
        <v>0.01</v>
      </c>
      <c r="L670" s="15">
        <f t="shared" si="30"/>
        <v>-1.6954939878499008E-2</v>
      </c>
    </row>
    <row r="671" spans="4:12" ht="14.4" customHeight="1">
      <c r="D671" s="4">
        <v>42957</v>
      </c>
      <c r="E671" s="5">
        <v>6.524</v>
      </c>
      <c r="F671" s="5">
        <f t="shared" si="31"/>
        <v>-2.1249925302232863E-3</v>
      </c>
      <c r="G671" s="3" cm="1">
        <f t="array" ref="G671">SUMPRODUCT(IF(((H671-$F$4:$F$515)/$B$10)&lt;=-1,0,IF(((H671-$F$4:$F$515)/$B$10)&gt;=1,1,(15/16)*(((H671-$F$4:$F$515)/$B$10)-(2/3)*((H671-$F$4:$F$515)/$B$10)^3+(1/5)*((H671-$F$4:$F$515)/$B$10)^5+8/15))))/COUNT($F$4:$F$515)</f>
        <v>3.120308411758148E-3</v>
      </c>
      <c r="H671" s="5">
        <f t="shared" si="32"/>
        <v>-3.0754939878498925E-2</v>
      </c>
      <c r="K671" s="4">
        <v>0.01</v>
      </c>
      <c r="L671" s="5">
        <f t="shared" si="30"/>
        <v>-1.6954939878499008E-2</v>
      </c>
    </row>
    <row r="672" spans="4:12" ht="14.4" customHeight="1">
      <c r="D672" s="14">
        <v>42958</v>
      </c>
      <c r="E672" s="15">
        <v>6.4420000000000002</v>
      </c>
      <c r="F672" s="15">
        <f t="shared" si="31"/>
        <v>-5.4932318845655791E-3</v>
      </c>
      <c r="G672" s="16" cm="1">
        <f t="array" ref="G672">SUMPRODUCT(IF(((H672-$F$4:$F$515)/$B$10)&lt;=-1,0,IF(((H672-$F$4:$F$515)/$B$10)&gt;=1,1,(15/16)*(((H672-$F$4:$F$515)/$B$10)-(2/3)*((H672-$F$4:$F$515)/$B$10)^3+(1/5)*((H672-$F$4:$F$515)/$B$10)^5+8/15))))/COUNT($F$4:$F$515)</f>
        <v>3.1761118484597188E-3</v>
      </c>
      <c r="H672" s="15">
        <f t="shared" si="32"/>
        <v>-3.0654939878498925E-2</v>
      </c>
      <c r="K672" s="14">
        <v>0.01</v>
      </c>
      <c r="L672" s="15">
        <f t="shared" si="30"/>
        <v>-1.6954939878499008E-2</v>
      </c>
    </row>
    <row r="673" spans="4:12" ht="14.4" customHeight="1">
      <c r="D673" s="4">
        <v>42961</v>
      </c>
      <c r="E673" s="5">
        <v>6.4870000000000001</v>
      </c>
      <c r="F673" s="5">
        <f t="shared" si="31"/>
        <v>3.0231774465541332E-3</v>
      </c>
      <c r="G673" s="3" cm="1">
        <f t="array" ref="G673">SUMPRODUCT(IF(((H673-$F$4:$F$515)/$B$10)&lt;=-1,0,IF(((H673-$F$4:$F$515)/$B$10)&gt;=1,1,(15/16)*(((H673-$F$4:$F$515)/$B$10)-(2/3)*((H673-$F$4:$F$515)/$B$10)^3+(1/5)*((H673-$F$4:$F$515)/$B$10)^5+8/15))))/COUNT($F$4:$F$515)</f>
        <v>3.231274756189062E-3</v>
      </c>
      <c r="H673" s="5">
        <f t="shared" si="32"/>
        <v>-3.0554939878498926E-2</v>
      </c>
      <c r="K673" s="4">
        <v>0.01</v>
      </c>
      <c r="L673" s="5">
        <f t="shared" si="30"/>
        <v>-1.6954939878499008E-2</v>
      </c>
    </row>
    <row r="674" spans="4:12" ht="14.4" customHeight="1">
      <c r="D674" s="14">
        <v>42962</v>
      </c>
      <c r="E674" s="15">
        <v>6.4770000000000003</v>
      </c>
      <c r="F674" s="15">
        <f t="shared" si="31"/>
        <v>-6.7000087633343911E-4</v>
      </c>
      <c r="G674" s="16" cm="1">
        <f t="array" ref="G674">SUMPRODUCT(IF(((H674-$F$4:$F$515)/$B$10)&lt;=-1,0,IF(((H674-$F$4:$F$515)/$B$10)&gt;=1,1,(15/16)*(((H674-$F$4:$F$515)/$B$10)-(2/3)*((H674-$F$4:$F$515)/$B$10)^3+(1/5)*((H674-$F$4:$F$515)/$B$10)^5+8/15))))/COUNT($F$4:$F$515)</f>
        <v>3.2859860302307505E-3</v>
      </c>
      <c r="H674" s="15">
        <f t="shared" si="32"/>
        <v>-3.0454939878498927E-2</v>
      </c>
      <c r="K674" s="14">
        <v>0.01</v>
      </c>
      <c r="L674" s="15">
        <f t="shared" si="30"/>
        <v>-1.6954939878499008E-2</v>
      </c>
    </row>
    <row r="675" spans="4:12" ht="14.4" customHeight="1">
      <c r="D675" s="4">
        <v>42963</v>
      </c>
      <c r="E675" s="5">
        <v>6.5049999999999999</v>
      </c>
      <c r="F675" s="5">
        <f t="shared" si="31"/>
        <v>1.8734038437118051E-3</v>
      </c>
      <c r="G675" s="3" cm="1">
        <f t="array" ref="G675">SUMPRODUCT(IF(((H675-$F$4:$F$515)/$B$10)&lt;=-1,0,IF(((H675-$F$4:$F$515)/$B$10)&gt;=1,1,(15/16)*(((H675-$F$4:$F$515)/$B$10)-(2/3)*((H675-$F$4:$F$515)/$B$10)^3+(1/5)*((H675-$F$4:$F$515)/$B$10)^5+8/15))))/COUNT($F$4:$F$515)</f>
        <v>3.3404028697801985E-3</v>
      </c>
      <c r="H675" s="5">
        <f t="shared" si="32"/>
        <v>-3.0354939878498927E-2</v>
      </c>
      <c r="K675" s="4">
        <v>0.01</v>
      </c>
      <c r="L675" s="5">
        <f t="shared" si="30"/>
        <v>-1.6954939878499008E-2</v>
      </c>
    </row>
    <row r="676" spans="4:12" ht="14.4" customHeight="1">
      <c r="D676" s="14">
        <v>42964</v>
      </c>
      <c r="E676" s="15">
        <v>6.4020000000000001</v>
      </c>
      <c r="F676" s="15">
        <f t="shared" si="31"/>
        <v>-6.931631089491538E-3</v>
      </c>
      <c r="G676" s="16" cm="1">
        <f t="array" ref="G676">SUMPRODUCT(IF(((H676-$F$4:$F$515)/$B$10)&lt;=-1,0,IF(((H676-$F$4:$F$515)/$B$10)&gt;=1,1,(15/16)*(((H676-$F$4:$F$515)/$B$10)-(2/3)*((H676-$F$4:$F$515)/$B$10)^3+(1/5)*((H676-$F$4:$F$515)/$B$10)^5+8/15))))/COUNT($F$4:$F$515)</f>
        <v>3.3947547200484157E-3</v>
      </c>
      <c r="H676" s="15">
        <f t="shared" si="32"/>
        <v>-3.0254939878498928E-2</v>
      </c>
      <c r="K676" s="14">
        <v>0.01</v>
      </c>
      <c r="L676" s="15">
        <f t="shared" si="30"/>
        <v>-1.6954939878499008E-2</v>
      </c>
    </row>
    <row r="677" spans="4:12" ht="14.4" customHeight="1">
      <c r="D677" s="4">
        <v>42965</v>
      </c>
      <c r="E677" s="5">
        <v>6.4</v>
      </c>
      <c r="F677" s="5">
        <f t="shared" si="31"/>
        <v>-1.3569582422633575E-4</v>
      </c>
      <c r="G677" s="3" cm="1">
        <f t="array" ref="G677">SUMPRODUCT(IF(((H677-$F$4:$F$515)/$B$10)&lt;=-1,0,IF(((H677-$F$4:$F$515)/$B$10)&gt;=1,1,(15/16)*(((H677-$F$4:$F$515)/$B$10)-(2/3)*((H677-$F$4:$F$515)/$B$10)^3+(1/5)*((H677-$F$4:$F$515)/$B$10)^5+8/15))))/COUNT($F$4:$F$515)</f>
        <v>3.4495143106792166E-3</v>
      </c>
      <c r="H677" s="5">
        <f t="shared" si="32"/>
        <v>-3.0154939878498929E-2</v>
      </c>
      <c r="K677" s="4">
        <v>0.01</v>
      </c>
      <c r="L677" s="5">
        <f t="shared" si="30"/>
        <v>-1.6954939878499008E-2</v>
      </c>
    </row>
    <row r="678" spans="4:12" ht="14.4" customHeight="1">
      <c r="D678" s="14">
        <v>42968</v>
      </c>
      <c r="E678" s="15">
        <v>6.3220000000000001</v>
      </c>
      <c r="F678" s="15">
        <f t="shared" si="31"/>
        <v>-5.3254824803262617E-3</v>
      </c>
      <c r="G678" s="16" cm="1">
        <f t="array" ref="G678">SUMPRODUCT(IF(((H678-$F$4:$F$515)/$B$10)&lt;=-1,0,IF(((H678-$F$4:$F$515)/$B$10)&gt;=1,1,(15/16)*(((H678-$F$4:$F$515)/$B$10)-(2/3)*((H678-$F$4:$F$515)/$B$10)^3+(1/5)*((H678-$F$4:$F$515)/$B$10)^5+8/15))))/COUNT($F$4:$F$515)</f>
        <v>3.5051406022756763E-3</v>
      </c>
      <c r="H678" s="15">
        <f t="shared" si="32"/>
        <v>-3.0054939878498929E-2</v>
      </c>
      <c r="K678" s="14">
        <v>0.01</v>
      </c>
      <c r="L678" s="15">
        <f t="shared" si="30"/>
        <v>-1.6954939878499008E-2</v>
      </c>
    </row>
    <row r="679" spans="4:12" ht="14.4" customHeight="1">
      <c r="D679" s="4">
        <v>42969</v>
      </c>
      <c r="E679" s="5">
        <v>6.3810000000000002</v>
      </c>
      <c r="F679" s="5">
        <f t="shared" si="31"/>
        <v>4.0342531188304739E-3</v>
      </c>
      <c r="G679" s="3" cm="1">
        <f t="array" ref="G679">SUMPRODUCT(IF(((H679-$F$4:$F$515)/$B$10)&lt;=-1,0,IF(((H679-$F$4:$F$515)/$B$10)&gt;=1,1,(15/16)*(((H679-$F$4:$F$515)/$B$10)-(2/3)*((H679-$F$4:$F$515)/$B$10)^3+(1/5)*((H679-$F$4:$F$515)/$B$10)^5+8/15))))/COUNT($F$4:$F$515)</f>
        <v>3.562030417231259E-3</v>
      </c>
      <c r="H679" s="5">
        <f t="shared" si="32"/>
        <v>-2.995493987849893E-2</v>
      </c>
      <c r="K679" s="4">
        <v>0.01</v>
      </c>
      <c r="L679" s="5">
        <f t="shared" si="30"/>
        <v>-1.6954939878499008E-2</v>
      </c>
    </row>
    <row r="680" spans="4:12" ht="14.4" customHeight="1">
      <c r="D680" s="14">
        <v>42970</v>
      </c>
      <c r="E680" s="15">
        <v>6.2919999999999998</v>
      </c>
      <c r="F680" s="15">
        <f t="shared" si="31"/>
        <v>-6.1000306711422158E-3</v>
      </c>
      <c r="G680" s="16" cm="1">
        <f t="array" ref="G680">SUMPRODUCT(IF(((H680-$F$4:$F$515)/$B$10)&lt;=-1,0,IF(((H680-$F$4:$F$515)/$B$10)&gt;=1,1,(15/16)*(((H680-$F$4:$F$515)/$B$10)-(2/3)*((H680-$F$4:$F$515)/$B$10)^3+(1/5)*((H680-$F$4:$F$515)/$B$10)^5+8/15))))/COUNT($F$4:$F$515)</f>
        <v>3.6205224444842768E-3</v>
      </c>
      <c r="H680" s="15">
        <f t="shared" si="32"/>
        <v>-2.985493987849893E-2</v>
      </c>
      <c r="K680" s="14">
        <v>0.01</v>
      </c>
      <c r="L680" s="15">
        <f t="shared" si="30"/>
        <v>-1.6954939878499008E-2</v>
      </c>
    </row>
    <row r="681" spans="4:12" ht="14.4" customHeight="1">
      <c r="D681" s="4">
        <v>42971</v>
      </c>
      <c r="E681" s="5">
        <v>6.2960000000000003</v>
      </c>
      <c r="F681" s="5">
        <f t="shared" si="31"/>
        <v>2.7600539975892433E-4</v>
      </c>
      <c r="G681" s="3" cm="1">
        <f t="array" ref="G681">SUMPRODUCT(IF(((H681-$F$4:$F$515)/$B$10)&lt;=-1,0,IF(((H681-$F$4:$F$515)/$B$10)&gt;=1,1,(15/16)*(((H681-$F$4:$F$515)/$B$10)-(2/3)*((H681-$F$4:$F$515)/$B$10)^3+(1/5)*((H681-$F$4:$F$515)/$B$10)^5+8/15))))/COUNT($F$4:$F$515)</f>
        <v>3.6809012442723479E-3</v>
      </c>
      <c r="H681" s="5">
        <f t="shared" si="32"/>
        <v>-2.9754939878498931E-2</v>
      </c>
      <c r="K681" s="4">
        <v>0.01</v>
      </c>
      <c r="L681" s="5">
        <f t="shared" si="30"/>
        <v>-1.6954939878499008E-2</v>
      </c>
    </row>
    <row r="682" spans="4:12" ht="14.4" customHeight="1">
      <c r="D682" s="14">
        <v>42972</v>
      </c>
      <c r="E682" s="15">
        <v>6.2880000000000003</v>
      </c>
      <c r="F682" s="15">
        <f t="shared" si="31"/>
        <v>-5.5218631965668196E-4</v>
      </c>
      <c r="G682" s="16" cm="1">
        <f t="array" ref="G682">SUMPRODUCT(IF(((H682-$F$4:$F$515)/$B$10)&lt;=-1,0,IF(((H682-$F$4:$F$515)/$B$10)&gt;=1,1,(15/16)*(((H682-$F$4:$F$515)/$B$10)-(2/3)*((H682-$F$4:$F$515)/$B$10)^3+(1/5)*((H682-$F$4:$F$515)/$B$10)^5+8/15))))/COUNT($F$4:$F$515)</f>
        <v>3.7434012528868512E-3</v>
      </c>
      <c r="H682" s="15">
        <f t="shared" si="32"/>
        <v>-2.9654939878498932E-2</v>
      </c>
      <c r="K682" s="14">
        <v>0.01</v>
      </c>
      <c r="L682" s="15">
        <f t="shared" si="30"/>
        <v>-1.6954939878499008E-2</v>
      </c>
    </row>
    <row r="683" spans="4:12" ht="14.4" customHeight="1">
      <c r="D683" s="4">
        <v>42975</v>
      </c>
      <c r="E683" s="5">
        <v>6.2249999999999996</v>
      </c>
      <c r="F683" s="5">
        <f t="shared" si="31"/>
        <v>-4.3731772635775571E-3</v>
      </c>
      <c r="G683" s="3" cm="1">
        <f t="array" ref="G683">SUMPRODUCT(IF(((H683-$F$4:$F$515)/$B$10)&lt;=-1,0,IF(((H683-$F$4:$F$515)/$B$10)&gt;=1,1,(15/16)*(((H683-$F$4:$F$515)/$B$10)-(2/3)*((H683-$F$4:$F$515)/$B$10)^3+(1/5)*((H683-$F$4:$F$515)/$B$10)^5+8/15))))/COUNT($F$4:$F$515)</f>
        <v>3.8082107874273896E-3</v>
      </c>
      <c r="H683" s="5">
        <f t="shared" si="32"/>
        <v>-2.9554939878498932E-2</v>
      </c>
      <c r="K683" s="4">
        <v>0.01</v>
      </c>
      <c r="L683" s="5">
        <f t="shared" si="30"/>
        <v>-1.6954939878499008E-2</v>
      </c>
    </row>
    <row r="684" spans="4:12" ht="14.4" customHeight="1">
      <c r="D684" s="14">
        <v>42976</v>
      </c>
      <c r="E684" s="15">
        <v>6.109</v>
      </c>
      <c r="F684" s="15">
        <f t="shared" si="31"/>
        <v>-8.1692306357644007E-3</v>
      </c>
      <c r="G684" s="16" cm="1">
        <f t="array" ref="G684">SUMPRODUCT(IF(((H684-$F$4:$F$515)/$B$10)&lt;=-1,0,IF(((H684-$F$4:$F$515)/$B$10)&gt;=1,1,(15/16)*(((H684-$F$4:$F$515)/$B$10)-(2/3)*((H684-$F$4:$F$515)/$B$10)^3+(1/5)*((H684-$F$4:$F$515)/$B$10)^5+8/15))))/COUNT($F$4:$F$515)</f>
        <v>3.8754760505562411E-3</v>
      </c>
      <c r="H684" s="15">
        <f t="shared" si="32"/>
        <v>-2.9454939878498933E-2</v>
      </c>
      <c r="K684" s="14">
        <v>0.01</v>
      </c>
      <c r="L684" s="15">
        <f t="shared" si="30"/>
        <v>-1.6954939878499008E-2</v>
      </c>
    </row>
    <row r="685" spans="4:12" ht="14.4" customHeight="1">
      <c r="D685" s="4">
        <v>42977</v>
      </c>
      <c r="E685" s="5">
        <v>6.1529999999999996</v>
      </c>
      <c r="F685" s="5">
        <f t="shared" si="31"/>
        <v>3.1167899560191918E-3</v>
      </c>
      <c r="G685" s="3" cm="1">
        <f t="array" ref="G685">SUMPRODUCT(IF(((H685-$F$4:$F$515)/$B$10)&lt;=-1,0,IF(((H685-$F$4:$F$515)/$B$10)&gt;=1,1,(15/16)*(((H685-$F$4:$F$515)/$B$10)-(2/3)*((H685-$F$4:$F$515)/$B$10)^3+(1/5)*((H685-$F$4:$F$515)/$B$10)^5+8/15))))/COUNT($F$4:$F$515)</f>
        <v>3.9453251965949543E-3</v>
      </c>
      <c r="H685" s="5">
        <f t="shared" si="32"/>
        <v>-2.9354939878498933E-2</v>
      </c>
      <c r="K685" s="4">
        <v>0.01</v>
      </c>
      <c r="L685" s="5">
        <f t="shared" si="30"/>
        <v>-1.6954939878499008E-2</v>
      </c>
    </row>
    <row r="686" spans="4:12" ht="14.4" customHeight="1">
      <c r="D686" s="14">
        <v>42978</v>
      </c>
      <c r="E686" s="15">
        <v>6.3079999999999998</v>
      </c>
      <c r="F686" s="15">
        <f t="shared" si="31"/>
        <v>1.080476956883656E-2</v>
      </c>
      <c r="G686" s="16" cm="1">
        <f t="array" ref="G686">SUMPRODUCT(IF(((H686-$F$4:$F$515)/$B$10)&lt;=-1,0,IF(((H686-$F$4:$F$515)/$B$10)&gt;=1,1,(15/16)*(((H686-$F$4:$F$515)/$B$10)-(2/3)*((H686-$F$4:$F$515)/$B$10)^3+(1/5)*((H686-$F$4:$F$515)/$B$10)^5+8/15))))/COUNT($F$4:$F$515)</f>
        <v>4.0180955631607734E-3</v>
      </c>
      <c r="H686" s="15">
        <f t="shared" si="32"/>
        <v>-2.9254939878498934E-2</v>
      </c>
      <c r="K686" s="14">
        <v>0.01</v>
      </c>
      <c r="L686" s="15">
        <f t="shared" si="30"/>
        <v>-1.6954939878499008E-2</v>
      </c>
    </row>
    <row r="687" spans="4:12" ht="14.4" customHeight="1">
      <c r="D687" s="4">
        <v>42979</v>
      </c>
      <c r="E687" s="5">
        <v>6.2990000000000004</v>
      </c>
      <c r="F687" s="5">
        <f t="shared" si="31"/>
        <v>-6.200763069925528E-4</v>
      </c>
      <c r="G687" s="3" cm="1">
        <f t="array" ref="G687">SUMPRODUCT(IF(((H687-$F$4:$F$515)/$B$10)&lt;=-1,0,IF(((H687-$F$4:$F$515)/$B$10)&gt;=1,1,(15/16)*(((H687-$F$4:$F$515)/$B$10)-(2/3)*((H687-$F$4:$F$515)/$B$10)^3+(1/5)*((H687-$F$4:$F$515)/$B$10)^5+8/15))))/COUNT($F$4:$F$515)</f>
        <v>4.0942321213082635E-3</v>
      </c>
      <c r="H687" s="5">
        <f t="shared" si="32"/>
        <v>-2.9154939878498935E-2</v>
      </c>
      <c r="K687" s="4">
        <v>0.01</v>
      </c>
      <c r="L687" s="5">
        <f t="shared" si="30"/>
        <v>-1.6954939878499008E-2</v>
      </c>
    </row>
    <row r="688" spans="4:12" ht="14.4" customHeight="1">
      <c r="D688" s="14">
        <v>42982</v>
      </c>
      <c r="E688" s="15">
        <v>6.2370000000000001</v>
      </c>
      <c r="F688" s="15">
        <f t="shared" si="31"/>
        <v>-4.295864298741057E-3</v>
      </c>
      <c r="G688" s="16" cm="1">
        <f t="array" ref="G688">SUMPRODUCT(IF(((H688-$F$4:$F$515)/$B$10)&lt;=-1,0,IF(((H688-$F$4:$F$515)/$B$10)&gt;=1,1,(15/16)*(((H688-$F$4:$F$515)/$B$10)-(2/3)*((H688-$F$4:$F$515)/$B$10)^3+(1/5)*((H688-$F$4:$F$515)/$B$10)^5+8/15))))/COUNT($F$4:$F$515)</f>
        <v>4.1741167453367197E-3</v>
      </c>
      <c r="H688" s="15">
        <f t="shared" si="32"/>
        <v>-2.9054939878498935E-2</v>
      </c>
      <c r="K688" s="14">
        <v>0.01</v>
      </c>
      <c r="L688" s="15">
        <f t="shared" si="30"/>
        <v>-1.6954939878499008E-2</v>
      </c>
    </row>
    <row r="689" spans="4:12" ht="14.4" customHeight="1">
      <c r="D689" s="4">
        <v>42983</v>
      </c>
      <c r="E689" s="5">
        <v>6.1840000000000002</v>
      </c>
      <c r="F689" s="5">
        <f t="shared" si="31"/>
        <v>-3.7062631408631367E-3</v>
      </c>
      <c r="G689" s="3" cm="1">
        <f t="array" ref="G689">SUMPRODUCT(IF(((H689-$F$4:$F$515)/$B$10)&lt;=-1,0,IF(((H689-$F$4:$F$515)/$B$10)&gt;=1,1,(15/16)*(((H689-$F$4:$F$515)/$B$10)-(2/3)*((H689-$F$4:$F$515)/$B$10)^3+(1/5)*((H689-$F$4:$F$515)/$B$10)^5+8/15))))/COUNT($F$4:$F$515)</f>
        <v>4.2580701972485596E-3</v>
      </c>
      <c r="H689" s="5">
        <f t="shared" si="32"/>
        <v>-2.8954939878498936E-2</v>
      </c>
      <c r="K689" s="4">
        <v>0.01</v>
      </c>
      <c r="L689" s="5">
        <f t="shared" si="30"/>
        <v>-1.6954939878499008E-2</v>
      </c>
    </row>
    <row r="690" spans="4:12" ht="14.4" customHeight="1">
      <c r="D690" s="14">
        <v>42984</v>
      </c>
      <c r="E690" s="15">
        <v>6.3170000000000002</v>
      </c>
      <c r="F690" s="15">
        <f t="shared" si="31"/>
        <v>9.2413959840994594E-3</v>
      </c>
      <c r="G690" s="16" cm="1">
        <f t="array" ref="G690">SUMPRODUCT(IF(((H690-$F$4:$F$515)/$B$10)&lt;=-1,0,IF(((H690-$F$4:$F$515)/$B$10)&gt;=1,1,(15/16)*(((H690-$F$4:$F$515)/$B$10)-(2/3)*((H690-$F$4:$F$515)/$B$10)^3+(1/5)*((H690-$F$4:$F$515)/$B$10)^5+8/15))))/COUNT($F$4:$F$515)</f>
        <v>4.3463574664219431E-3</v>
      </c>
      <c r="H690" s="15">
        <f t="shared" si="32"/>
        <v>-2.8854939878498936E-2</v>
      </c>
      <c r="K690" s="14">
        <v>0.01</v>
      </c>
      <c r="L690" s="15">
        <f t="shared" si="30"/>
        <v>-1.6954939878499008E-2</v>
      </c>
    </row>
    <row r="691" spans="4:12" ht="14.4" customHeight="1">
      <c r="D691" s="4">
        <v>42985</v>
      </c>
      <c r="E691" s="5">
        <v>6.25</v>
      </c>
      <c r="F691" s="5">
        <f t="shared" si="31"/>
        <v>-4.6308595502927794E-3</v>
      </c>
      <c r="G691" s="3" cm="1">
        <f t="array" ref="G691">SUMPRODUCT(IF(((H691-$F$4:$F$515)/$B$10)&lt;=-1,0,IF(((H691-$F$4:$F$515)/$B$10)&gt;=1,1,(15/16)*(((H691-$F$4:$F$515)/$B$10)-(2/3)*((H691-$F$4:$F$515)/$B$10)^3+(1/5)*((H691-$F$4:$F$515)/$B$10)^5+8/15))))/COUNT($F$4:$F$515)</f>
        <v>4.4391931092833707E-3</v>
      </c>
      <c r="H691" s="5">
        <f t="shared" si="32"/>
        <v>-2.8754939878498937E-2</v>
      </c>
      <c r="K691" s="4">
        <v>0.01</v>
      </c>
      <c r="L691" s="5">
        <f t="shared" si="30"/>
        <v>-1.6954939878499008E-2</v>
      </c>
    </row>
    <row r="692" spans="4:12" ht="14.4" customHeight="1">
      <c r="D692" s="14">
        <v>42986</v>
      </c>
      <c r="E692" s="15">
        <v>6.415</v>
      </c>
      <c r="F692" s="15">
        <f t="shared" si="31"/>
        <v>1.1316643366872081E-2</v>
      </c>
      <c r="G692" s="16" cm="1">
        <f t="array" ref="G692">SUMPRODUCT(IF(((H692-$F$4:$F$515)/$B$10)&lt;=-1,0,IF(((H692-$F$4:$F$515)/$B$10)&gt;=1,1,(15/16)*(((H692-$F$4:$F$515)/$B$10)-(2/3)*((H692-$F$4:$F$515)/$B$10)^3+(1/5)*((H692-$F$4:$F$515)/$B$10)^5+8/15))))/COUNT($F$4:$F$515)</f>
        <v>4.5367515960802983E-3</v>
      </c>
      <c r="H692" s="15">
        <f t="shared" si="32"/>
        <v>-2.8654939878498938E-2</v>
      </c>
      <c r="K692" s="14">
        <v>0.01</v>
      </c>
      <c r="L692" s="15">
        <f t="shared" si="30"/>
        <v>-1.6954939878499008E-2</v>
      </c>
    </row>
    <row r="693" spans="4:12" ht="14.4" customHeight="1">
      <c r="D693" s="4">
        <v>42989</v>
      </c>
      <c r="E693" s="5">
        <v>6.4790000000000001</v>
      </c>
      <c r="F693" s="5">
        <f t="shared" si="31"/>
        <v>4.3113192343793823E-3</v>
      </c>
      <c r="G693" s="3" cm="1">
        <f t="array" ref="G693">SUMPRODUCT(IF(((H693-$F$4:$F$515)/$B$10)&lt;=-1,0,IF(((H693-$F$4:$F$515)/$B$10)&gt;=1,1,(15/16)*(((H693-$F$4:$F$515)/$B$10)-(2/3)*((H693-$F$4:$F$515)/$B$10)^3+(1/5)*((H693-$F$4:$F$515)/$B$10)^5+8/15))))/COUNT($F$4:$F$515)</f>
        <v>4.6393503505904208E-3</v>
      </c>
      <c r="H693" s="5">
        <f t="shared" si="32"/>
        <v>-2.8554939878498938E-2</v>
      </c>
      <c r="K693" s="4">
        <v>0.01</v>
      </c>
      <c r="L693" s="5">
        <f t="shared" si="30"/>
        <v>-1.6954939878499008E-2</v>
      </c>
    </row>
    <row r="694" spans="4:12" ht="14.4" customHeight="1">
      <c r="D694" s="14">
        <v>42990</v>
      </c>
      <c r="E694" s="15">
        <v>6.5990000000000002</v>
      </c>
      <c r="F694" s="15">
        <f t="shared" si="31"/>
        <v>7.9701484167959413E-3</v>
      </c>
      <c r="G694" s="16" cm="1">
        <f t="array" ref="G694">SUMPRODUCT(IF(((H694-$F$4:$F$515)/$B$10)&lt;=-1,0,IF(((H694-$F$4:$F$515)/$B$10)&gt;=1,1,(15/16)*(((H694-$F$4:$F$515)/$B$10)-(2/3)*((H694-$F$4:$F$515)/$B$10)^3+(1/5)*((H694-$F$4:$F$515)/$B$10)^5+8/15))))/COUNT($F$4:$F$515)</f>
        <v>4.7474830098681109E-3</v>
      </c>
      <c r="H694" s="15">
        <f t="shared" si="32"/>
        <v>-2.8454939878498939E-2</v>
      </c>
      <c r="K694" s="14">
        <v>0.01</v>
      </c>
      <c r="L694" s="15">
        <f t="shared" si="30"/>
        <v>-1.6954939878499008E-2</v>
      </c>
    </row>
    <row r="695" spans="4:12" ht="14.4" customHeight="1">
      <c r="D695" s="4">
        <v>42991</v>
      </c>
      <c r="E695" s="5">
        <v>6.4950000000000001</v>
      </c>
      <c r="F695" s="5">
        <f t="shared" si="31"/>
        <v>-6.8989729530759287E-3</v>
      </c>
      <c r="G695" s="3" cm="1">
        <f t="array" ref="G695">SUMPRODUCT(IF(((H695-$F$4:$F$515)/$B$10)&lt;=-1,0,IF(((H695-$F$4:$F$515)/$B$10)&gt;=1,1,(15/16)*(((H695-$F$4:$F$515)/$B$10)-(2/3)*((H695-$F$4:$F$515)/$B$10)^3+(1/5)*((H695-$F$4:$F$515)/$B$10)^5+8/15))))/COUNT($F$4:$F$515)</f>
        <v>4.8615894507770029E-3</v>
      </c>
      <c r="H695" s="5">
        <f t="shared" si="32"/>
        <v>-2.8354939878498939E-2</v>
      </c>
      <c r="K695" s="4">
        <v>0.01</v>
      </c>
      <c r="L695" s="5">
        <f t="shared" si="30"/>
        <v>-1.6954939878499008E-2</v>
      </c>
    </row>
    <row r="696" spans="4:12" ht="14.4" customHeight="1">
      <c r="D696" s="14">
        <v>42992</v>
      </c>
      <c r="E696" s="15">
        <v>6.5650000000000004</v>
      </c>
      <c r="F696" s="15">
        <f t="shared" si="31"/>
        <v>4.6555750164514621E-3</v>
      </c>
      <c r="G696" s="16" cm="1">
        <f t="array" ref="G696">SUMPRODUCT(IF(((H696-$F$4:$F$515)/$B$10)&lt;=-1,0,IF(((H696-$F$4:$F$515)/$B$10)&gt;=1,1,(15/16)*(((H696-$F$4:$F$515)/$B$10)-(2/3)*((H696-$F$4:$F$515)/$B$10)^3+(1/5)*((H696-$F$4:$F$515)/$B$10)^5+8/15))))/COUNT($F$4:$F$515)</f>
        <v>4.9820464732513456E-3</v>
      </c>
      <c r="H696" s="15">
        <f t="shared" si="32"/>
        <v>-2.825493987849894E-2</v>
      </c>
      <c r="K696" s="14">
        <v>0.01</v>
      </c>
      <c r="L696" s="15">
        <f t="shared" si="30"/>
        <v>-1.6954939878499008E-2</v>
      </c>
    </row>
    <row r="697" spans="4:12" ht="14.4" customHeight="1">
      <c r="D697" s="4">
        <v>42993</v>
      </c>
      <c r="E697" s="5">
        <v>6.4619999999999997</v>
      </c>
      <c r="F697" s="5">
        <f t="shared" si="31"/>
        <v>-6.8677767438729597E-3</v>
      </c>
      <c r="G697" s="3" cm="1">
        <f t="array" ref="G697">SUMPRODUCT(IF(((H697-$F$4:$F$515)/$B$10)&lt;=-1,0,IF(((H697-$F$4:$F$515)/$B$10)&gt;=1,1,(15/16)*(((H697-$F$4:$F$515)/$B$10)-(2/3)*((H697-$F$4:$F$515)/$B$10)^3+(1/5)*((H697-$F$4:$F$515)/$B$10)^5+8/15))))/COUNT($F$4:$F$515)</f>
        <v>5.109174474886756E-3</v>
      </c>
      <c r="H697" s="5">
        <f t="shared" si="32"/>
        <v>-2.8154939878498941E-2</v>
      </c>
      <c r="K697" s="4">
        <v>0.01</v>
      </c>
      <c r="L697" s="5">
        <f t="shared" si="30"/>
        <v>-1.6954939878499008E-2</v>
      </c>
    </row>
    <row r="698" spans="4:12" ht="14.4" customHeight="1">
      <c r="D698" s="14">
        <v>42996</v>
      </c>
      <c r="E698" s="15">
        <v>6.4290000000000003</v>
      </c>
      <c r="F698" s="15">
        <f t="shared" si="31"/>
        <v>-2.2235279201340921E-3</v>
      </c>
      <c r="G698" s="16" cm="1">
        <f t="array" ref="G698">SUMPRODUCT(IF(((H698-$F$4:$F$515)/$B$10)&lt;=-1,0,IF(((H698-$F$4:$F$515)/$B$10)&gt;=1,1,(15/16)*(((H698-$F$4:$F$515)/$B$10)-(2/3)*((H698-$F$4:$F$515)/$B$10)^3+(1/5)*((H698-$F$4:$F$515)/$B$10)^5+8/15))))/COUNT($F$4:$F$515)</f>
        <v>5.2432441255309886E-3</v>
      </c>
      <c r="H698" s="15">
        <f t="shared" si="32"/>
        <v>-2.8054939878498941E-2</v>
      </c>
      <c r="K698" s="14">
        <v>0.01</v>
      </c>
      <c r="L698" s="15">
        <f t="shared" si="30"/>
        <v>-1.6954939878499008E-2</v>
      </c>
    </row>
    <row r="699" spans="4:12" ht="14.4" customHeight="1">
      <c r="D699" s="4">
        <v>42997</v>
      </c>
      <c r="E699" s="5">
        <v>6.4390000000000001</v>
      </c>
      <c r="F699" s="5">
        <f t="shared" si="31"/>
        <v>6.7499933063315683E-4</v>
      </c>
      <c r="G699" s="3" cm="1">
        <f t="array" ref="G699">SUMPRODUCT(IF(((H699-$F$4:$F$515)/$B$10)&lt;=-1,0,IF(((H699-$F$4:$F$515)/$B$10)&gt;=1,1,(15/16)*(((H699-$F$4:$F$515)/$B$10)-(2/3)*((H699-$F$4:$F$515)/$B$10)^3+(1/5)*((H699-$F$4:$F$515)/$B$10)^5+8/15))))/COUNT($F$4:$F$515)</f>
        <v>5.3844830418746919E-3</v>
      </c>
      <c r="H699" s="5">
        <f t="shared" si="32"/>
        <v>-2.7954939878498942E-2</v>
      </c>
      <c r="K699" s="4">
        <v>0.01</v>
      </c>
      <c r="L699" s="5">
        <f t="shared" si="30"/>
        <v>-1.6954939878499008E-2</v>
      </c>
    </row>
    <row r="700" spans="4:12" ht="14.4" customHeight="1">
      <c r="D700" s="14">
        <v>42998</v>
      </c>
      <c r="E700" s="15">
        <v>6.4089999999999998</v>
      </c>
      <c r="F700" s="15">
        <f t="shared" si="31"/>
        <v>-2.0281535080574537E-3</v>
      </c>
      <c r="G700" s="16" cm="1">
        <f t="array" ref="G700">SUMPRODUCT(IF(((H700-$F$4:$F$515)/$B$10)&lt;=-1,0,IF(((H700-$F$4:$F$515)/$B$10)&gt;=1,1,(15/16)*(((H700-$F$4:$F$515)/$B$10)-(2/3)*((H700-$F$4:$F$515)/$B$10)^3+(1/5)*((H700-$F$4:$F$515)/$B$10)^5+8/15))))/COUNT($F$4:$F$515)</f>
        <v>5.5330747995765229E-3</v>
      </c>
      <c r="H700" s="15">
        <f t="shared" si="32"/>
        <v>-2.7854939878498942E-2</v>
      </c>
      <c r="K700" s="14">
        <v>0.01</v>
      </c>
      <c r="L700" s="15">
        <f t="shared" si="30"/>
        <v>-1.6954939878499008E-2</v>
      </c>
    </row>
    <row r="701" spans="4:12" ht="14.4" customHeight="1">
      <c r="D701" s="4">
        <v>42999</v>
      </c>
      <c r="E701" s="5">
        <v>6.6029999999999998</v>
      </c>
      <c r="F701" s="5">
        <f t="shared" si="31"/>
        <v>1.2951025688943579E-2</v>
      </c>
      <c r="G701" s="3" cm="1">
        <f t="array" ref="G701">SUMPRODUCT(IF(((H701-$F$4:$F$515)/$B$10)&lt;=-1,0,IF(((H701-$F$4:$F$515)/$B$10)&gt;=1,1,(15/16)*(((H701-$F$4:$F$515)/$B$10)-(2/3)*((H701-$F$4:$F$515)/$B$10)^3+(1/5)*((H701-$F$4:$F$515)/$B$10)^5+8/15))))/COUNT($F$4:$F$515)</f>
        <v>5.6889586969679148E-3</v>
      </c>
      <c r="H701" s="5">
        <f t="shared" si="32"/>
        <v>-2.7754939878498943E-2</v>
      </c>
      <c r="K701" s="4">
        <v>0.01</v>
      </c>
      <c r="L701" s="5">
        <f t="shared" si="30"/>
        <v>-1.6954939878499008E-2</v>
      </c>
    </row>
    <row r="702" spans="4:12" ht="14.4" customHeight="1">
      <c r="D702" s="14">
        <v>43000</v>
      </c>
      <c r="E702" s="15">
        <v>6.633</v>
      </c>
      <c r="F702" s="15">
        <f t="shared" si="31"/>
        <v>1.9687000253659935E-3</v>
      </c>
      <c r="G702" s="16" cm="1">
        <f t="array" ref="G702">SUMPRODUCT(IF(((H702-$F$4:$F$515)/$B$10)&lt;=-1,0,IF(((H702-$F$4:$F$515)/$B$10)&gt;=1,1,(15/16)*(((H702-$F$4:$F$515)/$B$10)-(2/3)*((H702-$F$4:$F$515)/$B$10)^3+(1/5)*((H702-$F$4:$F$515)/$B$10)^5+8/15))))/COUNT($F$4:$F$515)</f>
        <v>5.8517905915738038E-3</v>
      </c>
      <c r="H702" s="15">
        <f t="shared" si="32"/>
        <v>-2.7654939878498944E-2</v>
      </c>
      <c r="K702" s="14">
        <v>0.01</v>
      </c>
      <c r="L702" s="15">
        <f t="shared" si="30"/>
        <v>-1.6954939878499008E-2</v>
      </c>
    </row>
    <row r="703" spans="4:12" ht="14.4" customHeight="1">
      <c r="D703" s="4">
        <v>43003</v>
      </c>
      <c r="E703" s="5">
        <v>6.556</v>
      </c>
      <c r="F703" s="5">
        <f t="shared" si="31"/>
        <v>-5.0710523999148568E-3</v>
      </c>
      <c r="G703" s="3" cm="1">
        <f t="array" ref="G703">SUMPRODUCT(IF(((H703-$F$4:$F$515)/$B$10)&lt;=-1,0,IF(((H703-$F$4:$F$515)/$B$10)&gt;=1,1,(15/16)*(((H703-$F$4:$F$515)/$B$10)-(2/3)*((H703-$F$4:$F$515)/$B$10)^3+(1/5)*((H703-$F$4:$F$515)/$B$10)^5+8/15))))/COUNT($F$4:$F$515)</f>
        <v>6.0211552445927456E-3</v>
      </c>
      <c r="H703" s="5">
        <f t="shared" si="32"/>
        <v>-2.7554939878498944E-2</v>
      </c>
      <c r="K703" s="4">
        <v>0.01</v>
      </c>
      <c r="L703" s="5">
        <f t="shared" si="30"/>
        <v>-1.6954939878499008E-2</v>
      </c>
    </row>
    <row r="704" spans="4:12" ht="14.4" customHeight="1">
      <c r="D704" s="14">
        <v>43004</v>
      </c>
      <c r="E704" s="15">
        <v>6.51</v>
      </c>
      <c r="F704" s="15">
        <f t="shared" si="31"/>
        <v>-3.057956330269515E-3</v>
      </c>
      <c r="G704" s="16" cm="1">
        <f t="array" ref="G704">SUMPRODUCT(IF(((H704-$F$4:$F$515)/$B$10)&lt;=-1,0,IF(((H704-$F$4:$F$515)/$B$10)&gt;=1,1,(15/16)*(((H704-$F$4:$F$515)/$B$10)-(2/3)*((H704-$F$4:$F$515)/$B$10)^3+(1/5)*((H704-$F$4:$F$515)/$B$10)^5+8/15))))/COUNT($F$4:$F$515)</f>
        <v>6.1967199376499514E-3</v>
      </c>
      <c r="H704" s="15">
        <f t="shared" si="32"/>
        <v>-2.7454939878498945E-2</v>
      </c>
      <c r="K704" s="14">
        <v>0.01</v>
      </c>
      <c r="L704" s="15">
        <f t="shared" si="30"/>
        <v>-1.6954939878499008E-2</v>
      </c>
    </row>
    <row r="705" spans="4:12" ht="14.4" customHeight="1">
      <c r="D705" s="4">
        <v>43005</v>
      </c>
      <c r="E705" s="5">
        <v>6.6970000000000001</v>
      </c>
      <c r="F705" s="5">
        <f t="shared" si="31"/>
        <v>1.2299310367987565E-2</v>
      </c>
      <c r="G705" s="3" cm="1">
        <f t="array" ref="G705">SUMPRODUCT(IF(((H705-$F$4:$F$515)/$B$10)&lt;=-1,0,IF(((H705-$F$4:$F$515)/$B$10)&gt;=1,1,(15/16)*(((H705-$F$4:$F$515)/$B$10)-(2/3)*((H705-$F$4:$F$515)/$B$10)^3+(1/5)*((H705-$F$4:$F$515)/$B$10)^5+8/15))))/COUNT($F$4:$F$515)</f>
        <v>6.3783509585461327E-3</v>
      </c>
      <c r="H705" s="5">
        <f t="shared" si="32"/>
        <v>-2.7354939878498945E-2</v>
      </c>
      <c r="K705" s="4">
        <v>0.01</v>
      </c>
      <c r="L705" s="5">
        <f t="shared" si="30"/>
        <v>-1.6954939878499008E-2</v>
      </c>
    </row>
    <row r="706" spans="4:12" ht="14.4" customHeight="1">
      <c r="D706" s="14">
        <v>43006</v>
      </c>
      <c r="E706" s="15">
        <v>6.74</v>
      </c>
      <c r="F706" s="15">
        <f t="shared" si="31"/>
        <v>2.7795975991403215E-3</v>
      </c>
      <c r="G706" s="16" cm="1">
        <f t="array" ref="G706">SUMPRODUCT(IF(((H706-$F$4:$F$515)/$B$10)&lt;=-1,0,IF(((H706-$F$4:$F$515)/$B$10)&gt;=1,1,(15/16)*(((H706-$F$4:$F$515)/$B$10)-(2/3)*((H706-$F$4:$F$515)/$B$10)^3+(1/5)*((H706-$F$4:$F$515)/$B$10)^5+8/15))))/COUNT($F$4:$F$515)</f>
        <v>6.5658612994994921E-3</v>
      </c>
      <c r="H706" s="15">
        <f t="shared" si="32"/>
        <v>-2.7254939878498946E-2</v>
      </c>
      <c r="K706" s="14">
        <v>0.01</v>
      </c>
      <c r="L706" s="15">
        <f t="shared" si="30"/>
        <v>-1.6954939878499008E-2</v>
      </c>
    </row>
    <row r="707" spans="4:12" ht="14.4" customHeight="1">
      <c r="D707" s="4">
        <v>43007</v>
      </c>
      <c r="E707" s="5">
        <v>6.77</v>
      </c>
      <c r="F707" s="5">
        <f t="shared" si="31"/>
        <v>1.9287721498244411E-3</v>
      </c>
      <c r="G707" s="3" cm="1">
        <f t="array" ref="G707">SUMPRODUCT(IF(((H707-$F$4:$F$515)/$B$10)&lt;=-1,0,IF(((H707-$F$4:$F$515)/$B$10)&gt;=1,1,(15/16)*(((H707-$F$4:$F$515)/$B$10)-(2/3)*((H707-$F$4:$F$515)/$B$10)^3+(1/5)*((H707-$F$4:$F$515)/$B$10)^5+8/15))))/COUNT($F$4:$F$515)</f>
        <v>6.758984894530258E-3</v>
      </c>
      <c r="H707" s="5">
        <f t="shared" si="32"/>
        <v>-2.7154939878498947E-2</v>
      </c>
      <c r="K707" s="4">
        <v>0.01</v>
      </c>
      <c r="L707" s="5">
        <f t="shared" si="30"/>
        <v>-1.6954939878499008E-2</v>
      </c>
    </row>
    <row r="708" spans="4:12" ht="14.4" customHeight="1">
      <c r="D708" s="14">
        <v>43010</v>
      </c>
      <c r="E708" s="15">
        <v>6.742</v>
      </c>
      <c r="F708" s="15">
        <f t="shared" si="31"/>
        <v>-1.7999205001911899E-3</v>
      </c>
      <c r="G708" s="16" cm="1">
        <f t="array" ref="G708">SUMPRODUCT(IF(((H708-$F$4:$F$515)/$B$10)&lt;=-1,0,IF(((H708-$F$4:$F$515)/$B$10)&gt;=1,1,(15/16)*(((H708-$F$4:$F$515)/$B$10)-(2/3)*((H708-$F$4:$F$515)/$B$10)^3+(1/5)*((H708-$F$4:$F$515)/$B$10)^5+8/15))))/COUNT($F$4:$F$515)</f>
        <v>6.9573832940514561E-3</v>
      </c>
      <c r="H708" s="15">
        <f t="shared" si="32"/>
        <v>-2.7054939878498947E-2</v>
      </c>
      <c r="K708" s="14">
        <v>0.01</v>
      </c>
      <c r="L708" s="15">
        <f t="shared" ref="L708:L771" si="33">$B$7</f>
        <v>-1.6954939878499008E-2</v>
      </c>
    </row>
    <row r="709" spans="4:12" ht="14.4" customHeight="1">
      <c r="D709" s="4">
        <v>43011</v>
      </c>
      <c r="E709" s="5">
        <v>6.9550000000000001</v>
      </c>
      <c r="F709" s="5">
        <f t="shared" ref="F709:F772" si="34">LOG(E709/E708)</f>
        <v>1.3508386143112075E-2</v>
      </c>
      <c r="G709" s="3" cm="1">
        <f t="array" ref="G709">SUMPRODUCT(IF(((H709-$F$4:$F$515)/$B$10)&lt;=-1,0,IF(((H709-$F$4:$F$515)/$B$10)&gt;=1,1,(15/16)*(((H709-$F$4:$F$515)/$B$10)-(2/3)*((H709-$F$4:$F$515)/$B$10)^3+(1/5)*((H709-$F$4:$F$515)/$B$10)^5+8/15))))/COUNT($F$4:$F$515)</f>
        <v>7.1606523394596678E-3</v>
      </c>
      <c r="H709" s="5">
        <f t="shared" ref="H709:H772" si="35">H708+0.0001</f>
        <v>-2.6954939878498948E-2</v>
      </c>
      <c r="K709" s="4">
        <v>0.01</v>
      </c>
      <c r="L709" s="5">
        <f t="shared" si="33"/>
        <v>-1.6954939878499008E-2</v>
      </c>
    </row>
    <row r="710" spans="4:12" ht="14.4" customHeight="1">
      <c r="D710" s="14">
        <v>43012</v>
      </c>
      <c r="E710" s="15">
        <v>6.91</v>
      </c>
      <c r="F710" s="15">
        <f t="shared" si="34"/>
        <v>-2.8190869538668264E-3</v>
      </c>
      <c r="G710" s="16" cm="1">
        <f t="array" ref="G710">SUMPRODUCT(IF(((H710-$F$4:$F$515)/$B$10)&lt;=-1,0,IF(((H710-$F$4:$F$515)/$B$10)&gt;=1,1,(15/16)*(((H710-$F$4:$F$515)/$B$10)-(2/3)*((H710-$F$4:$F$515)/$B$10)^3+(1/5)*((H710-$F$4:$F$515)/$B$10)^5+8/15))))/COUNT($F$4:$F$515)</f>
        <v>7.368328837725791E-3</v>
      </c>
      <c r="H710" s="15">
        <f t="shared" si="35"/>
        <v>-2.6854939878498948E-2</v>
      </c>
      <c r="K710" s="14">
        <v>0.01</v>
      </c>
      <c r="L710" s="15">
        <f t="shared" si="33"/>
        <v>-1.6954939878499008E-2</v>
      </c>
    </row>
    <row r="711" spans="4:12" ht="14.4" customHeight="1">
      <c r="D711" s="4">
        <v>43013</v>
      </c>
      <c r="E711" s="5">
        <v>7.0060000000000002</v>
      </c>
      <c r="F711" s="5">
        <f t="shared" si="34"/>
        <v>5.9920856074752397E-3</v>
      </c>
      <c r="G711" s="3" cm="1">
        <f t="array" ref="G711">SUMPRODUCT(IF(((H711-$F$4:$F$515)/$B$10)&lt;=-1,0,IF(((H711-$F$4:$F$515)/$B$10)&gt;=1,1,(15/16)*(((H711-$F$4:$F$515)/$B$10)-(2/3)*((H711-$F$4:$F$515)/$B$10)^3+(1/5)*((H711-$F$4:$F$515)/$B$10)^5+8/15))))/COUNT($F$4:$F$515)</f>
        <v>7.5798975722958283E-3</v>
      </c>
      <c r="H711" s="5">
        <f t="shared" si="35"/>
        <v>-2.6754939878498949E-2</v>
      </c>
      <c r="K711" s="4">
        <v>0.01</v>
      </c>
      <c r="L711" s="5">
        <f t="shared" si="33"/>
        <v>-1.6954939878499008E-2</v>
      </c>
    </row>
    <row r="712" spans="4:12" ht="14.4" customHeight="1">
      <c r="D712" s="14">
        <v>43014</v>
      </c>
      <c r="E712" s="15">
        <v>7</v>
      </c>
      <c r="F712" s="15">
        <f t="shared" si="34"/>
        <v>-3.7209296741677687E-4</v>
      </c>
      <c r="G712" s="16" cm="1">
        <f t="array" ref="G712">SUMPRODUCT(IF(((H712-$F$4:$F$515)/$B$10)&lt;=-1,0,IF(((H712-$F$4:$F$515)/$B$10)&gt;=1,1,(15/16)*(((H712-$F$4:$F$515)/$B$10)-(2/3)*((H712-$F$4:$F$515)/$B$10)^3+(1/5)*((H712-$F$4:$F$515)/$B$10)^5+8/15))))/COUNT($F$4:$F$515)</f>
        <v>7.7949689411740183E-3</v>
      </c>
      <c r="H712" s="15">
        <f t="shared" si="35"/>
        <v>-2.665493987849895E-2</v>
      </c>
      <c r="K712" s="14">
        <v>0.01</v>
      </c>
      <c r="L712" s="15">
        <f t="shared" si="33"/>
        <v>-1.6954939878499008E-2</v>
      </c>
    </row>
    <row r="713" spans="4:12" ht="14.4" customHeight="1">
      <c r="D713" s="4">
        <v>43017</v>
      </c>
      <c r="E713" s="5">
        <v>6.95</v>
      </c>
      <c r="F713" s="5">
        <f t="shared" si="34"/>
        <v>-3.1132354241429345E-3</v>
      </c>
      <c r="G713" s="3" cm="1">
        <f t="array" ref="G713">SUMPRODUCT(IF(((H713-$F$4:$F$515)/$B$10)&lt;=-1,0,IF(((H713-$F$4:$F$515)/$B$10)&gt;=1,1,(15/16)*(((H713-$F$4:$F$515)/$B$10)-(2/3)*((H713-$F$4:$F$515)/$B$10)^3+(1/5)*((H713-$F$4:$F$515)/$B$10)^5+8/15))))/COUNT($F$4:$F$515)</f>
        <v>8.0136588293074525E-3</v>
      </c>
      <c r="H713" s="5">
        <f t="shared" si="35"/>
        <v>-2.655493987849895E-2</v>
      </c>
      <c r="K713" s="4">
        <v>0.01</v>
      </c>
      <c r="L713" s="5">
        <f t="shared" si="33"/>
        <v>-1.6954939878499008E-2</v>
      </c>
    </row>
    <row r="714" spans="4:12" ht="14.4" customHeight="1">
      <c r="D714" s="14">
        <v>43018</v>
      </c>
      <c r="E714" s="15">
        <v>6.8559999999999999</v>
      </c>
      <c r="F714" s="15">
        <f t="shared" si="34"/>
        <v>-5.9139956749721416E-3</v>
      </c>
      <c r="G714" s="16" cm="1">
        <f t="array" ref="G714">SUMPRODUCT(IF(((H714-$F$4:$F$515)/$B$10)&lt;=-1,0,IF(((H714-$F$4:$F$515)/$B$10)&gt;=1,1,(15/16)*(((H714-$F$4:$F$515)/$B$10)-(2/3)*((H714-$F$4:$F$515)/$B$10)^3+(1/5)*((H714-$F$4:$F$515)/$B$10)^5+8/15))))/COUNT($F$4:$F$515)</f>
        <v>8.2361113774306622E-3</v>
      </c>
      <c r="H714" s="15">
        <f t="shared" si="35"/>
        <v>-2.6454939878498951E-2</v>
      </c>
      <c r="K714" s="14">
        <v>0.01</v>
      </c>
      <c r="L714" s="15">
        <f t="shared" si="33"/>
        <v>-1.6954939878499008E-2</v>
      </c>
    </row>
    <row r="715" spans="4:12" ht="14.4" customHeight="1">
      <c r="D715" s="4">
        <v>43019</v>
      </c>
      <c r="E715" s="5">
        <v>6.7949999999999999</v>
      </c>
      <c r="F715" s="5">
        <f t="shared" si="34"/>
        <v>-3.8813478466286112E-3</v>
      </c>
      <c r="G715" s="3" cm="1">
        <f t="array" ref="G715">SUMPRODUCT(IF(((H715-$F$4:$F$515)/$B$10)&lt;=-1,0,IF(((H715-$F$4:$F$515)/$B$10)&gt;=1,1,(15/16)*(((H715-$F$4:$F$515)/$B$10)-(2/3)*((H715-$F$4:$F$515)/$B$10)^3+(1/5)*((H715-$F$4:$F$515)/$B$10)^5+8/15))))/COUNT($F$4:$F$515)</f>
        <v>8.4623654478998885E-3</v>
      </c>
      <c r="H715" s="5">
        <f t="shared" si="35"/>
        <v>-2.6354939878498952E-2</v>
      </c>
      <c r="K715" s="4">
        <v>0.01</v>
      </c>
      <c r="L715" s="5">
        <f t="shared" si="33"/>
        <v>-1.6954939878499008E-2</v>
      </c>
    </row>
    <row r="716" spans="4:12" ht="14.4" customHeight="1">
      <c r="D716" s="14">
        <v>43020</v>
      </c>
      <c r="E716" s="15">
        <v>6.7439999999999998</v>
      </c>
      <c r="F716" s="15">
        <f t="shared" si="34"/>
        <v>-3.2718994518271976E-3</v>
      </c>
      <c r="G716" s="16" cm="1">
        <f t="array" ref="G716">SUMPRODUCT(IF(((H716-$F$4:$F$515)/$B$10)&lt;=-1,0,IF(((H716-$F$4:$F$515)/$B$10)&gt;=1,1,(15/16)*(((H716-$F$4:$F$515)/$B$10)-(2/3)*((H716-$F$4:$F$515)/$B$10)^3+(1/5)*((H716-$F$4:$F$515)/$B$10)^5+8/15))))/COUNT($F$4:$F$515)</f>
        <v>8.6923639251094437E-3</v>
      </c>
      <c r="H716" s="15">
        <f t="shared" si="35"/>
        <v>-2.6254939878498952E-2</v>
      </c>
      <c r="K716" s="14">
        <v>0.01</v>
      </c>
      <c r="L716" s="15">
        <f t="shared" si="33"/>
        <v>-1.6954939878499008E-2</v>
      </c>
    </row>
    <row r="717" spans="4:12" ht="14.4" customHeight="1">
      <c r="D717" s="4">
        <v>43021</v>
      </c>
      <c r="E717" s="5">
        <v>6.5609999999999999</v>
      </c>
      <c r="F717" s="5">
        <f t="shared" si="34"/>
        <v>-1.1947523859386385E-2</v>
      </c>
      <c r="G717" s="3" cm="1">
        <f t="array" ref="G717">SUMPRODUCT(IF(((H717-$F$4:$F$515)/$B$10)&lt;=-1,0,IF(((H717-$F$4:$F$515)/$B$10)&gt;=1,1,(15/16)*(((H717-$F$4:$F$515)/$B$10)-(2/3)*((H717-$F$4:$F$515)/$B$10)^3+(1/5)*((H717-$F$4:$F$515)/$B$10)^5+8/15))))/COUNT($F$4:$F$515)</f>
        <v>8.925963059918789E-3</v>
      </c>
      <c r="H717" s="5">
        <f t="shared" si="35"/>
        <v>-2.6154939878498953E-2</v>
      </c>
      <c r="K717" s="4">
        <v>0.01</v>
      </c>
      <c r="L717" s="5">
        <f t="shared" si="33"/>
        <v>-1.6954939878499008E-2</v>
      </c>
    </row>
    <row r="718" spans="4:12" ht="14.4" customHeight="1">
      <c r="D718" s="14">
        <v>43024</v>
      </c>
      <c r="E718" s="15">
        <v>6.5979999999999999</v>
      </c>
      <c r="F718" s="15">
        <f t="shared" si="34"/>
        <v>2.442273452025617E-3</v>
      </c>
      <c r="G718" s="16" cm="1">
        <f t="array" ref="G718">SUMPRODUCT(IF(((H718-$F$4:$F$515)/$B$10)&lt;=-1,0,IF(((H718-$F$4:$F$515)/$B$10)&gt;=1,1,(15/16)*(((H718-$F$4:$F$515)/$B$10)-(2/3)*((H718-$F$4:$F$515)/$B$10)^3+(1/5)*((H718-$F$4:$F$515)/$B$10)^5+8/15))))/COUNT($F$4:$F$515)</f>
        <v>9.1629418140795945E-3</v>
      </c>
      <c r="H718" s="15">
        <f t="shared" si="35"/>
        <v>-2.6054939878498953E-2</v>
      </c>
      <c r="K718" s="14">
        <v>0.01</v>
      </c>
      <c r="L718" s="15">
        <f t="shared" si="33"/>
        <v>-1.6954939878499008E-2</v>
      </c>
    </row>
    <row r="719" spans="4:12" ht="14.4" customHeight="1">
      <c r="D719" s="4">
        <v>43025</v>
      </c>
      <c r="E719" s="5">
        <v>6.6130000000000004</v>
      </c>
      <c r="F719" s="5">
        <f t="shared" si="34"/>
        <v>9.8621149465660135E-4</v>
      </c>
      <c r="G719" s="3" cm="1">
        <f t="array" ref="G719">SUMPRODUCT(IF(((H719-$F$4:$F$515)/$B$10)&lt;=-1,0,IF(((H719-$F$4:$F$515)/$B$10)&gt;=1,1,(15/16)*(((H719-$F$4:$F$515)/$B$10)-(2/3)*((H719-$F$4:$F$515)/$B$10)^3+(1/5)*((H719-$F$4:$F$515)/$B$10)^5+8/15))))/COUNT($F$4:$F$515)</f>
        <v>9.4030568723484122E-3</v>
      </c>
      <c r="H719" s="5">
        <f t="shared" si="35"/>
        <v>-2.5954939878498954E-2</v>
      </c>
      <c r="K719" s="4">
        <v>0.01</v>
      </c>
      <c r="L719" s="5">
        <f t="shared" si="33"/>
        <v>-1.6954939878499008E-2</v>
      </c>
    </row>
    <row r="720" spans="4:12" ht="14.4" customHeight="1">
      <c r="D720" s="14">
        <v>43026</v>
      </c>
      <c r="E720" s="15">
        <v>6.6609999999999996</v>
      </c>
      <c r="F720" s="15">
        <f t="shared" si="34"/>
        <v>3.140910952877302E-3</v>
      </c>
      <c r="G720" s="16" cm="1">
        <f t="array" ref="G720">SUMPRODUCT(IF(((H720-$F$4:$F$515)/$B$10)&lt;=-1,0,IF(((H720-$F$4:$F$515)/$B$10)&gt;=1,1,(15/16)*(((H720-$F$4:$F$515)/$B$10)-(2/3)*((H720-$F$4:$F$515)/$B$10)^3+(1/5)*((H720-$F$4:$F$515)/$B$10)^5+8/15))))/COUNT($F$4:$F$515)</f>
        <v>9.6462816970454661E-3</v>
      </c>
      <c r="H720" s="15">
        <f t="shared" si="35"/>
        <v>-2.5854939878498955E-2</v>
      </c>
      <c r="K720" s="14">
        <v>0.01</v>
      </c>
      <c r="L720" s="15">
        <f t="shared" si="33"/>
        <v>-1.6954939878499008E-2</v>
      </c>
    </row>
    <row r="721" spans="4:12" ht="14.4" customHeight="1">
      <c r="D721" s="4">
        <v>43027</v>
      </c>
      <c r="E721" s="5">
        <v>6.6230000000000002</v>
      </c>
      <c r="F721" s="5">
        <f t="shared" si="34"/>
        <v>-2.484678609970785E-3</v>
      </c>
      <c r="G721" s="3" cm="1">
        <f t="array" ref="G721">SUMPRODUCT(IF(((H721-$F$4:$F$515)/$B$10)&lt;=-1,0,IF(((H721-$F$4:$F$515)/$B$10)&gt;=1,1,(15/16)*(((H721-$F$4:$F$515)/$B$10)-(2/3)*((H721-$F$4:$F$515)/$B$10)^3+(1/5)*((H721-$F$4:$F$515)/$B$10)^5+8/15))))/COUNT($F$4:$F$515)</f>
        <v>9.8926152455753747E-3</v>
      </c>
      <c r="H721" s="5">
        <f t="shared" si="35"/>
        <v>-2.5754939878498955E-2</v>
      </c>
      <c r="K721" s="4">
        <v>0.01</v>
      </c>
      <c r="L721" s="5">
        <f t="shared" si="33"/>
        <v>-1.6954939878499008E-2</v>
      </c>
    </row>
    <row r="722" spans="4:12" ht="14.4" customHeight="1">
      <c r="D722" s="14">
        <v>43028</v>
      </c>
      <c r="E722" s="15">
        <v>6.8369999999999997</v>
      </c>
      <c r="F722" s="15">
        <f t="shared" si="34"/>
        <v>1.381082485314983E-2</v>
      </c>
      <c r="G722" s="16" cm="1">
        <f t="array" ref="G722">SUMPRODUCT(IF(((H722-$F$4:$F$515)/$B$10)&lt;=-1,0,IF(((H722-$F$4:$F$515)/$B$10)&gt;=1,1,(15/16)*(((H722-$F$4:$F$515)/$B$10)-(2/3)*((H722-$F$4:$F$515)/$B$10)^3+(1/5)*((H722-$F$4:$F$515)/$B$10)^5+8/15))))/COUNT($F$4:$F$515)</f>
        <v>1.0141976727115301E-2</v>
      </c>
      <c r="H722" s="15">
        <f t="shared" si="35"/>
        <v>-2.5654939878498956E-2</v>
      </c>
      <c r="K722" s="14">
        <v>0.01</v>
      </c>
      <c r="L722" s="15">
        <f t="shared" si="33"/>
        <v>-1.6954939878499008E-2</v>
      </c>
    </row>
    <row r="723" spans="4:12" ht="14.4" customHeight="1">
      <c r="D723" s="4">
        <v>43031</v>
      </c>
      <c r="E723" s="5">
        <v>6.8049999999999997</v>
      </c>
      <c r="F723" s="5">
        <f t="shared" si="34"/>
        <v>-2.0374503606845154E-3</v>
      </c>
      <c r="G723" s="3" cm="1">
        <f t="array" ref="G723">SUMPRODUCT(IF(((H723-$F$4:$F$515)/$B$10)&lt;=-1,0,IF(((H723-$F$4:$F$515)/$B$10)&gt;=1,1,(15/16)*(((H723-$F$4:$F$515)/$B$10)-(2/3)*((H723-$F$4:$F$515)/$B$10)^3+(1/5)*((H723-$F$4:$F$515)/$B$10)^5+8/15))))/COUNT($F$4:$F$515)</f>
        <v>1.0394216036371915E-2</v>
      </c>
      <c r="H723" s="5">
        <f t="shared" si="35"/>
        <v>-2.5554939878498956E-2</v>
      </c>
      <c r="K723" s="4">
        <v>0.01</v>
      </c>
      <c r="L723" s="5">
        <f t="shared" si="33"/>
        <v>-1.6954939878499008E-2</v>
      </c>
    </row>
    <row r="724" spans="4:12" ht="14.4" customHeight="1">
      <c r="D724" s="14">
        <v>43032</v>
      </c>
      <c r="E724" s="15">
        <v>6.9320000000000004</v>
      </c>
      <c r="F724" s="15">
        <f t="shared" si="34"/>
        <v>8.0304245025259492E-3</v>
      </c>
      <c r="G724" s="16" cm="1">
        <f t="array" ref="G724">SUMPRODUCT(IF(((H724-$F$4:$F$515)/$B$10)&lt;=-1,0,IF(((H724-$F$4:$F$515)/$B$10)&gt;=1,1,(15/16)*(((H724-$F$4:$F$515)/$B$10)-(2/3)*((H724-$F$4:$F$515)/$B$10)^3+(1/5)*((H724-$F$4:$F$515)/$B$10)^5+8/15))))/COUNT($F$4:$F$515)</f>
        <v>1.0649142964426064E-2</v>
      </c>
      <c r="H724" s="15">
        <f t="shared" si="35"/>
        <v>-2.5454939878498957E-2</v>
      </c>
      <c r="K724" s="14">
        <v>0.01</v>
      </c>
      <c r="L724" s="15">
        <f t="shared" si="33"/>
        <v>-1.6954939878499008E-2</v>
      </c>
    </row>
    <row r="725" spans="4:12" ht="14.4" customHeight="1">
      <c r="D725" s="4">
        <v>43033</v>
      </c>
      <c r="E725" s="5">
        <v>6.8490000000000002</v>
      </c>
      <c r="F725" s="5">
        <f t="shared" si="34"/>
        <v>-5.2313878319817176E-3</v>
      </c>
      <c r="G725" s="3" cm="1">
        <f t="array" ref="G725">SUMPRODUCT(IF(((H725-$F$4:$F$515)/$B$10)&lt;=-1,0,IF(((H725-$F$4:$F$515)/$B$10)&gt;=1,1,(15/16)*(((H725-$F$4:$F$515)/$B$10)-(2/3)*((H725-$F$4:$F$515)/$B$10)^3+(1/5)*((H725-$F$4:$F$515)/$B$10)^5+8/15))))/COUNT($F$4:$F$515)</f>
        <v>1.0906758989151472E-2</v>
      </c>
      <c r="H725" s="5">
        <f t="shared" si="35"/>
        <v>-2.5354939878498958E-2</v>
      </c>
      <c r="K725" s="4">
        <v>0.01</v>
      </c>
      <c r="L725" s="5">
        <f t="shared" si="33"/>
        <v>-1.6954939878499008E-2</v>
      </c>
    </row>
    <row r="726" spans="4:12" ht="14.4" customHeight="1">
      <c r="D726" s="14">
        <v>43034</v>
      </c>
      <c r="E726" s="15">
        <v>6.8070000000000004</v>
      </c>
      <c r="F726" s="15">
        <f t="shared" si="34"/>
        <v>-2.6714156052992594E-3</v>
      </c>
      <c r="G726" s="16" cm="1">
        <f t="array" ref="G726">SUMPRODUCT(IF(((H726-$F$4:$F$515)/$B$10)&lt;=-1,0,IF(((H726-$F$4:$F$515)/$B$10)&gt;=1,1,(15/16)*(((H726-$F$4:$F$515)/$B$10)-(2/3)*((H726-$F$4:$F$515)/$B$10)^3+(1/5)*((H726-$F$4:$F$515)/$B$10)^5+8/15))))/COUNT($F$4:$F$515)</f>
        <v>1.1167171408924955E-2</v>
      </c>
      <c r="H726" s="15">
        <f t="shared" si="35"/>
        <v>-2.5254939878498958E-2</v>
      </c>
      <c r="K726" s="14">
        <v>0.01</v>
      </c>
      <c r="L726" s="15">
        <f t="shared" si="33"/>
        <v>-1.6954939878499008E-2</v>
      </c>
    </row>
    <row r="727" spans="4:12" ht="14.4" customHeight="1">
      <c r="D727" s="4">
        <v>43035</v>
      </c>
      <c r="E727" s="5">
        <v>6.84</v>
      </c>
      <c r="F727" s="5">
        <f t="shared" si="34"/>
        <v>2.1003511155177818E-3</v>
      </c>
      <c r="G727" s="3" cm="1">
        <f t="array" ref="G727">SUMPRODUCT(IF(((H727-$F$4:$F$515)/$B$10)&lt;=-1,0,IF(((H727-$F$4:$F$515)/$B$10)&gt;=1,1,(15/16)*(((H727-$F$4:$F$515)/$B$10)-(2/3)*((H727-$F$4:$F$515)/$B$10)^3+(1/5)*((H727-$F$4:$F$515)/$B$10)^5+8/15))))/COUNT($F$4:$F$515)</f>
        <v>1.1430424409021081E-2</v>
      </c>
      <c r="H727" s="5">
        <f t="shared" si="35"/>
        <v>-2.5154939878498959E-2</v>
      </c>
      <c r="K727" s="4">
        <v>0.01</v>
      </c>
      <c r="L727" s="5">
        <f t="shared" si="33"/>
        <v>-1.6954939878499008E-2</v>
      </c>
    </row>
    <row r="728" spans="4:12" ht="14.4" customHeight="1">
      <c r="D728" s="14">
        <v>43038</v>
      </c>
      <c r="E728" s="15">
        <v>6.8129999999999997</v>
      </c>
      <c r="F728" s="15">
        <f t="shared" si="34"/>
        <v>-1.7177127807186244E-3</v>
      </c>
      <c r="G728" s="16" cm="1">
        <f t="array" ref="G728">SUMPRODUCT(IF(((H728-$F$4:$F$515)/$B$10)&lt;=-1,0,IF(((H728-$F$4:$F$515)/$B$10)&gt;=1,1,(15/16)*(((H728-$F$4:$F$515)/$B$10)-(2/3)*((H728-$F$4:$F$515)/$B$10)^3+(1/5)*((H728-$F$4:$F$515)/$B$10)^5+8/15))))/COUNT($F$4:$F$515)</f>
        <v>1.1696507600462806E-2</v>
      </c>
      <c r="H728" s="15">
        <f t="shared" si="35"/>
        <v>-2.5054939878498959E-2</v>
      </c>
      <c r="K728" s="14">
        <v>0.01</v>
      </c>
      <c r="L728" s="15">
        <f t="shared" si="33"/>
        <v>-1.6954939878499008E-2</v>
      </c>
    </row>
    <row r="729" spans="4:12" ht="14.4" customHeight="1">
      <c r="D729" s="4">
        <v>43039</v>
      </c>
      <c r="E729" s="5">
        <v>6.7320000000000002</v>
      </c>
      <c r="F729" s="5">
        <f t="shared" si="34"/>
        <v>-5.194281635611385E-3</v>
      </c>
      <c r="G729" s="3" cm="1">
        <f t="array" ref="G729">SUMPRODUCT(IF(((H729-$F$4:$F$515)/$B$10)&lt;=-1,0,IF(((H729-$F$4:$F$515)/$B$10)&gt;=1,1,(15/16)*(((H729-$F$4:$F$515)/$B$10)-(2/3)*((H729-$F$4:$F$515)/$B$10)^3+(1/5)*((H729-$F$4:$F$515)/$B$10)^5+8/15))))/COUNT($F$4:$F$515)</f>
        <v>1.1965484359877447E-2</v>
      </c>
      <c r="H729" s="5">
        <f t="shared" si="35"/>
        <v>-2.495493987849896E-2</v>
      </c>
      <c r="K729" s="4">
        <v>0.01</v>
      </c>
      <c r="L729" s="5">
        <f t="shared" si="33"/>
        <v>-1.6954939878499008E-2</v>
      </c>
    </row>
    <row r="730" spans="4:12" ht="14.4" customHeight="1">
      <c r="D730" s="14">
        <v>43040</v>
      </c>
      <c r="E730" s="15">
        <v>6.7590000000000003</v>
      </c>
      <c r="F730" s="15">
        <f t="shared" si="34"/>
        <v>1.7383391397070851E-3</v>
      </c>
      <c r="G730" s="16" cm="1">
        <f t="array" ref="G730">SUMPRODUCT(IF(((H730-$F$4:$F$515)/$B$10)&lt;=-1,0,IF(((H730-$F$4:$F$515)/$B$10)&gt;=1,1,(15/16)*(((H730-$F$4:$F$515)/$B$10)-(2/3)*((H730-$F$4:$F$515)/$B$10)^3+(1/5)*((H730-$F$4:$F$515)/$B$10)^5+8/15))))/COUNT($F$4:$F$515)</f>
        <v>1.2237650569141022E-2</v>
      </c>
      <c r="H730" s="15">
        <f t="shared" si="35"/>
        <v>-2.4854939878498961E-2</v>
      </c>
      <c r="K730" s="14">
        <v>0.01</v>
      </c>
      <c r="L730" s="15">
        <f t="shared" si="33"/>
        <v>-1.6954939878499008E-2</v>
      </c>
    </row>
    <row r="731" spans="4:12" ht="14.4" customHeight="1">
      <c r="D731" s="4">
        <v>43041</v>
      </c>
      <c r="E731" s="5">
        <v>6.7530000000000001</v>
      </c>
      <c r="F731" s="5">
        <f t="shared" si="34"/>
        <v>-3.8569672331085244E-4</v>
      </c>
      <c r="G731" s="3" cm="1">
        <f t="array" ref="G731">SUMPRODUCT(IF(((H731-$F$4:$F$515)/$B$10)&lt;=-1,0,IF(((H731-$F$4:$F$515)/$B$10)&gt;=1,1,(15/16)*(((H731-$F$4:$F$515)/$B$10)-(2/3)*((H731-$F$4:$F$515)/$B$10)^3+(1/5)*((H731-$F$4:$F$515)/$B$10)^5+8/15))))/COUNT($F$4:$F$515)</f>
        <v>1.2513285682926912E-2</v>
      </c>
      <c r="H731" s="5">
        <f t="shared" si="35"/>
        <v>-2.4754939878498961E-2</v>
      </c>
      <c r="K731" s="4">
        <v>0.01</v>
      </c>
      <c r="L731" s="5">
        <f t="shared" si="33"/>
        <v>-1.6954939878499008E-2</v>
      </c>
    </row>
    <row r="732" spans="4:12" ht="14.4" customHeight="1">
      <c r="D732" s="14">
        <v>43042</v>
      </c>
      <c r="E732" s="15">
        <v>6.7229999999999999</v>
      </c>
      <c r="F732" s="15">
        <f t="shared" si="34"/>
        <v>-1.9336384654587767E-3</v>
      </c>
      <c r="G732" s="16" cm="1">
        <f t="array" ref="G732">SUMPRODUCT(IF(((H732-$F$4:$F$515)/$B$10)&lt;=-1,0,IF(((H732-$F$4:$F$515)/$B$10)&gt;=1,1,(15/16)*(((H732-$F$4:$F$515)/$B$10)-(2/3)*((H732-$F$4:$F$515)/$B$10)^3+(1/5)*((H732-$F$4:$F$515)/$B$10)^5+8/15))))/COUNT($F$4:$F$515)</f>
        <v>1.2792622761395936E-2</v>
      </c>
      <c r="H732" s="15">
        <f t="shared" si="35"/>
        <v>-2.4654939878498962E-2</v>
      </c>
      <c r="K732" s="14">
        <v>0.01</v>
      </c>
      <c r="L732" s="15">
        <f t="shared" si="33"/>
        <v>-1.6954939878499008E-2</v>
      </c>
    </row>
    <row r="733" spans="4:12" ht="14.4" customHeight="1">
      <c r="D733" s="4">
        <v>43045</v>
      </c>
      <c r="E733" s="5">
        <v>6.6310000000000002</v>
      </c>
      <c r="F733" s="5">
        <f t="shared" si="34"/>
        <v>-5.9840833427147778E-3</v>
      </c>
      <c r="G733" s="3" cm="1">
        <f t="array" ref="G733">SUMPRODUCT(IF(((H733-$F$4:$F$515)/$B$10)&lt;=-1,0,IF(((H733-$F$4:$F$515)/$B$10)&gt;=1,1,(15/16)*(((H733-$F$4:$F$515)/$B$10)-(2/3)*((H733-$F$4:$F$515)/$B$10)^3+(1/5)*((H733-$F$4:$F$515)/$B$10)^5+8/15))))/COUNT($F$4:$F$515)</f>
        <v>1.307596682146034E-2</v>
      </c>
      <c r="H733" s="5">
        <f t="shared" si="35"/>
        <v>-2.4554939878498962E-2</v>
      </c>
      <c r="K733" s="4">
        <v>0.01</v>
      </c>
      <c r="L733" s="5">
        <f t="shared" si="33"/>
        <v>-1.6954939878499008E-2</v>
      </c>
    </row>
    <row r="734" spans="4:12" ht="14.4" customHeight="1">
      <c r="D734" s="14">
        <v>43046</v>
      </c>
      <c r="E734" s="15">
        <v>6.61</v>
      </c>
      <c r="F734" s="15">
        <f t="shared" si="34"/>
        <v>-1.3775684263686314E-3</v>
      </c>
      <c r="G734" s="16" cm="1">
        <f t="array" ref="G734">SUMPRODUCT(IF(((H734-$F$4:$F$515)/$B$10)&lt;=-1,0,IF(((H734-$F$4:$F$515)/$B$10)&gt;=1,1,(15/16)*(((H734-$F$4:$F$515)/$B$10)-(2/3)*((H734-$F$4:$F$515)/$B$10)^3+(1/5)*((H734-$F$4:$F$515)/$B$10)^5+8/15))))/COUNT($F$4:$F$515)</f>
        <v>1.3363872824244139E-2</v>
      </c>
      <c r="H734" s="15">
        <f t="shared" si="35"/>
        <v>-2.4454939878498963E-2</v>
      </c>
      <c r="K734" s="14">
        <v>0.01</v>
      </c>
      <c r="L734" s="15">
        <f t="shared" si="33"/>
        <v>-1.6954939878499008E-2</v>
      </c>
    </row>
    <row r="735" spans="4:12" ht="14.4" customHeight="1">
      <c r="D735" s="4">
        <v>43047</v>
      </c>
      <c r="E735" s="5">
        <v>6.7649999999999997</v>
      </c>
      <c r="F735" s="5">
        <f t="shared" si="34"/>
        <v>1.0066341448001543E-2</v>
      </c>
      <c r="G735" s="3" cm="1">
        <f t="array" ref="G735">SUMPRODUCT(IF(((H735-$F$4:$F$515)/$B$10)&lt;=-1,0,IF(((H735-$F$4:$F$515)/$B$10)&gt;=1,1,(15/16)*(((H735-$F$4:$F$515)/$B$10)-(2/3)*((H735-$F$4:$F$515)/$B$10)^3+(1/5)*((H735-$F$4:$F$515)/$B$10)^5+8/15))))/COUNT($F$4:$F$515)</f>
        <v>1.3656898852498911E-2</v>
      </c>
      <c r="H735" s="5">
        <f t="shared" si="35"/>
        <v>-2.4354939878498964E-2</v>
      </c>
      <c r="K735" s="4">
        <v>0.01</v>
      </c>
      <c r="L735" s="5">
        <f t="shared" si="33"/>
        <v>-1.6954939878499008E-2</v>
      </c>
    </row>
    <row r="736" spans="4:12" ht="14.4" customHeight="1">
      <c r="D736" s="14">
        <v>43048</v>
      </c>
      <c r="E736" s="15">
        <v>6.6150000000000002</v>
      </c>
      <c r="F736" s="15">
        <f t="shared" si="34"/>
        <v>-9.737952410121967E-3</v>
      </c>
      <c r="G736" s="16" cm="1">
        <f t="array" ref="G736">SUMPRODUCT(IF(((H736-$F$4:$F$515)/$B$10)&lt;=-1,0,IF(((H736-$F$4:$F$515)/$B$10)&gt;=1,1,(15/16)*(((H736-$F$4:$F$515)/$B$10)-(2/3)*((H736-$F$4:$F$515)/$B$10)^3+(1/5)*((H736-$F$4:$F$515)/$B$10)^5+8/15))))/COUNT($F$4:$F$515)</f>
        <v>1.3955495664456889E-2</v>
      </c>
      <c r="H736" s="15">
        <f t="shared" si="35"/>
        <v>-2.4254939878498964E-2</v>
      </c>
      <c r="K736" s="14">
        <v>0.01</v>
      </c>
      <c r="L736" s="15">
        <f t="shared" si="33"/>
        <v>-1.6954939878499008E-2</v>
      </c>
    </row>
    <row r="737" spans="4:12" ht="14.4" customHeight="1">
      <c r="D737" s="4">
        <v>43049</v>
      </c>
      <c r="E737" s="5">
        <v>6.6429999999999998</v>
      </c>
      <c r="F737" s="5">
        <f t="shared" si="34"/>
        <v>1.8344039180296845E-3</v>
      </c>
      <c r="G737" s="3" cm="1">
        <f t="array" ref="G737">SUMPRODUCT(IF(((H737-$F$4:$F$515)/$B$10)&lt;=-1,0,IF(((H737-$F$4:$F$515)/$B$10)&gt;=1,1,(15/16)*(((H737-$F$4:$F$515)/$B$10)-(2/3)*((H737-$F$4:$F$515)/$B$10)^3+(1/5)*((H737-$F$4:$F$515)/$B$10)^5+8/15))))/COUNT($F$4:$F$515)</f>
        <v>1.4259773184467152E-2</v>
      </c>
      <c r="H737" s="5">
        <f t="shared" si="35"/>
        <v>-2.4154939878498965E-2</v>
      </c>
      <c r="K737" s="4">
        <v>0.01</v>
      </c>
      <c r="L737" s="5">
        <f t="shared" si="33"/>
        <v>-1.6954939878499008E-2</v>
      </c>
    </row>
    <row r="738" spans="4:12" ht="14.4" customHeight="1">
      <c r="D738" s="14">
        <v>43052</v>
      </c>
      <c r="E738" s="15">
        <v>6.5129999999999999</v>
      </c>
      <c r="F738" s="15">
        <f t="shared" si="34"/>
        <v>-8.5831742674670145E-3</v>
      </c>
      <c r="G738" s="16" cm="1">
        <f t="array" ref="G738">SUMPRODUCT(IF(((H738-$F$4:$F$515)/$B$10)&lt;=-1,0,IF(((H738-$F$4:$F$515)/$B$10)&gt;=1,1,(15/16)*(((H738-$F$4:$F$515)/$B$10)-(2/3)*((H738-$F$4:$F$515)/$B$10)^3+(1/5)*((H738-$F$4:$F$515)/$B$10)^5+8/15))))/COUNT($F$4:$F$515)</f>
        <v>1.4569717762314603E-2</v>
      </c>
      <c r="H738" s="15">
        <f t="shared" si="35"/>
        <v>-2.4054939878498965E-2</v>
      </c>
      <c r="K738" s="14">
        <v>0.01</v>
      </c>
      <c r="L738" s="15">
        <f t="shared" si="33"/>
        <v>-1.6954939878499008E-2</v>
      </c>
    </row>
    <row r="739" spans="4:12" ht="14.4" customHeight="1">
      <c r="D739" s="4">
        <v>43053</v>
      </c>
      <c r="E739" s="5">
        <v>6.4379999999999997</v>
      </c>
      <c r="F739" s="5">
        <f t="shared" si="34"/>
        <v>-5.0301058244877871E-3</v>
      </c>
      <c r="G739" s="3" cm="1">
        <f t="array" ref="G739">SUMPRODUCT(IF(((H739-$F$4:$F$515)/$B$10)&lt;=-1,0,IF(((H739-$F$4:$F$515)/$B$10)&gt;=1,1,(15/16)*(((H739-$F$4:$F$515)/$B$10)-(2/3)*((H739-$F$4:$F$515)/$B$10)^3+(1/5)*((H739-$F$4:$F$515)/$B$10)^5+8/15))))/COUNT($F$4:$F$515)</f>
        <v>1.4885278044868517E-2</v>
      </c>
      <c r="H739" s="5">
        <f t="shared" si="35"/>
        <v>-2.3954939878498966E-2</v>
      </c>
      <c r="K739" s="4">
        <v>0.01</v>
      </c>
      <c r="L739" s="5">
        <f t="shared" si="33"/>
        <v>-1.6954939878499008E-2</v>
      </c>
    </row>
    <row r="740" spans="4:12" ht="14.4" customHeight="1">
      <c r="D740" s="14">
        <v>43054</v>
      </c>
      <c r="E740" s="15">
        <v>6.4550000000000001</v>
      </c>
      <c r="F740" s="15">
        <f t="shared" si="34"/>
        <v>1.1452742528444118E-3</v>
      </c>
      <c r="G740" s="16" cm="1">
        <f t="array" ref="G740">SUMPRODUCT(IF(((H740-$F$4:$F$515)/$B$10)&lt;=-1,0,IF(((H740-$F$4:$F$515)/$B$10)&gt;=1,1,(15/16)*(((H740-$F$4:$F$515)/$B$10)-(2/3)*((H740-$F$4:$F$515)/$B$10)^3+(1/5)*((H740-$F$4:$F$515)/$B$10)^5+8/15))))/COUNT($F$4:$F$515)</f>
        <v>1.520619914756245E-2</v>
      </c>
      <c r="H740" s="15">
        <f t="shared" si="35"/>
        <v>-2.3854939878498967E-2</v>
      </c>
      <c r="K740" s="14">
        <v>0.01</v>
      </c>
      <c r="L740" s="15">
        <f t="shared" si="33"/>
        <v>-1.6954939878499008E-2</v>
      </c>
    </row>
    <row r="741" spans="4:12" ht="14.4" customHeight="1">
      <c r="D741" s="4">
        <v>43055</v>
      </c>
      <c r="E741" s="5">
        <v>6.5419999999999998</v>
      </c>
      <c r="F741" s="5">
        <f t="shared" si="34"/>
        <v>5.8142931865237087E-3</v>
      </c>
      <c r="G741" s="3" cm="1">
        <f t="array" ref="G741">SUMPRODUCT(IF(((H741-$F$4:$F$515)/$B$10)&lt;=-1,0,IF(((H741-$F$4:$F$515)/$B$10)&gt;=1,1,(15/16)*(((H741-$F$4:$F$515)/$B$10)-(2/3)*((H741-$F$4:$F$515)/$B$10)^3+(1/5)*((H741-$F$4:$F$515)/$B$10)^5+8/15))))/COUNT($F$4:$F$515)</f>
        <v>1.5531934828988741E-2</v>
      </c>
      <c r="H741" s="5">
        <f t="shared" si="35"/>
        <v>-2.3754939878498967E-2</v>
      </c>
      <c r="K741" s="4">
        <v>0.01</v>
      </c>
      <c r="L741" s="5">
        <f t="shared" si="33"/>
        <v>-1.6954939878499008E-2</v>
      </c>
    </row>
    <row r="742" spans="4:12" ht="14.4" customHeight="1">
      <c r="D742" s="14">
        <v>43056</v>
      </c>
      <c r="E742" s="15">
        <v>6.5330000000000004</v>
      </c>
      <c r="F742" s="15">
        <f t="shared" si="34"/>
        <v>-5.9788159915024632E-4</v>
      </c>
      <c r="G742" s="16" cm="1">
        <f t="array" ref="G742">SUMPRODUCT(IF(((H742-$F$4:$F$515)/$B$10)&lt;=-1,0,IF(((H742-$F$4:$F$515)/$B$10)&gt;=1,1,(15/16)*(((H742-$F$4:$F$515)/$B$10)-(2/3)*((H742-$F$4:$F$515)/$B$10)^3+(1/5)*((H742-$F$4:$F$515)/$B$10)^5+8/15))))/COUNT($F$4:$F$515)</f>
        <v>1.5861881410303307E-2</v>
      </c>
      <c r="H742" s="15">
        <f t="shared" si="35"/>
        <v>-2.3654939878498968E-2</v>
      </c>
      <c r="K742" s="14">
        <v>0.01</v>
      </c>
      <c r="L742" s="15">
        <f t="shared" si="33"/>
        <v>-1.6954939878499008E-2</v>
      </c>
    </row>
    <row r="743" spans="4:12" ht="14.4" customHeight="1">
      <c r="D743" s="4">
        <v>43059</v>
      </c>
      <c r="E743" s="5">
        <v>6.4729999999999999</v>
      </c>
      <c r="F743" s="5">
        <f t="shared" si="34"/>
        <v>-4.0070511718821701E-3</v>
      </c>
      <c r="G743" s="3" cm="1">
        <f t="array" ref="G743">SUMPRODUCT(IF(((H743-$F$4:$F$515)/$B$10)&lt;=-1,0,IF(((H743-$F$4:$F$515)/$B$10)&gt;=1,1,(15/16)*(((H743-$F$4:$F$515)/$B$10)-(2/3)*((H743-$F$4:$F$515)/$B$10)^3+(1/5)*((H743-$F$4:$F$515)/$B$10)^5+8/15))))/COUNT($F$4:$F$515)</f>
        <v>1.6195408868661769E-2</v>
      </c>
      <c r="H743" s="5">
        <f t="shared" si="35"/>
        <v>-2.3554939878498968E-2</v>
      </c>
      <c r="K743" s="4">
        <v>0.01</v>
      </c>
      <c r="L743" s="5">
        <f t="shared" si="33"/>
        <v>-1.6954939878499008E-2</v>
      </c>
    </row>
    <row r="744" spans="4:12" ht="14.4" customHeight="1">
      <c r="D744" s="14">
        <v>43060</v>
      </c>
      <c r="E744" s="15">
        <v>6.5460000000000003</v>
      </c>
      <c r="F744" s="15">
        <f t="shared" si="34"/>
        <v>4.870393954055135E-3</v>
      </c>
      <c r="G744" s="16" cm="1">
        <f t="array" ref="G744">SUMPRODUCT(IF(((H744-$F$4:$F$515)/$B$10)&lt;=-1,0,IF(((H744-$F$4:$F$515)/$B$10)&gt;=1,1,(15/16)*(((H744-$F$4:$F$515)/$B$10)-(2/3)*((H744-$F$4:$F$515)/$B$10)^3+(1/5)*((H744-$F$4:$F$515)/$B$10)^5+8/15))))/COUNT($F$4:$F$515)</f>
        <v>1.6531872851482846E-2</v>
      </c>
      <c r="H744" s="15">
        <f t="shared" si="35"/>
        <v>-2.3454939878498969E-2</v>
      </c>
      <c r="K744" s="14">
        <v>0.01</v>
      </c>
      <c r="L744" s="15">
        <f t="shared" si="33"/>
        <v>-1.6954939878499008E-2</v>
      </c>
    </row>
    <row r="745" spans="4:12" ht="14.4" customHeight="1">
      <c r="D745" s="4">
        <v>43061</v>
      </c>
      <c r="E745" s="5">
        <v>6.5019999999999998</v>
      </c>
      <c r="F745" s="5">
        <f t="shared" si="34"/>
        <v>-2.9290358118776536E-3</v>
      </c>
      <c r="G745" s="3" cm="1">
        <f t="array" ref="G745">SUMPRODUCT(IF(((H745-$F$4:$F$515)/$B$10)&lt;=-1,0,IF(((H745-$F$4:$F$515)/$B$10)&gt;=1,1,(15/16)*(((H745-$F$4:$F$515)/$B$10)-(2/3)*((H745-$F$4:$F$515)/$B$10)^3+(1/5)*((H745-$F$4:$F$515)/$B$10)^5+8/15))))/COUNT($F$4:$F$515)</f>
        <v>1.6870636085405934E-2</v>
      </c>
      <c r="H745" s="5">
        <f t="shared" si="35"/>
        <v>-2.335493987849897E-2</v>
      </c>
      <c r="K745" s="4">
        <v>0.01</v>
      </c>
      <c r="L745" s="5">
        <f t="shared" si="33"/>
        <v>-1.6954939878499008E-2</v>
      </c>
    </row>
    <row r="746" spans="4:12" ht="14.4" customHeight="1">
      <c r="D746" s="14">
        <v>43062</v>
      </c>
      <c r="E746" s="15">
        <v>6.5140000000000002</v>
      </c>
      <c r="F746" s="15">
        <f t="shared" si="34"/>
        <v>8.0078906874647584E-4</v>
      </c>
      <c r="G746" s="16" cm="1">
        <f t="array" ref="G746">SUMPRODUCT(IF(((H746-$F$4:$F$515)/$B$10)&lt;=-1,0,IF(((H746-$F$4:$F$515)/$B$10)&gt;=1,1,(15/16)*(((H746-$F$4:$F$515)/$B$10)-(2/3)*((H746-$F$4:$F$515)/$B$10)^3+(1/5)*((H746-$F$4:$F$515)/$B$10)^5+8/15))))/COUNT($F$4:$F$515)</f>
        <v>1.7211338413764345E-2</v>
      </c>
      <c r="H746" s="15">
        <f t="shared" si="35"/>
        <v>-2.325493987849897E-2</v>
      </c>
      <c r="K746" s="14">
        <v>0.01</v>
      </c>
      <c r="L746" s="15">
        <f t="shared" si="33"/>
        <v>-1.6954939878499008E-2</v>
      </c>
    </row>
    <row r="747" spans="4:12" ht="14.4" customHeight="1">
      <c r="D747" s="4">
        <v>43063</v>
      </c>
      <c r="E747" s="5">
        <v>6.593</v>
      </c>
      <c r="F747" s="5">
        <f t="shared" si="34"/>
        <v>5.2353215148483838E-3</v>
      </c>
      <c r="G747" s="3" cm="1">
        <f t="array" ref="G747">SUMPRODUCT(IF(((H747-$F$4:$F$515)/$B$10)&lt;=-1,0,IF(((H747-$F$4:$F$515)/$B$10)&gt;=1,1,(15/16)*(((H747-$F$4:$F$515)/$B$10)-(2/3)*((H747-$F$4:$F$515)/$B$10)^3+(1/5)*((H747-$F$4:$F$515)/$B$10)^5+8/15))))/COUNT($F$4:$F$515)</f>
        <v>1.7554105470588784E-2</v>
      </c>
      <c r="H747" s="5">
        <f t="shared" si="35"/>
        <v>-2.3154939878498971E-2</v>
      </c>
      <c r="K747" s="4">
        <v>0.01</v>
      </c>
      <c r="L747" s="5">
        <f t="shared" si="33"/>
        <v>-1.6954939878499008E-2</v>
      </c>
    </row>
    <row r="748" spans="4:12" ht="14.4" customHeight="1">
      <c r="D748" s="14">
        <v>43066</v>
      </c>
      <c r="E748" s="15">
        <v>6.5279999999999996</v>
      </c>
      <c r="F748" s="15">
        <f t="shared" si="34"/>
        <v>-4.3029299978979774E-3</v>
      </c>
      <c r="G748" s="16" cm="1">
        <f t="array" ref="G748">SUMPRODUCT(IF(((H748-$F$4:$F$515)/$B$10)&lt;=-1,0,IF(((H748-$F$4:$F$515)/$B$10)&gt;=1,1,(15/16)*(((H748-$F$4:$F$515)/$B$10)-(2/3)*((H748-$F$4:$F$515)/$B$10)^3+(1/5)*((H748-$F$4:$F$515)/$B$10)^5+8/15))))/COUNT($F$4:$F$515)</f>
        <v>1.7899252541954121E-2</v>
      </c>
      <c r="H748" s="15">
        <f t="shared" si="35"/>
        <v>-2.3054939878498971E-2</v>
      </c>
      <c r="K748" s="14">
        <v>0.01</v>
      </c>
      <c r="L748" s="15">
        <f t="shared" si="33"/>
        <v>-1.6954939878499008E-2</v>
      </c>
    </row>
    <row r="749" spans="4:12" ht="14.4" customHeight="1">
      <c r="D749" s="4">
        <v>43067</v>
      </c>
      <c r="E749" s="5">
        <v>6.4980000000000002</v>
      </c>
      <c r="F749" s="5">
        <f t="shared" si="34"/>
        <v>-2.000438736840708E-3</v>
      </c>
      <c r="G749" s="3" cm="1">
        <f t="array" ref="G749">SUMPRODUCT(IF(((H749-$F$4:$F$515)/$B$10)&lt;=-1,0,IF(((H749-$F$4:$F$515)/$B$10)&gt;=1,1,(15/16)*(((H749-$F$4:$F$515)/$B$10)-(2/3)*((H749-$F$4:$F$515)/$B$10)^3+(1/5)*((H749-$F$4:$F$515)/$B$10)^5+8/15))))/COUNT($F$4:$F$515)</f>
        <v>1.824729414048902E-2</v>
      </c>
      <c r="H749" s="5">
        <f t="shared" si="35"/>
        <v>-2.2954939878498972E-2</v>
      </c>
      <c r="K749" s="4">
        <v>0.01</v>
      </c>
      <c r="L749" s="5">
        <f t="shared" si="33"/>
        <v>-1.6954939878499008E-2</v>
      </c>
    </row>
    <row r="750" spans="4:12" ht="14.4" customHeight="1">
      <c r="D750" s="14">
        <v>43068</v>
      </c>
      <c r="E750" s="15">
        <v>6.6859999999999999</v>
      </c>
      <c r="F750" s="15">
        <f t="shared" si="34"/>
        <v>1.2386665247585709E-2</v>
      </c>
      <c r="G750" s="16" cm="1">
        <f t="array" ref="G750">SUMPRODUCT(IF(((H750-$F$4:$F$515)/$B$10)&lt;=-1,0,IF(((H750-$F$4:$F$515)/$B$10)&gt;=1,1,(15/16)*(((H750-$F$4:$F$515)/$B$10)-(2/3)*((H750-$F$4:$F$515)/$B$10)^3+(1/5)*((H750-$F$4:$F$515)/$B$10)^5+8/15))))/COUNT($F$4:$F$515)</f>
        <v>1.8598822968262374E-2</v>
      </c>
      <c r="H750" s="15">
        <f t="shared" si="35"/>
        <v>-2.2854939878498973E-2</v>
      </c>
      <c r="K750" s="14">
        <v>0.01</v>
      </c>
      <c r="L750" s="15">
        <f t="shared" si="33"/>
        <v>-1.6954939878499008E-2</v>
      </c>
    </row>
    <row r="751" spans="4:12" ht="14.4" customHeight="1">
      <c r="D751" s="4">
        <v>43069</v>
      </c>
      <c r="E751" s="5">
        <v>6.81</v>
      </c>
      <c r="F751" s="5">
        <f t="shared" si="34"/>
        <v>7.9807396562353843E-3</v>
      </c>
      <c r="G751" s="3" cm="1">
        <f t="array" ref="G751">SUMPRODUCT(IF(((H751-$F$4:$F$515)/$B$10)&lt;=-1,0,IF(((H751-$F$4:$F$515)/$B$10)&gt;=1,1,(15/16)*(((H751-$F$4:$F$515)/$B$10)-(2/3)*((H751-$F$4:$F$515)/$B$10)^3+(1/5)*((H751-$F$4:$F$515)/$B$10)^5+8/15))))/COUNT($F$4:$F$515)</f>
        <v>1.8954584119834757E-2</v>
      </c>
      <c r="H751" s="5">
        <f t="shared" si="35"/>
        <v>-2.2754939878498973E-2</v>
      </c>
      <c r="K751" s="4">
        <v>0.01</v>
      </c>
      <c r="L751" s="5">
        <f t="shared" si="33"/>
        <v>-1.6954939878499008E-2</v>
      </c>
    </row>
    <row r="752" spans="4:12" ht="14.4" customHeight="1">
      <c r="D752" s="14">
        <v>43070</v>
      </c>
      <c r="E752" s="15">
        <v>6.6539999999999999</v>
      </c>
      <c r="F752" s="15">
        <f t="shared" si="34"/>
        <v>-1.0064315379981431E-2</v>
      </c>
      <c r="G752" s="16" cm="1">
        <f t="array" ref="G752">SUMPRODUCT(IF(((H752-$F$4:$F$515)/$B$10)&lt;=-1,0,IF(((H752-$F$4:$F$515)/$B$10)&gt;=1,1,(15/16)*(((H752-$F$4:$F$515)/$B$10)-(2/3)*((H752-$F$4:$F$515)/$B$10)^3+(1/5)*((H752-$F$4:$F$515)/$B$10)^5+8/15))))/COUNT($F$4:$F$515)</f>
        <v>1.9315195502601693E-2</v>
      </c>
      <c r="H752" s="15">
        <f t="shared" si="35"/>
        <v>-2.2654939878498974E-2</v>
      </c>
      <c r="K752" s="14">
        <v>0.01</v>
      </c>
      <c r="L752" s="15">
        <f t="shared" si="33"/>
        <v>-1.6954939878499008E-2</v>
      </c>
    </row>
    <row r="753" spans="4:12" ht="14.4" customHeight="1">
      <c r="D753" s="4">
        <v>43073</v>
      </c>
      <c r="E753" s="5">
        <v>6.819</v>
      </c>
      <c r="F753" s="5">
        <f t="shared" si="34"/>
        <v>1.0637893911829547E-2</v>
      </c>
      <c r="G753" s="3" cm="1">
        <f t="array" ref="G753">SUMPRODUCT(IF(((H753-$F$4:$F$515)/$B$10)&lt;=-1,0,IF(((H753-$F$4:$F$515)/$B$10)&gt;=1,1,(15/16)*(((H753-$F$4:$F$515)/$B$10)-(2/3)*((H753-$F$4:$F$515)/$B$10)^3+(1/5)*((H753-$F$4:$F$515)/$B$10)^5+8/15))))/COUNT($F$4:$F$515)</f>
        <v>1.9681138636032741E-2</v>
      </c>
      <c r="H753" s="5">
        <f t="shared" si="35"/>
        <v>-2.2554939878498974E-2</v>
      </c>
      <c r="K753" s="4">
        <v>0.01</v>
      </c>
      <c r="L753" s="5">
        <f t="shared" si="33"/>
        <v>-1.6954939878499008E-2</v>
      </c>
    </row>
    <row r="754" spans="4:12" ht="14.4" customHeight="1">
      <c r="D754" s="14">
        <v>43074</v>
      </c>
      <c r="E754" s="15">
        <v>6.7169999999999996</v>
      </c>
      <c r="F754" s="15">
        <f t="shared" si="34"/>
        <v>-6.5453421459405938E-3</v>
      </c>
      <c r="G754" s="16" cm="1">
        <f t="array" ref="G754">SUMPRODUCT(IF(((H754-$F$4:$F$515)/$B$10)&lt;=-1,0,IF(((H754-$F$4:$F$515)/$B$10)&gt;=1,1,(15/16)*(((H754-$F$4:$F$515)/$B$10)-(2/3)*((H754-$F$4:$F$515)/$B$10)^3+(1/5)*((H754-$F$4:$F$515)/$B$10)^5+8/15))))/COUNT($F$4:$F$515)</f>
        <v>2.0052781818479162E-2</v>
      </c>
      <c r="H754" s="15">
        <f t="shared" si="35"/>
        <v>-2.2454939878498975E-2</v>
      </c>
      <c r="K754" s="14">
        <v>0.01</v>
      </c>
      <c r="L754" s="15">
        <f t="shared" si="33"/>
        <v>-1.6954939878499008E-2</v>
      </c>
    </row>
    <row r="755" spans="4:12" ht="14.4" customHeight="1">
      <c r="D755" s="4">
        <v>43075</v>
      </c>
      <c r="E755" s="5">
        <v>6.6219999999999999</v>
      </c>
      <c r="F755" s="5">
        <f t="shared" si="34"/>
        <v>-6.1861718826430948E-3</v>
      </c>
      <c r="G755" s="3" cm="1">
        <f t="array" ref="G755">SUMPRODUCT(IF(((H755-$F$4:$F$515)/$B$10)&lt;=-1,0,IF(((H755-$F$4:$F$515)/$B$10)&gt;=1,1,(15/16)*(((H755-$F$4:$F$515)/$B$10)-(2/3)*((H755-$F$4:$F$515)/$B$10)^3+(1/5)*((H755-$F$4:$F$515)/$B$10)^5+8/15))))/COUNT($F$4:$F$515)</f>
        <v>2.0430580172264068E-2</v>
      </c>
      <c r="H755" s="5">
        <f t="shared" si="35"/>
        <v>-2.2354939878498976E-2</v>
      </c>
      <c r="K755" s="4">
        <v>0.01</v>
      </c>
      <c r="L755" s="5">
        <f t="shared" si="33"/>
        <v>-1.6954939878499008E-2</v>
      </c>
    </row>
    <row r="756" spans="4:12" ht="14.4" customHeight="1">
      <c r="D756" s="14">
        <v>43076</v>
      </c>
      <c r="E756" s="15">
        <v>6.766</v>
      </c>
      <c r="F756" s="15">
        <f t="shared" si="34"/>
        <v>9.3428170359121637E-3</v>
      </c>
      <c r="G756" s="16" cm="1">
        <f t="array" ref="G756">SUMPRODUCT(IF(((H756-$F$4:$F$515)/$B$10)&lt;=-1,0,IF(((H756-$F$4:$F$515)/$B$10)&gt;=1,1,(15/16)*(((H756-$F$4:$F$515)/$B$10)-(2/3)*((H756-$F$4:$F$515)/$B$10)^3+(1/5)*((H756-$F$4:$F$515)/$B$10)^5+8/15))))/COUNT($F$4:$F$515)</f>
        <v>2.0815088249899891E-2</v>
      </c>
      <c r="H756" s="15">
        <f t="shared" si="35"/>
        <v>-2.2254939878498976E-2</v>
      </c>
      <c r="K756" s="14">
        <v>0.01</v>
      </c>
      <c r="L756" s="15">
        <f t="shared" si="33"/>
        <v>-1.6954939878499008E-2</v>
      </c>
    </row>
    <row r="757" spans="4:12" ht="14.4" customHeight="1">
      <c r="D757" s="4">
        <v>43077</v>
      </c>
      <c r="E757" s="5">
        <v>6.7279999999999998</v>
      </c>
      <c r="F757" s="5">
        <f t="shared" si="34"/>
        <v>-2.4460106621060468E-3</v>
      </c>
      <c r="G757" s="3" cm="1">
        <f t="array" ref="G757">SUMPRODUCT(IF(((H757-$F$4:$F$515)/$B$10)&lt;=-1,0,IF(((H757-$F$4:$F$515)/$B$10)&gt;=1,1,(15/16)*(((H757-$F$4:$F$515)/$B$10)-(2/3)*((H757-$F$4:$F$515)/$B$10)^3+(1/5)*((H757-$F$4:$F$515)/$B$10)^5+8/15))))/COUNT($F$4:$F$515)</f>
        <v>2.1206499617170409E-2</v>
      </c>
      <c r="H757" s="5">
        <f t="shared" si="35"/>
        <v>-2.2154939878498977E-2</v>
      </c>
      <c r="K757" s="4">
        <v>0.01</v>
      </c>
      <c r="L757" s="5">
        <f t="shared" si="33"/>
        <v>-1.6954939878499008E-2</v>
      </c>
    </row>
    <row r="758" spans="4:12" ht="14.4" customHeight="1">
      <c r="D758" s="14">
        <v>43080</v>
      </c>
      <c r="E758" s="15">
        <v>6.7869999999999999</v>
      </c>
      <c r="F758" s="15">
        <f t="shared" si="34"/>
        <v>3.7918664016110197E-3</v>
      </c>
      <c r="G758" s="16" cm="1">
        <f t="array" ref="G758">SUMPRODUCT(IF(((H758-$F$4:$F$515)/$B$10)&lt;=-1,0,IF(((H758-$F$4:$F$515)/$B$10)&gt;=1,1,(15/16)*(((H758-$F$4:$F$515)/$B$10)-(2/3)*((H758-$F$4:$F$515)/$B$10)^3+(1/5)*((H758-$F$4:$F$515)/$B$10)^5+8/15))))/COUNT($F$4:$F$515)</f>
        <v>2.1604808651946233E-2</v>
      </c>
      <c r="H758" s="15">
        <f t="shared" si="35"/>
        <v>-2.2054939878498978E-2</v>
      </c>
      <c r="K758" s="14">
        <v>0.01</v>
      </c>
      <c r="L758" s="15">
        <f t="shared" si="33"/>
        <v>-1.6954939878499008E-2</v>
      </c>
    </row>
    <row r="759" spans="4:12" ht="14.4" customHeight="1">
      <c r="D759" s="4">
        <v>43081</v>
      </c>
      <c r="E759" s="5">
        <v>6.8070000000000004</v>
      </c>
      <c r="F759" s="5">
        <f t="shared" si="34"/>
        <v>1.2779014131317071E-3</v>
      </c>
      <c r="G759" s="3" cm="1">
        <f t="array" ref="G759">SUMPRODUCT(IF(((H759-$F$4:$F$515)/$B$10)&lt;=-1,0,IF(((H759-$F$4:$F$515)/$B$10)&gt;=1,1,(15/16)*(((H759-$F$4:$F$515)/$B$10)-(2/3)*((H759-$F$4:$F$515)/$B$10)^3+(1/5)*((H759-$F$4:$F$515)/$B$10)^5+8/15))))/COUNT($F$4:$F$515)</f>
        <v>2.2010163889452757E-2</v>
      </c>
      <c r="H759" s="5">
        <f t="shared" si="35"/>
        <v>-2.1954939878498978E-2</v>
      </c>
      <c r="K759" s="4">
        <v>0.01</v>
      </c>
      <c r="L759" s="5">
        <f t="shared" si="33"/>
        <v>-1.6954939878499008E-2</v>
      </c>
    </row>
    <row r="760" spans="4:12" ht="14.4" customHeight="1">
      <c r="D760" s="14">
        <v>43082</v>
      </c>
      <c r="E760" s="15">
        <v>6.5869999999999997</v>
      </c>
      <c r="F760" s="15">
        <f t="shared" si="34"/>
        <v>-1.4268087163084739E-2</v>
      </c>
      <c r="G760" s="16" cm="1">
        <f t="array" ref="G760">SUMPRODUCT(IF(((H760-$F$4:$F$515)/$B$10)&lt;=-1,0,IF(((H760-$F$4:$F$515)/$B$10)&gt;=1,1,(15/16)*(((H760-$F$4:$F$515)/$B$10)-(2/3)*((H760-$F$4:$F$515)/$B$10)^3+(1/5)*((H760-$F$4:$F$515)/$B$10)^5+8/15))))/COUNT($F$4:$F$515)</f>
        <v>2.242262948584775E-2</v>
      </c>
      <c r="H760" s="15">
        <f t="shared" si="35"/>
        <v>-2.1854939878498979E-2</v>
      </c>
      <c r="K760" s="14">
        <v>0.01</v>
      </c>
      <c r="L760" s="15">
        <f t="shared" si="33"/>
        <v>-1.6954939878499008E-2</v>
      </c>
    </row>
    <row r="761" spans="4:12" ht="14.4" customHeight="1">
      <c r="D761" s="4">
        <v>43083</v>
      </c>
      <c r="E761" s="5">
        <v>6.585</v>
      </c>
      <c r="F761" s="5">
        <f t="shared" si="34"/>
        <v>-1.3188414371109204E-4</v>
      </c>
      <c r="G761" s="3" cm="1">
        <f t="array" ref="G761">SUMPRODUCT(IF(((H761-$F$4:$F$515)/$B$10)&lt;=-1,0,IF(((H761-$F$4:$F$515)/$B$10)&gt;=1,1,(15/16)*(((H761-$F$4:$F$515)/$B$10)-(2/3)*((H761-$F$4:$F$515)/$B$10)^3+(1/5)*((H761-$F$4:$F$515)/$B$10)^5+8/15))))/COUNT($F$4:$F$515)</f>
        <v>2.2842165963773454E-2</v>
      </c>
      <c r="H761" s="5">
        <f t="shared" si="35"/>
        <v>-2.1754939878498979E-2</v>
      </c>
      <c r="K761" s="4">
        <v>0.01</v>
      </c>
      <c r="L761" s="5">
        <f t="shared" si="33"/>
        <v>-1.6954939878499008E-2</v>
      </c>
    </row>
    <row r="762" spans="4:12" ht="14.4" customHeight="1">
      <c r="D762" s="14">
        <v>43084</v>
      </c>
      <c r="E762" s="15">
        <v>6.6360000000000001</v>
      </c>
      <c r="F762" s="15">
        <f t="shared" si="34"/>
        <v>3.3505980545204799E-3</v>
      </c>
      <c r="G762" s="16" cm="1">
        <f t="array" ref="G762">SUMPRODUCT(IF(((H762-$F$4:$F$515)/$B$10)&lt;=-1,0,IF(((H762-$F$4:$F$515)/$B$10)&gt;=1,1,(15/16)*(((H762-$F$4:$F$515)/$B$10)-(2/3)*((H762-$F$4:$F$515)/$B$10)^3+(1/5)*((H762-$F$4:$F$515)/$B$10)^5+8/15))))/COUNT($F$4:$F$515)</f>
        <v>2.3268866488650713E-2</v>
      </c>
      <c r="H762" s="15">
        <f t="shared" si="35"/>
        <v>-2.165493987849898E-2</v>
      </c>
      <c r="K762" s="14">
        <v>0.01</v>
      </c>
      <c r="L762" s="15">
        <f t="shared" si="33"/>
        <v>-1.6954939878499008E-2</v>
      </c>
    </row>
    <row r="763" spans="4:12" ht="14.4" customHeight="1">
      <c r="D763" s="4">
        <v>43087</v>
      </c>
      <c r="E763" s="5">
        <v>6.7549999999999999</v>
      </c>
      <c r="F763" s="5">
        <f t="shared" si="34"/>
        <v>7.7189760057262873E-3</v>
      </c>
      <c r="G763" s="3" cm="1">
        <f t="array" ref="G763">SUMPRODUCT(IF(((H763-$F$4:$F$515)/$B$10)&lt;=-1,0,IF(((H763-$F$4:$F$515)/$B$10)&gt;=1,1,(15/16)*(((H763-$F$4:$F$515)/$B$10)-(2/3)*((H763-$F$4:$F$515)/$B$10)^3+(1/5)*((H763-$F$4:$F$515)/$B$10)^5+8/15))))/COUNT($F$4:$F$515)</f>
        <v>2.3702892646666494E-2</v>
      </c>
      <c r="H763" s="5">
        <f t="shared" si="35"/>
        <v>-2.1554939878498981E-2</v>
      </c>
      <c r="K763" s="4">
        <v>0.01</v>
      </c>
      <c r="L763" s="5">
        <f t="shared" si="33"/>
        <v>-1.6954939878499008E-2</v>
      </c>
    </row>
    <row r="764" spans="4:12" ht="14.4" customHeight="1">
      <c r="D764" s="14">
        <v>43088</v>
      </c>
      <c r="E764" s="15">
        <v>6.6719999999999997</v>
      </c>
      <c r="F764" s="15">
        <f t="shared" si="34"/>
        <v>-5.3693157283670901E-3</v>
      </c>
      <c r="G764" s="16" cm="1">
        <f t="array" ref="G764">SUMPRODUCT(IF(((H764-$F$4:$F$515)/$B$10)&lt;=-1,0,IF(((H764-$F$4:$F$515)/$B$10)&gt;=1,1,(15/16)*(((H764-$F$4:$F$515)/$B$10)-(2/3)*((H764-$F$4:$F$515)/$B$10)^3+(1/5)*((H764-$F$4:$F$515)/$B$10)^5+8/15))))/COUNT($F$4:$F$515)</f>
        <v>2.4144306357131828E-2</v>
      </c>
      <c r="H764" s="15">
        <f t="shared" si="35"/>
        <v>-2.1454939878498981E-2</v>
      </c>
      <c r="K764" s="14">
        <v>0.01</v>
      </c>
      <c r="L764" s="15">
        <f t="shared" si="33"/>
        <v>-1.6954939878499008E-2</v>
      </c>
    </row>
    <row r="765" spans="4:12" ht="14.4" customHeight="1">
      <c r="D765" s="4">
        <v>43089</v>
      </c>
      <c r="E765" s="5">
        <v>6.6230000000000002</v>
      </c>
      <c r="F765" s="5">
        <f t="shared" si="34"/>
        <v>-3.2012825827940879E-3</v>
      </c>
      <c r="G765" s="3" cm="1">
        <f t="array" ref="G765">SUMPRODUCT(IF(((H765-$F$4:$F$515)/$B$10)&lt;=-1,0,IF(((H765-$F$4:$F$515)/$B$10)&gt;=1,1,(15/16)*(((H765-$F$4:$F$515)/$B$10)-(2/3)*((H765-$F$4:$F$515)/$B$10)^3+(1/5)*((H765-$F$4:$F$515)/$B$10)^5+8/15))))/COUNT($F$4:$F$515)</f>
        <v>2.4593085184596457E-2</v>
      </c>
      <c r="H765" s="5">
        <f t="shared" si="35"/>
        <v>-2.1354939878498982E-2</v>
      </c>
      <c r="K765" s="4">
        <v>0.01</v>
      </c>
      <c r="L765" s="5">
        <f t="shared" si="33"/>
        <v>-1.6954939878499008E-2</v>
      </c>
    </row>
    <row r="766" spans="4:12" ht="14.4" customHeight="1">
      <c r="D766" s="14">
        <v>43090</v>
      </c>
      <c r="E766" s="15">
        <v>6.7409999999999997</v>
      </c>
      <c r="F766" s="15">
        <f t="shared" si="34"/>
        <v>7.6695720919031886E-3</v>
      </c>
      <c r="G766" s="16" cm="1">
        <f t="array" ref="G766">SUMPRODUCT(IF(((H766-$F$4:$F$515)/$B$10)&lt;=-1,0,IF(((H766-$F$4:$F$515)/$B$10)&gt;=1,1,(15/16)*(((H766-$F$4:$F$515)/$B$10)-(2/3)*((H766-$F$4:$F$515)/$B$10)^3+(1/5)*((H766-$F$4:$F$515)/$B$10)^5+8/15))))/COUNT($F$4:$F$515)</f>
        <v>2.5049142371004005E-2</v>
      </c>
      <c r="H766" s="15">
        <f t="shared" si="35"/>
        <v>-2.1254939878498982E-2</v>
      </c>
      <c r="K766" s="14">
        <v>0.01</v>
      </c>
      <c r="L766" s="15">
        <f t="shared" si="33"/>
        <v>-1.6954939878499008E-2</v>
      </c>
    </row>
    <row r="767" spans="4:12" ht="14.4" customHeight="1">
      <c r="D767" s="4">
        <v>43091</v>
      </c>
      <c r="E767" s="5">
        <v>6.681</v>
      </c>
      <c r="F767" s="5">
        <f t="shared" si="34"/>
        <v>-3.8828553850906852E-3</v>
      </c>
      <c r="G767" s="3" cm="1">
        <f t="array" ref="G767">SUMPRODUCT(IF(((H767-$F$4:$F$515)/$B$10)&lt;=-1,0,IF(((H767-$F$4:$F$515)/$B$10)&gt;=1,1,(15/16)*(((H767-$F$4:$F$515)/$B$10)-(2/3)*((H767-$F$4:$F$515)/$B$10)^3+(1/5)*((H767-$F$4:$F$515)/$B$10)^5+8/15))))/COUNT($F$4:$F$515)</f>
        <v>2.5512422312168614E-2</v>
      </c>
      <c r="H767" s="5">
        <f t="shared" si="35"/>
        <v>-2.1154939878498983E-2</v>
      </c>
      <c r="K767" s="4">
        <v>0.01</v>
      </c>
      <c r="L767" s="5">
        <f t="shared" si="33"/>
        <v>-1.6954939878499008E-2</v>
      </c>
    </row>
    <row r="768" spans="4:12" ht="14.4" customHeight="1">
      <c r="D768" s="14">
        <v>43096</v>
      </c>
      <c r="E768" s="15">
        <v>6.6479999999999997</v>
      </c>
      <c r="F768" s="15">
        <f t="shared" si="34"/>
        <v>-2.1504609776460963E-3</v>
      </c>
      <c r="G768" s="16" cm="1">
        <f t="array" ref="G768">SUMPRODUCT(IF(((H768-$F$4:$F$515)/$B$10)&lt;=-1,0,IF(((H768-$F$4:$F$515)/$B$10)&gt;=1,1,(15/16)*(((H768-$F$4:$F$515)/$B$10)-(2/3)*((H768-$F$4:$F$515)/$B$10)^3+(1/5)*((H768-$F$4:$F$515)/$B$10)^5+8/15))))/COUNT($F$4:$F$515)</f>
        <v>2.5982900003143988E-2</v>
      </c>
      <c r="H768" s="15">
        <f t="shared" si="35"/>
        <v>-2.1054939878498984E-2</v>
      </c>
      <c r="K768" s="14">
        <v>0.01</v>
      </c>
      <c r="L768" s="15">
        <f t="shared" si="33"/>
        <v>-1.6954939878499008E-2</v>
      </c>
    </row>
    <row r="769" spans="4:12" ht="14.4" customHeight="1">
      <c r="D769" s="4">
        <v>43097</v>
      </c>
      <c r="E769" s="5">
        <v>6.6349999999999998</v>
      </c>
      <c r="F769" s="5">
        <f t="shared" si="34"/>
        <v>-8.5008357560023985E-4</v>
      </c>
      <c r="G769" s="3" cm="1">
        <f t="array" ref="G769">SUMPRODUCT(IF(((H769-$F$4:$F$515)/$B$10)&lt;=-1,0,IF(((H769-$F$4:$F$515)/$B$10)&gt;=1,1,(15/16)*(((H769-$F$4:$F$515)/$B$10)-(2/3)*((H769-$F$4:$F$515)/$B$10)^3+(1/5)*((H769-$F$4:$F$515)/$B$10)^5+8/15))))/COUNT($F$4:$F$515)</f>
        <v>2.646031830587425E-2</v>
      </c>
      <c r="H769" s="5">
        <f t="shared" si="35"/>
        <v>-2.0954939878498984E-2</v>
      </c>
      <c r="K769" s="4">
        <v>0.01</v>
      </c>
      <c r="L769" s="5">
        <f t="shared" si="33"/>
        <v>-1.6954939878499008E-2</v>
      </c>
    </row>
    <row r="770" spans="4:12" ht="14.4" customHeight="1">
      <c r="D770" s="14">
        <v>43098</v>
      </c>
      <c r="E770" s="15">
        <v>6.5960000000000001</v>
      </c>
      <c r="F770" s="15">
        <f t="shared" si="34"/>
        <v>-2.5602802279731125E-3</v>
      </c>
      <c r="G770" s="16" cm="1">
        <f t="array" ref="G770">SUMPRODUCT(IF(((H770-$F$4:$F$515)/$B$10)&lt;=-1,0,IF(((H770-$F$4:$F$515)/$B$10)&gt;=1,1,(15/16)*(((H770-$F$4:$F$515)/$B$10)-(2/3)*((H770-$F$4:$F$515)/$B$10)^3+(1/5)*((H770-$F$4:$F$515)/$B$10)^5+8/15))))/COUNT($F$4:$F$515)</f>
        <v>2.6944341790941809E-2</v>
      </c>
      <c r="H770" s="15">
        <f t="shared" si="35"/>
        <v>-2.0854939878498985E-2</v>
      </c>
      <c r="K770" s="14">
        <v>0.01</v>
      </c>
      <c r="L770" s="15">
        <f t="shared" si="33"/>
        <v>-1.6954939878499008E-2</v>
      </c>
    </row>
    <row r="771" spans="4:12" ht="14.4" customHeight="1">
      <c r="D771" s="4">
        <v>43102</v>
      </c>
      <c r="E771" s="5">
        <v>6.6760000000000002</v>
      </c>
      <c r="F771" s="5">
        <f t="shared" si="34"/>
        <v>5.2356810347279122E-3</v>
      </c>
      <c r="G771" s="3" cm="1">
        <f t="array" ref="G771">SUMPRODUCT(IF(((H771-$F$4:$F$515)/$B$10)&lt;=-1,0,IF(((H771-$F$4:$F$515)/$B$10)&gt;=1,1,(15/16)*(((H771-$F$4:$F$515)/$B$10)-(2/3)*((H771-$F$4:$F$515)/$B$10)^3+(1/5)*((H771-$F$4:$F$515)/$B$10)^5+8/15))))/COUNT($F$4:$F$515)</f>
        <v>2.7434586448263992E-2</v>
      </c>
      <c r="H771" s="5">
        <f t="shared" si="35"/>
        <v>-2.0754939878498985E-2</v>
      </c>
      <c r="K771" s="4">
        <v>0.01</v>
      </c>
      <c r="L771" s="5">
        <f t="shared" si="33"/>
        <v>-1.6954939878499008E-2</v>
      </c>
    </row>
    <row r="772" spans="4:12" ht="14.4" customHeight="1">
      <c r="D772" s="14">
        <v>43103</v>
      </c>
      <c r="E772" s="15">
        <v>6.6719999999999997</v>
      </c>
      <c r="F772" s="15">
        <f t="shared" si="34"/>
        <v>-2.6029037752684083E-4</v>
      </c>
      <c r="G772" s="16" cm="1">
        <f t="array" ref="G772">SUMPRODUCT(IF(((H772-$F$4:$F$515)/$B$10)&lt;=-1,0,IF(((H772-$F$4:$F$515)/$B$10)&gt;=1,1,(15/16)*(((H772-$F$4:$F$515)/$B$10)-(2/3)*((H772-$F$4:$F$515)/$B$10)^3+(1/5)*((H772-$F$4:$F$515)/$B$10)^5+8/15))))/COUNT($F$4:$F$515)</f>
        <v>2.7930639710865266E-2</v>
      </c>
      <c r="H772" s="15">
        <f t="shared" si="35"/>
        <v>-2.0654939878498986E-2</v>
      </c>
      <c r="K772" s="14">
        <v>0.01</v>
      </c>
      <c r="L772" s="15">
        <f t="shared" ref="L772:L835" si="36">$B$7</f>
        <v>-1.6954939878499008E-2</v>
      </c>
    </row>
    <row r="773" spans="4:12" ht="14.4" customHeight="1">
      <c r="D773" s="4">
        <v>43104</v>
      </c>
      <c r="E773" s="5">
        <v>6.9080000000000004</v>
      </c>
      <c r="F773" s="5">
        <f t="shared" ref="F773:F836" si="37">LOG(E773/E772)</f>
        <v>1.509629126573887E-2</v>
      </c>
      <c r="G773" s="3" cm="1">
        <f t="array" ref="G773">SUMPRODUCT(IF(((H773-$F$4:$F$515)/$B$10)&lt;=-1,0,IF(((H773-$F$4:$F$515)/$B$10)&gt;=1,1,(15/16)*(((H773-$F$4:$F$515)/$B$10)-(2/3)*((H773-$F$4:$F$515)/$B$10)^3+(1/5)*((H773-$F$4:$F$515)/$B$10)^5+8/15))))/COUNT($F$4:$F$515)</f>
        <v>2.8432080478649598E-2</v>
      </c>
      <c r="H773" s="5">
        <f t="shared" ref="H773:H836" si="38">H772+0.0001</f>
        <v>-2.0554939878498987E-2</v>
      </c>
      <c r="K773" s="4">
        <v>0.01</v>
      </c>
      <c r="L773" s="5">
        <f t="shared" si="36"/>
        <v>-1.6954939878499008E-2</v>
      </c>
    </row>
    <row r="774" spans="4:12" ht="14.4" customHeight="1">
      <c r="D774" s="14">
        <v>43105</v>
      </c>
      <c r="E774" s="15">
        <v>6.8879999999999999</v>
      </c>
      <c r="F774" s="15">
        <f t="shared" si="37"/>
        <v>-1.2591904498228722E-3</v>
      </c>
      <c r="G774" s="16" cm="1">
        <f t="array" ref="G774">SUMPRODUCT(IF(((H774-$F$4:$F$515)/$B$10)&lt;=-1,0,IF(((H774-$F$4:$F$515)/$B$10)&gt;=1,1,(15/16)*(((H774-$F$4:$F$515)/$B$10)-(2/3)*((H774-$F$4:$F$515)/$B$10)^3+(1/5)*((H774-$F$4:$F$515)/$B$10)^5+8/15))))/COUNT($F$4:$F$515)</f>
        <v>2.8938527235378153E-2</v>
      </c>
      <c r="H774" s="15">
        <f t="shared" si="38"/>
        <v>-2.0454939878498987E-2</v>
      </c>
      <c r="K774" s="14">
        <v>0.01</v>
      </c>
      <c r="L774" s="15">
        <f t="shared" si="36"/>
        <v>-1.6954939878499008E-2</v>
      </c>
    </row>
    <row r="775" spans="4:12" ht="14.4" customHeight="1">
      <c r="D775" s="4">
        <v>43108</v>
      </c>
      <c r="E775" s="5">
        <v>6.9</v>
      </c>
      <c r="F775" s="5">
        <f t="shared" si="37"/>
        <v>7.5595229165700991E-4</v>
      </c>
      <c r="G775" s="3" cm="1">
        <f t="array" ref="G775">SUMPRODUCT(IF(((H775-$F$4:$F$515)/$B$10)&lt;=-1,0,IF(((H775-$F$4:$F$515)/$B$10)&gt;=1,1,(15/16)*(((H775-$F$4:$F$515)/$B$10)-(2/3)*((H775-$F$4:$F$515)/$B$10)^3+(1/5)*((H775-$F$4:$F$515)/$B$10)^5+8/15))))/COUNT($F$4:$F$515)</f>
        <v>2.9450196666168226E-2</v>
      </c>
      <c r="H775" s="5">
        <f t="shared" si="38"/>
        <v>-2.0354939878498988E-2</v>
      </c>
      <c r="K775" s="4">
        <v>0.01</v>
      </c>
      <c r="L775" s="5">
        <f t="shared" si="36"/>
        <v>-1.6954939878499008E-2</v>
      </c>
    </row>
    <row r="776" spans="4:12" ht="14.4" customHeight="1">
      <c r="D776" s="14">
        <v>43109</v>
      </c>
      <c r="E776" s="15">
        <v>6.9939999999999998</v>
      </c>
      <c r="F776" s="15">
        <f t="shared" si="37"/>
        <v>5.8765372359706391E-3</v>
      </c>
      <c r="G776" s="16" cm="1">
        <f t="array" ref="G776">SUMPRODUCT(IF(((H776-$F$4:$F$515)/$B$10)&lt;=-1,0,IF(((H776-$F$4:$F$515)/$B$10)&gt;=1,1,(15/16)*(((H776-$F$4:$F$515)/$B$10)-(2/3)*((H776-$F$4:$F$515)/$B$10)^3+(1/5)*((H776-$F$4:$F$515)/$B$10)^5+8/15))))/COUNT($F$4:$F$515)</f>
        <v>2.9967923380028162E-2</v>
      </c>
      <c r="H776" s="15">
        <f t="shared" si="38"/>
        <v>-2.0254939878498988E-2</v>
      </c>
      <c r="K776" s="14">
        <v>0.01</v>
      </c>
      <c r="L776" s="15">
        <f t="shared" si="36"/>
        <v>-1.6954939878499008E-2</v>
      </c>
    </row>
    <row r="777" spans="4:12" ht="14.4" customHeight="1">
      <c r="D777" s="4">
        <v>43110</v>
      </c>
      <c r="E777" s="5">
        <v>7.04</v>
      </c>
      <c r="F777" s="5">
        <f t="shared" si="37"/>
        <v>2.8470311688862876E-3</v>
      </c>
      <c r="G777" s="3" cm="1">
        <f t="array" ref="G777">SUMPRODUCT(IF(((H777-$F$4:$F$515)/$B$10)&lt;=-1,0,IF(((H777-$F$4:$F$515)/$B$10)&gt;=1,1,(15/16)*(((H777-$F$4:$F$515)/$B$10)-(2/3)*((H777-$F$4:$F$515)/$B$10)^3+(1/5)*((H777-$F$4:$F$515)/$B$10)^5+8/15))))/COUNT($F$4:$F$515)</f>
        <v>3.049205811575853E-2</v>
      </c>
      <c r="H777" s="5">
        <f t="shared" si="38"/>
        <v>-2.0154939878498989E-2</v>
      </c>
      <c r="K777" s="4">
        <v>0.01</v>
      </c>
      <c r="L777" s="5">
        <f t="shared" si="36"/>
        <v>-1.6954939878499008E-2</v>
      </c>
    </row>
    <row r="778" spans="4:12" ht="14.4" customHeight="1">
      <c r="D778" s="14">
        <v>43111</v>
      </c>
      <c r="E778" s="15">
        <v>7.11</v>
      </c>
      <c r="F778" s="15">
        <f t="shared" si="37"/>
        <v>4.2969415876541166E-3</v>
      </c>
      <c r="G778" s="16" cm="1">
        <f t="array" ref="G778">SUMPRODUCT(IF(((H778-$F$4:$F$515)/$B$10)&lt;=-1,0,IF(((H778-$F$4:$F$515)/$B$10)&gt;=1,1,(15/16)*(((H778-$F$4:$F$515)/$B$10)-(2/3)*((H778-$F$4:$F$515)/$B$10)^3+(1/5)*((H778-$F$4:$F$515)/$B$10)^5+8/15))))/COUNT($F$4:$F$515)</f>
        <v>3.1022738035373858E-2</v>
      </c>
      <c r="H778" s="15">
        <f t="shared" si="38"/>
        <v>-2.005493987849899E-2</v>
      </c>
      <c r="K778" s="14">
        <v>0.01</v>
      </c>
      <c r="L778" s="15">
        <f t="shared" si="36"/>
        <v>-1.6954939878499008E-2</v>
      </c>
    </row>
    <row r="779" spans="4:12" ht="14.4" customHeight="1">
      <c r="D779" s="4">
        <v>43112</v>
      </c>
      <c r="E779" s="5">
        <v>7.1139999999999999</v>
      </c>
      <c r="F779" s="5">
        <f t="shared" si="37"/>
        <v>2.4426011999521791E-4</v>
      </c>
      <c r="G779" s="3" cm="1">
        <f t="array" ref="G779">SUMPRODUCT(IF(((H779-$F$4:$F$515)/$B$10)&lt;=-1,0,IF(((H779-$F$4:$F$515)/$B$10)&gt;=1,1,(15/16)*(((H779-$F$4:$F$515)/$B$10)-(2/3)*((H779-$F$4:$F$515)/$B$10)^3+(1/5)*((H779-$F$4:$F$515)/$B$10)^5+8/15))))/COUNT($F$4:$F$515)</f>
        <v>3.1559967849270391E-2</v>
      </c>
      <c r="H779" s="5">
        <f t="shared" si="38"/>
        <v>-1.995493987849899E-2</v>
      </c>
      <c r="K779" s="4">
        <v>0.01</v>
      </c>
      <c r="L779" s="5">
        <f t="shared" si="36"/>
        <v>-1.6954939878499008E-2</v>
      </c>
    </row>
    <row r="780" spans="4:12" ht="14.4" customHeight="1">
      <c r="D780" s="14">
        <v>43115</v>
      </c>
      <c r="E780" s="15">
        <v>7.1219999999999999</v>
      </c>
      <c r="F780" s="15">
        <f t="shared" si="37"/>
        <v>4.8810848847335731E-4</v>
      </c>
      <c r="G780" s="16" cm="1">
        <f t="array" ref="G780">SUMPRODUCT(IF(((H780-$F$4:$F$515)/$B$10)&lt;=-1,0,IF(((H780-$F$4:$F$515)/$B$10)&gt;=1,1,(15/16)*(((H780-$F$4:$F$515)/$B$10)-(2/3)*((H780-$F$4:$F$515)/$B$10)^3+(1/5)*((H780-$F$4:$F$515)/$B$10)^5+8/15))))/COUNT($F$4:$F$515)</f>
        <v>3.2103642509834752E-2</v>
      </c>
      <c r="H780" s="15">
        <f t="shared" si="38"/>
        <v>-1.9854939878498991E-2</v>
      </c>
      <c r="K780" s="14">
        <v>0.01</v>
      </c>
      <c r="L780" s="15">
        <f t="shared" si="36"/>
        <v>-1.6954939878499008E-2</v>
      </c>
    </row>
    <row r="781" spans="4:12" ht="14.4" customHeight="1">
      <c r="D781" s="4">
        <v>43116</v>
      </c>
      <c r="E781" s="5">
        <v>7.12</v>
      </c>
      <c r="F781" s="5">
        <f t="shared" si="37"/>
        <v>-1.2197570137846657E-4</v>
      </c>
      <c r="G781" s="3" cm="1">
        <f t="array" ref="G781">SUMPRODUCT(IF(((H781-$F$4:$F$515)/$B$10)&lt;=-1,0,IF(((H781-$F$4:$F$515)/$B$10)&gt;=1,1,(15/16)*(((H781-$F$4:$F$515)/$B$10)-(2/3)*((H781-$F$4:$F$515)/$B$10)^3+(1/5)*((H781-$F$4:$F$515)/$B$10)^5+8/15))))/COUNT($F$4:$F$515)</f>
        <v>3.2653569905052485E-2</v>
      </c>
      <c r="H781" s="5">
        <f t="shared" si="38"/>
        <v>-1.9754939878498991E-2</v>
      </c>
      <c r="K781" s="4">
        <v>0.01</v>
      </c>
      <c r="L781" s="5">
        <f t="shared" si="36"/>
        <v>-1.6954939878499008E-2</v>
      </c>
    </row>
    <row r="782" spans="4:12" ht="14.4" customHeight="1">
      <c r="D782" s="14">
        <v>43117</v>
      </c>
      <c r="E782" s="15">
        <v>7.19</v>
      </c>
      <c r="F782" s="15">
        <f t="shared" si="37"/>
        <v>4.2488967460262836E-3</v>
      </c>
      <c r="G782" s="16" cm="1">
        <f t="array" ref="G782">SUMPRODUCT(IF(((H782-$F$4:$F$515)/$B$10)&lt;=-1,0,IF(((H782-$F$4:$F$515)/$B$10)&gt;=1,1,(15/16)*(((H782-$F$4:$F$515)/$B$10)-(2/3)*((H782-$F$4:$F$515)/$B$10)^3+(1/5)*((H782-$F$4:$F$515)/$B$10)^5+8/15))))/COUNT($F$4:$F$515)</f>
        <v>3.3209493485623687E-2</v>
      </c>
      <c r="H782" s="15">
        <f t="shared" si="38"/>
        <v>-1.9654939878498992E-2</v>
      </c>
      <c r="K782" s="14">
        <v>0.01</v>
      </c>
      <c r="L782" s="15">
        <f t="shared" si="36"/>
        <v>-1.6954939878499008E-2</v>
      </c>
    </row>
    <row r="783" spans="4:12" ht="14.4" customHeight="1">
      <c r="D783" s="4">
        <v>43118</v>
      </c>
      <c r="E783" s="5">
        <v>7.2880000000000003</v>
      </c>
      <c r="F783" s="5">
        <f t="shared" si="37"/>
        <v>5.8794735820592451E-3</v>
      </c>
      <c r="G783" s="3" cm="1">
        <f t="array" ref="G783">SUMPRODUCT(IF(((H783-$F$4:$F$515)/$B$10)&lt;=-1,0,IF(((H783-$F$4:$F$515)/$B$10)&gt;=1,1,(15/16)*(((H783-$F$4:$F$515)/$B$10)-(2/3)*((H783-$F$4:$F$515)/$B$10)^3+(1/5)*((H783-$F$4:$F$515)/$B$10)^5+8/15))))/COUNT($F$4:$F$515)</f>
        <v>3.3771013540641985E-2</v>
      </c>
      <c r="H783" s="5">
        <f t="shared" si="38"/>
        <v>-1.9554939878498993E-2</v>
      </c>
      <c r="K783" s="4">
        <v>0.01</v>
      </c>
      <c r="L783" s="5">
        <f t="shared" si="36"/>
        <v>-1.6954939878499008E-2</v>
      </c>
    </row>
    <row r="784" spans="4:12" ht="14.4" customHeight="1">
      <c r="D784" s="14">
        <v>43119</v>
      </c>
      <c r="E784" s="15">
        <v>7.234</v>
      </c>
      <c r="F784" s="15">
        <f t="shared" si="37"/>
        <v>-3.2298595393409051E-3</v>
      </c>
      <c r="G784" s="16" cm="1">
        <f t="array" ref="G784">SUMPRODUCT(IF(((H784-$F$4:$F$515)/$B$10)&lt;=-1,0,IF(((H784-$F$4:$F$515)/$B$10)&gt;=1,1,(15/16)*(((H784-$F$4:$F$515)/$B$10)-(2/3)*((H784-$F$4:$F$515)/$B$10)^3+(1/5)*((H784-$F$4:$F$515)/$B$10)^5+8/15))))/COUNT($F$4:$F$515)</f>
        <v>3.4337391958338952E-2</v>
      </c>
      <c r="H784" s="15">
        <f t="shared" si="38"/>
        <v>-1.9454939878498993E-2</v>
      </c>
      <c r="K784" s="14">
        <v>0.01</v>
      </c>
      <c r="L784" s="15">
        <f t="shared" si="36"/>
        <v>-1.6954939878499008E-2</v>
      </c>
    </row>
    <row r="785" spans="4:12" ht="14.4" customHeight="1">
      <c r="D785" s="4">
        <v>43122</v>
      </c>
      <c r="E785" s="5">
        <v>7.39</v>
      </c>
      <c r="F785" s="5">
        <f t="shared" si="37"/>
        <v>9.2659339692247652E-3</v>
      </c>
      <c r="G785" s="3" cm="1">
        <f t="array" ref="G785">SUMPRODUCT(IF(((H785-$F$4:$F$515)/$B$10)&lt;=-1,0,IF(((H785-$F$4:$F$515)/$B$10)&gt;=1,1,(15/16)*(((H785-$F$4:$F$515)/$B$10)-(2/3)*((H785-$F$4:$F$515)/$B$10)^3+(1/5)*((H785-$F$4:$F$515)/$B$10)^5+8/15))))/COUNT($F$4:$F$515)</f>
        <v>3.4908026816948615E-2</v>
      </c>
      <c r="H785" s="5">
        <f t="shared" si="38"/>
        <v>-1.9354939878498994E-2</v>
      </c>
      <c r="K785" s="4">
        <v>0.01</v>
      </c>
      <c r="L785" s="5">
        <f t="shared" si="36"/>
        <v>-1.6954939878499008E-2</v>
      </c>
    </row>
    <row r="786" spans="4:12" ht="14.4" customHeight="1">
      <c r="D786" s="14">
        <v>43123</v>
      </c>
      <c r="E786" s="15">
        <v>7.4260000000000002</v>
      </c>
      <c r="F786" s="15">
        <f t="shared" si="37"/>
        <v>2.110506495314377E-3</v>
      </c>
      <c r="G786" s="16" cm="1">
        <f t="array" ref="G786">SUMPRODUCT(IF(((H786-$F$4:$F$515)/$B$10)&lt;=-1,0,IF(((H786-$F$4:$F$515)/$B$10)&gt;=1,1,(15/16)*(((H786-$F$4:$F$515)/$B$10)-(2/3)*((H786-$F$4:$F$515)/$B$10)^3+(1/5)*((H786-$F$4:$F$515)/$B$10)^5+8/15))))/COUNT($F$4:$F$515)</f>
        <v>3.548281103236757E-2</v>
      </c>
      <c r="H786" s="15">
        <f t="shared" si="38"/>
        <v>-1.9254939878498994E-2</v>
      </c>
      <c r="K786" s="14">
        <v>0.01</v>
      </c>
      <c r="L786" s="15">
        <f t="shared" si="36"/>
        <v>-1.6954939878499008E-2</v>
      </c>
    </row>
    <row r="787" spans="4:12" ht="14.4" customHeight="1">
      <c r="D787" s="4">
        <v>43124</v>
      </c>
      <c r="E787" s="5">
        <v>7.35</v>
      </c>
      <c r="F787" s="5">
        <f t="shared" si="37"/>
        <v>-4.4676058059452354E-3</v>
      </c>
      <c r="G787" s="3" cm="1">
        <f t="array" ref="G787">SUMPRODUCT(IF(((H787-$F$4:$F$515)/$B$10)&lt;=-1,0,IF(((H787-$F$4:$F$515)/$B$10)&gt;=1,1,(15/16)*(((H787-$F$4:$F$515)/$B$10)-(2/3)*((H787-$F$4:$F$515)/$B$10)^3+(1/5)*((H787-$F$4:$F$515)/$B$10)^5+8/15))))/COUNT($F$4:$F$515)</f>
        <v>3.6061659947948022E-2</v>
      </c>
      <c r="H787" s="5">
        <f t="shared" si="38"/>
        <v>-1.9154939878498995E-2</v>
      </c>
      <c r="K787" s="4">
        <v>0.01</v>
      </c>
      <c r="L787" s="5">
        <f t="shared" si="36"/>
        <v>-1.6954939878499008E-2</v>
      </c>
    </row>
    <row r="788" spans="4:12" ht="14.4" customHeight="1">
      <c r="D788" s="14">
        <v>43125</v>
      </c>
      <c r="E788" s="15">
        <v>7.4039999999999999</v>
      </c>
      <c r="F788" s="15">
        <f t="shared" si="37"/>
        <v>3.1790709966716441E-3</v>
      </c>
      <c r="G788" s="16" cm="1">
        <f t="array" ref="G788">SUMPRODUCT(IF(((H788-$F$4:$F$515)/$B$10)&lt;=-1,0,IF(((H788-$F$4:$F$515)/$B$10)&gt;=1,1,(15/16)*(((H788-$F$4:$F$515)/$B$10)-(2/3)*((H788-$F$4:$F$515)/$B$10)^3+(1/5)*((H788-$F$4:$F$515)/$B$10)^5+8/15))))/COUNT($F$4:$F$515)</f>
        <v>3.6644382057077318E-2</v>
      </c>
      <c r="H788" s="15">
        <f t="shared" si="38"/>
        <v>-1.9054939878498996E-2</v>
      </c>
      <c r="K788" s="14">
        <v>0.01</v>
      </c>
      <c r="L788" s="15">
        <f t="shared" si="36"/>
        <v>-1.6954939878499008E-2</v>
      </c>
    </row>
    <row r="789" spans="4:12" ht="14.4" customHeight="1">
      <c r="D789" s="4">
        <v>43126</v>
      </c>
      <c r="E789" s="5">
        <v>7.3860000000000001</v>
      </c>
      <c r="F789" s="5">
        <f t="shared" si="37"/>
        <v>-1.0571067659065814E-3</v>
      </c>
      <c r="G789" s="3" cm="1">
        <f t="array" ref="G789">SUMPRODUCT(IF(((H789-$F$4:$F$515)/$B$10)&lt;=-1,0,IF(((H789-$F$4:$F$515)/$B$10)&gt;=1,1,(15/16)*(((H789-$F$4:$F$515)/$B$10)-(2/3)*((H789-$F$4:$F$515)/$B$10)^3+(1/5)*((H789-$F$4:$F$515)/$B$10)^5+8/15))))/COUNT($F$4:$F$515)</f>
        <v>3.723044979953323E-2</v>
      </c>
      <c r="H789" s="5">
        <f t="shared" si="38"/>
        <v>-1.8954939878498996E-2</v>
      </c>
      <c r="K789" s="4">
        <v>0.01</v>
      </c>
      <c r="L789" s="5">
        <f t="shared" si="36"/>
        <v>-1.6954939878499008E-2</v>
      </c>
    </row>
    <row r="790" spans="4:12" ht="14.4" customHeight="1">
      <c r="D790" s="14">
        <v>43129</v>
      </c>
      <c r="E790" s="15">
        <v>7.3639999999999999</v>
      </c>
      <c r="F790" s="15">
        <f t="shared" si="37"/>
        <v>-1.2955234829828681E-3</v>
      </c>
      <c r="G790" s="16" cm="1">
        <f t="array" ref="G790">SUMPRODUCT(IF(((H790-$F$4:$F$515)/$B$10)&lt;=-1,0,IF(((H790-$F$4:$F$515)/$B$10)&gt;=1,1,(15/16)*(((H790-$F$4:$F$515)/$B$10)-(2/3)*((H790-$F$4:$F$515)/$B$10)^3+(1/5)*((H790-$F$4:$F$515)/$B$10)^5+8/15))))/COUNT($F$4:$F$515)</f>
        <v>3.7819382423143304E-2</v>
      </c>
      <c r="H790" s="15">
        <f t="shared" si="38"/>
        <v>-1.8854939878498997E-2</v>
      </c>
      <c r="K790" s="14">
        <v>0.01</v>
      </c>
      <c r="L790" s="15">
        <f t="shared" si="36"/>
        <v>-1.6954939878499008E-2</v>
      </c>
    </row>
    <row r="791" spans="4:12" ht="14.4" customHeight="1">
      <c r="D791" s="4">
        <v>43130</v>
      </c>
      <c r="E791" s="5">
        <v>7.3079999999999998</v>
      </c>
      <c r="F791" s="5">
        <f t="shared" si="37"/>
        <v>-3.315241151476887E-3</v>
      </c>
      <c r="G791" s="3" cm="1">
        <f t="array" ref="G791">SUMPRODUCT(IF(((H791-$F$4:$F$515)/$B$10)&lt;=-1,0,IF(((H791-$F$4:$F$515)/$B$10)&gt;=1,1,(15/16)*(((H791-$F$4:$F$515)/$B$10)-(2/3)*((H791-$F$4:$F$515)/$B$10)^3+(1/5)*((H791-$F$4:$F$515)/$B$10)^5+8/15))))/COUNT($F$4:$F$515)</f>
        <v>3.8410860528696571E-2</v>
      </c>
      <c r="H791" s="5">
        <f t="shared" si="38"/>
        <v>-1.8754939878498997E-2</v>
      </c>
      <c r="K791" s="4">
        <v>0.01</v>
      </c>
      <c r="L791" s="5">
        <f t="shared" si="36"/>
        <v>-1.6954939878499008E-2</v>
      </c>
    </row>
    <row r="792" spans="4:12" ht="14.4" customHeight="1">
      <c r="D792" s="14">
        <v>43131</v>
      </c>
      <c r="E792" s="15">
        <v>7.3339999999999996</v>
      </c>
      <c r="F792" s="15">
        <f t="shared" si="37"/>
        <v>1.5423669440836924E-3</v>
      </c>
      <c r="G792" s="16" cm="1">
        <f t="array" ref="G792">SUMPRODUCT(IF(((H792-$F$4:$F$515)/$B$10)&lt;=-1,0,IF(((H792-$F$4:$F$515)/$B$10)&gt;=1,1,(15/16)*(((H792-$F$4:$F$515)/$B$10)-(2/3)*((H792-$F$4:$F$515)/$B$10)^3+(1/5)*((H792-$F$4:$F$515)/$B$10)^5+8/15))))/COUNT($F$4:$F$515)</f>
        <v>3.9004525070813145E-2</v>
      </c>
      <c r="H792" s="15">
        <f t="shared" si="38"/>
        <v>-1.8654939878498998E-2</v>
      </c>
      <c r="K792" s="14">
        <v>0.01</v>
      </c>
      <c r="L792" s="15">
        <f t="shared" si="36"/>
        <v>-1.6954939878499008E-2</v>
      </c>
    </row>
    <row r="793" spans="4:12" ht="14.4" customHeight="1">
      <c r="D793" s="4">
        <v>43132</v>
      </c>
      <c r="E793" s="5">
        <v>7.3780000000000001</v>
      </c>
      <c r="F793" s="5">
        <f t="shared" si="37"/>
        <v>2.5977452662007158E-3</v>
      </c>
      <c r="G793" s="3" cm="1">
        <f t="array" ref="G793">SUMPRODUCT(IF(((H793-$F$4:$F$515)/$B$10)&lt;=-1,0,IF(((H793-$F$4:$F$515)/$B$10)&gt;=1,1,(15/16)*(((H793-$F$4:$F$515)/$B$10)-(2/3)*((H793-$F$4:$F$515)/$B$10)^3+(1/5)*((H793-$F$4:$F$515)/$B$10)^5+8/15))))/COUNT($F$4:$F$515)</f>
        <v>3.9599939115784431E-2</v>
      </c>
      <c r="H793" s="5">
        <f t="shared" si="38"/>
        <v>-1.8554939878498999E-2</v>
      </c>
      <c r="K793" s="4">
        <v>0.01</v>
      </c>
      <c r="L793" s="5">
        <f t="shared" si="36"/>
        <v>-1.6954939878499008E-2</v>
      </c>
    </row>
    <row r="794" spans="4:12" ht="14.4" customHeight="1">
      <c r="D794" s="14">
        <v>43133</v>
      </c>
      <c r="E794" s="15">
        <v>7.2880000000000003</v>
      </c>
      <c r="F794" s="15">
        <f t="shared" si="37"/>
        <v>-5.3302869258427836E-3</v>
      </c>
      <c r="G794" s="16" cm="1">
        <f t="array" ref="G794">SUMPRODUCT(IF(((H794-$F$4:$F$515)/$B$10)&lt;=-1,0,IF(((H794-$F$4:$F$515)/$B$10)&gt;=1,1,(15/16)*(((H794-$F$4:$F$515)/$B$10)-(2/3)*((H794-$F$4:$F$515)/$B$10)^3+(1/5)*((H794-$F$4:$F$515)/$B$10)^5+8/15))))/COUNT($F$4:$F$515)</f>
        <v>4.0196863601630085E-2</v>
      </c>
      <c r="H794" s="15">
        <f t="shared" si="38"/>
        <v>-1.8454939878498999E-2</v>
      </c>
      <c r="K794" s="14">
        <v>0.01</v>
      </c>
      <c r="L794" s="15">
        <f t="shared" si="36"/>
        <v>-1.6954939878499008E-2</v>
      </c>
    </row>
    <row r="795" spans="4:12" ht="14.4" customHeight="1">
      <c r="D795" s="4">
        <v>43136</v>
      </c>
      <c r="E795" s="5">
        <v>7.1440000000000001</v>
      </c>
      <c r="F795" s="5">
        <f t="shared" si="37"/>
        <v>-8.6669180844518284E-3</v>
      </c>
      <c r="G795" s="3" cm="1">
        <f t="array" ref="G795">SUMPRODUCT(IF(((H795-$F$4:$F$515)/$B$10)&lt;=-1,0,IF(((H795-$F$4:$F$515)/$B$10)&gt;=1,1,(15/16)*(((H795-$F$4:$F$515)/$B$10)-(2/3)*((H795-$F$4:$F$515)/$B$10)^3+(1/5)*((H795-$F$4:$F$515)/$B$10)^5+8/15))))/COUNT($F$4:$F$515)</f>
        <v>4.0795545983483783E-2</v>
      </c>
      <c r="H795" s="5">
        <f t="shared" si="38"/>
        <v>-1.8354939878499E-2</v>
      </c>
      <c r="K795" s="4">
        <v>0.01</v>
      </c>
      <c r="L795" s="5">
        <f t="shared" si="36"/>
        <v>-1.6954939878499008E-2</v>
      </c>
    </row>
    <row r="796" spans="4:12" ht="14.4" customHeight="1">
      <c r="D796" s="14">
        <v>43137</v>
      </c>
      <c r="E796" s="15">
        <v>6.8239999999999998</v>
      </c>
      <c r="F796" s="15">
        <f t="shared" si="37"/>
        <v>-1.9902427721023418E-2</v>
      </c>
      <c r="G796" s="16" cm="1">
        <f t="array" ref="G796">SUMPRODUCT(IF(((H796-$F$4:$F$515)/$B$10)&lt;=-1,0,IF(((H796-$F$4:$F$515)/$B$10)&gt;=1,1,(15/16)*(((H796-$F$4:$F$515)/$B$10)-(2/3)*((H796-$F$4:$F$515)/$B$10)^3+(1/5)*((H796-$F$4:$F$515)/$B$10)^5+8/15))))/COUNT($F$4:$F$515)</f>
        <v>4.1396207110631598E-2</v>
      </c>
      <c r="H796" s="15">
        <f t="shared" si="38"/>
        <v>-1.8254939878499001E-2</v>
      </c>
      <c r="K796" s="14">
        <v>0.01</v>
      </c>
      <c r="L796" s="15">
        <f t="shared" si="36"/>
        <v>-1.6954939878499008E-2</v>
      </c>
    </row>
    <row r="797" spans="4:12" ht="14.4" customHeight="1">
      <c r="D797" s="4">
        <v>43138</v>
      </c>
      <c r="E797" s="5">
        <v>7.1180000000000003</v>
      </c>
      <c r="F797" s="5">
        <f t="shared" si="37"/>
        <v>1.8318965508360489E-2</v>
      </c>
      <c r="G797" s="3" cm="1">
        <f t="array" ref="G797">SUMPRODUCT(IF(((H797-$F$4:$F$515)/$B$10)&lt;=-1,0,IF(((H797-$F$4:$F$515)/$B$10)&gt;=1,1,(15/16)*(((H797-$F$4:$F$515)/$B$10)-(2/3)*((H797-$F$4:$F$515)/$B$10)^3+(1/5)*((H797-$F$4:$F$515)/$B$10)^5+8/15))))/COUNT($F$4:$F$515)</f>
        <v>4.1998822387571584E-2</v>
      </c>
      <c r="H797" s="5">
        <f t="shared" si="38"/>
        <v>-1.8154939878499001E-2</v>
      </c>
      <c r="K797" s="4">
        <v>0.01</v>
      </c>
      <c r="L797" s="5">
        <f t="shared" si="36"/>
        <v>-1.6954939878499008E-2</v>
      </c>
    </row>
    <row r="798" spans="4:12" ht="14.4" customHeight="1">
      <c r="D798" s="14">
        <v>43139</v>
      </c>
      <c r="E798" s="15">
        <v>7.0640000000000001</v>
      </c>
      <c r="F798" s="15">
        <f t="shared" si="37"/>
        <v>-3.3072930983149571E-3</v>
      </c>
      <c r="G798" s="16" cm="1">
        <f t="array" ref="G798">SUMPRODUCT(IF(((H798-$F$4:$F$515)/$B$10)&lt;=-1,0,IF(((H798-$F$4:$F$515)/$B$10)&gt;=1,1,(15/16)*(((H798-$F$4:$F$515)/$B$10)-(2/3)*((H798-$F$4:$F$515)/$B$10)^3+(1/5)*((H798-$F$4:$F$515)/$B$10)^5+8/15))))/COUNT($F$4:$F$515)</f>
        <v>4.2603333649703687E-2</v>
      </c>
      <c r="H798" s="15">
        <f t="shared" si="38"/>
        <v>-1.8054939878499002E-2</v>
      </c>
      <c r="K798" s="14">
        <v>0.01</v>
      </c>
      <c r="L798" s="15">
        <f t="shared" si="36"/>
        <v>-1.6954939878499008E-2</v>
      </c>
    </row>
    <row r="799" spans="4:12" ht="14.4" customHeight="1">
      <c r="D799" s="4">
        <v>43140</v>
      </c>
      <c r="E799" s="5">
        <v>6.9619999999999997</v>
      </c>
      <c r="F799" s="5">
        <f t="shared" si="37"/>
        <v>-6.3166716212425993E-3</v>
      </c>
      <c r="G799" s="3" cm="1">
        <f t="array" ref="G799">SUMPRODUCT(IF(((H799-$F$4:$F$515)/$B$10)&lt;=-1,0,IF(((H799-$F$4:$F$515)/$B$10)&gt;=1,1,(15/16)*(((H799-$F$4:$F$515)/$B$10)-(2/3)*((H799-$F$4:$F$515)/$B$10)^3+(1/5)*((H799-$F$4:$F$515)/$B$10)^5+8/15))))/COUNT($F$4:$F$515)</f>
        <v>4.3209964932174112E-2</v>
      </c>
      <c r="H799" s="5">
        <f t="shared" si="38"/>
        <v>-1.7954939878499002E-2</v>
      </c>
      <c r="K799" s="4">
        <v>0.01</v>
      </c>
      <c r="L799" s="5">
        <f t="shared" si="36"/>
        <v>-1.6954939878499008E-2</v>
      </c>
    </row>
    <row r="800" spans="4:12" ht="14.4" customHeight="1">
      <c r="D800" s="14">
        <v>43143</v>
      </c>
      <c r="E800" s="15">
        <v>7.0940000000000003</v>
      </c>
      <c r="F800" s="15">
        <f t="shared" si="37"/>
        <v>8.15716518765436E-3</v>
      </c>
      <c r="G800" s="16" cm="1">
        <f t="array" ref="G800">SUMPRODUCT(IF(((H800-$F$4:$F$515)/$B$10)&lt;=-1,0,IF(((H800-$F$4:$F$515)/$B$10)&gt;=1,1,(15/16)*(((H800-$F$4:$F$515)/$B$10)-(2/3)*((H800-$F$4:$F$515)/$B$10)^3+(1/5)*((H800-$F$4:$F$515)/$B$10)^5+8/15))))/COUNT($F$4:$F$515)</f>
        <v>4.3818912245040094E-2</v>
      </c>
      <c r="H800" s="15">
        <f t="shared" si="38"/>
        <v>-1.7854939878499003E-2</v>
      </c>
      <c r="K800" s="14">
        <v>0.01</v>
      </c>
      <c r="L800" s="15">
        <f t="shared" si="36"/>
        <v>-1.6954939878499008E-2</v>
      </c>
    </row>
    <row r="801" spans="4:12" ht="14.4" customHeight="1">
      <c r="D801" s="4">
        <v>43144</v>
      </c>
      <c r="E801" s="5">
        <v>7.0640000000000001</v>
      </c>
      <c r="F801" s="5">
        <f t="shared" si="37"/>
        <v>-1.8404935664117872E-3</v>
      </c>
      <c r="G801" s="3" cm="1">
        <f t="array" ref="G801">SUMPRODUCT(IF(((H801-$F$4:$F$515)/$B$10)&lt;=-1,0,IF(((H801-$F$4:$F$515)/$B$10)&gt;=1,1,(15/16)*(((H801-$F$4:$F$515)/$B$10)-(2/3)*((H801-$F$4:$F$515)/$B$10)^3+(1/5)*((H801-$F$4:$F$515)/$B$10)^5+8/15))))/COUNT($F$4:$F$515)</f>
        <v>4.4430421819530677E-2</v>
      </c>
      <c r="H801" s="5">
        <f t="shared" si="38"/>
        <v>-1.7754939878499004E-2</v>
      </c>
      <c r="K801" s="4">
        <v>0.01</v>
      </c>
      <c r="L801" s="5">
        <f t="shared" si="36"/>
        <v>-1.6954939878499008E-2</v>
      </c>
    </row>
    <row r="802" spans="4:12" ht="14.4" customHeight="1">
      <c r="D802" s="14">
        <v>43145</v>
      </c>
      <c r="E802" s="15">
        <v>7.0679999999999996</v>
      </c>
      <c r="F802" s="15">
        <f t="shared" si="37"/>
        <v>2.458502652142298E-4</v>
      </c>
      <c r="G802" s="16" cm="1">
        <f t="array" ref="G802">SUMPRODUCT(IF(((H802-$F$4:$F$515)/$B$10)&lt;=-1,0,IF(((H802-$F$4:$F$515)/$B$10)&gt;=1,1,(15/16)*(((H802-$F$4:$F$515)/$B$10)-(2/3)*((H802-$F$4:$F$515)/$B$10)^3+(1/5)*((H802-$F$4:$F$515)/$B$10)^5+8/15))))/COUNT($F$4:$F$515)</f>
        <v>4.5045203103026302E-2</v>
      </c>
      <c r="H802" s="15">
        <f t="shared" si="38"/>
        <v>-1.7654939878499004E-2</v>
      </c>
      <c r="K802" s="14">
        <v>0.01</v>
      </c>
      <c r="L802" s="15">
        <f t="shared" si="36"/>
        <v>-1.6954939878499008E-2</v>
      </c>
    </row>
    <row r="803" spans="4:12" ht="14.4" customHeight="1">
      <c r="D803" s="4">
        <v>43146</v>
      </c>
      <c r="E803" s="5">
        <v>7.0259999999999998</v>
      </c>
      <c r="F803" s="5">
        <f t="shared" si="37"/>
        <v>-2.5883953787197069E-3</v>
      </c>
      <c r="G803" s="3" cm="1">
        <f t="array" ref="G803">SUMPRODUCT(IF(((H803-$F$4:$F$515)/$B$10)&lt;=-1,0,IF(((H803-$F$4:$F$515)/$B$10)&gt;=1,1,(15/16)*(((H803-$F$4:$F$515)/$B$10)-(2/3)*((H803-$F$4:$F$515)/$B$10)^3+(1/5)*((H803-$F$4:$F$515)/$B$10)^5+8/15))))/COUNT($F$4:$F$515)</f>
        <v>4.5663997890025364E-2</v>
      </c>
      <c r="H803" s="5">
        <f t="shared" si="38"/>
        <v>-1.7554939878499005E-2</v>
      </c>
      <c r="K803" s="4">
        <v>0.01</v>
      </c>
      <c r="L803" s="5">
        <f t="shared" si="36"/>
        <v>-1.6954939878499008E-2</v>
      </c>
    </row>
    <row r="804" spans="4:12" ht="14.4" customHeight="1">
      <c r="D804" s="14">
        <v>43147</v>
      </c>
      <c r="E804" s="15">
        <v>7.0739999999999998</v>
      </c>
      <c r="F804" s="15">
        <f t="shared" si="37"/>
        <v>2.9569100227259796E-3</v>
      </c>
      <c r="G804" s="16" cm="1">
        <f t="array" ref="G804">SUMPRODUCT(IF(((H804-$F$4:$F$515)/$B$10)&lt;=-1,0,IF(((H804-$F$4:$F$515)/$B$10)&gt;=1,1,(15/16)*(((H804-$F$4:$F$515)/$B$10)-(2/3)*((H804-$F$4:$F$515)/$B$10)^3+(1/5)*((H804-$F$4:$F$515)/$B$10)^5+8/15))))/COUNT($F$4:$F$515)</f>
        <v>4.6287667623795582E-2</v>
      </c>
      <c r="H804" s="15">
        <f t="shared" si="38"/>
        <v>-1.7454939878499005E-2</v>
      </c>
      <c r="K804" s="14">
        <v>0.01</v>
      </c>
      <c r="L804" s="15">
        <f t="shared" si="36"/>
        <v>-1.6954939878499008E-2</v>
      </c>
    </row>
    <row r="805" spans="4:12" ht="14.4" customHeight="1">
      <c r="D805" s="4">
        <v>43150</v>
      </c>
      <c r="E805" s="5">
        <v>7.17</v>
      </c>
      <c r="F805" s="5">
        <f t="shared" si="37"/>
        <v>5.8541001890674059E-3</v>
      </c>
      <c r="G805" s="3" cm="1">
        <f t="array" ref="G805">SUMPRODUCT(IF(((H805-$F$4:$F$515)/$B$10)&lt;=-1,0,IF(((H805-$F$4:$F$515)/$B$10)&gt;=1,1,(15/16)*(((H805-$F$4:$F$515)/$B$10)-(2/3)*((H805-$F$4:$F$515)/$B$10)^3+(1/5)*((H805-$F$4:$F$515)/$B$10)^5+8/15))))/COUNT($F$4:$F$515)</f>
        <v>4.6917279410621723E-2</v>
      </c>
      <c r="H805" s="5">
        <f t="shared" si="38"/>
        <v>-1.7354939878499006E-2</v>
      </c>
      <c r="K805" s="4">
        <v>0.01</v>
      </c>
      <c r="L805" s="5">
        <f t="shared" si="36"/>
        <v>-1.6954939878499008E-2</v>
      </c>
    </row>
    <row r="806" spans="4:12" ht="14.4" customHeight="1">
      <c r="D806" s="14">
        <v>43151</v>
      </c>
      <c r="E806" s="15">
        <v>7.0620000000000003</v>
      </c>
      <c r="F806" s="15">
        <f t="shared" si="37"/>
        <v>-6.5914424407217667E-3</v>
      </c>
      <c r="G806" s="16" cm="1">
        <f t="array" ref="G806">SUMPRODUCT(IF(((H806-$F$4:$F$515)/$B$10)&lt;=-1,0,IF(((H806-$F$4:$F$515)/$B$10)&gt;=1,1,(15/16)*(((H806-$F$4:$F$515)/$B$10)-(2/3)*((H806-$F$4:$F$515)/$B$10)^3+(1/5)*((H806-$F$4:$F$515)/$B$10)^5+8/15))))/COUNT($F$4:$F$515)</f>
        <v>4.7554085568427724E-2</v>
      </c>
      <c r="H806" s="15">
        <f t="shared" si="38"/>
        <v>-1.7254939878499007E-2</v>
      </c>
      <c r="K806" s="14">
        <v>0.01</v>
      </c>
      <c r="L806" s="15">
        <f t="shared" si="36"/>
        <v>-1.6954939878499008E-2</v>
      </c>
    </row>
    <row r="807" spans="4:12" ht="14.4" customHeight="1">
      <c r="D807" s="4">
        <v>43152</v>
      </c>
      <c r="E807" s="5">
        <v>7.0739999999999998</v>
      </c>
      <c r="F807" s="5">
        <f t="shared" si="37"/>
        <v>7.3734225165438384E-4</v>
      </c>
      <c r="G807" s="3" cm="1">
        <f t="array" ref="G807">SUMPRODUCT(IF(((H807-$F$4:$F$515)/$B$10)&lt;=-1,0,IF(((H807-$F$4:$F$515)/$B$10)&gt;=1,1,(15/16)*(((H807-$F$4:$F$515)/$B$10)-(2/3)*((H807-$F$4:$F$515)/$B$10)^3+(1/5)*((H807-$F$4:$F$515)/$B$10)^5+8/15))))/COUNT($F$4:$F$515)</f>
        <v>4.8199426701826663E-2</v>
      </c>
      <c r="H807" s="5">
        <f t="shared" si="38"/>
        <v>-1.7154939878499007E-2</v>
      </c>
      <c r="K807" s="4">
        <v>0.01</v>
      </c>
      <c r="L807" s="5">
        <f t="shared" si="36"/>
        <v>-1.6954939878499008E-2</v>
      </c>
    </row>
    <row r="808" spans="4:12" ht="14.4" customHeight="1">
      <c r="D808" s="14">
        <v>43153</v>
      </c>
      <c r="E808" s="15">
        <v>7.1059999999999999</v>
      </c>
      <c r="F808" s="15">
        <f t="shared" si="37"/>
        <v>1.9601476745763754E-3</v>
      </c>
      <c r="G808" s="16" cm="1">
        <f t="array" ref="G808">SUMPRODUCT(IF(((H808-$F$4:$F$515)/$B$10)&lt;=-1,0,IF(((H808-$F$4:$F$515)/$B$10)&gt;=1,1,(15/16)*(((H808-$F$4:$F$515)/$B$10)-(2/3)*((H808-$F$4:$F$515)/$B$10)^3+(1/5)*((H808-$F$4:$F$515)/$B$10)^5+8/15))))/COUNT($F$4:$F$515)</f>
        <v>4.8855055260778602E-2</v>
      </c>
      <c r="H808" s="15">
        <f t="shared" si="38"/>
        <v>-1.7054939878499008E-2</v>
      </c>
      <c r="K808" s="14">
        <v>0.01</v>
      </c>
      <c r="L808" s="15">
        <f t="shared" si="36"/>
        <v>-1.6954939878499008E-2</v>
      </c>
    </row>
    <row r="809" spans="4:12" ht="14.4" customHeight="1">
      <c r="D809" s="4">
        <v>43154</v>
      </c>
      <c r="E809" s="5">
        <v>7.056</v>
      </c>
      <c r="F809" s="5">
        <f t="shared" si="37"/>
        <v>-3.0666310295458139E-3</v>
      </c>
      <c r="G809" s="3" cm="1">
        <f t="array" ref="G809">SUMPRODUCT(IF(((H809-$F$4:$F$515)/$B$10)&lt;=-1,0,IF(((H809-$F$4:$F$515)/$B$10)&gt;=1,1,(15/16)*(((H809-$F$4:$F$515)/$B$10)-(2/3)*((H809-$F$4:$F$515)/$B$10)^3+(1/5)*((H809-$F$4:$F$515)/$B$10)^5+8/15))))/COUNT($F$4:$F$515)</f>
        <v>4.9523119529112376E-2</v>
      </c>
      <c r="H809" s="5">
        <f t="shared" si="38"/>
        <v>-1.6954939878499008E-2</v>
      </c>
      <c r="K809" s="4">
        <v>0.01</v>
      </c>
      <c r="L809" s="5">
        <f t="shared" si="36"/>
        <v>-1.6954939878499008E-2</v>
      </c>
    </row>
    <row r="810" spans="4:12" ht="14.4" customHeight="1">
      <c r="D810" s="14">
        <v>43157</v>
      </c>
      <c r="E810" s="15">
        <v>6.9880000000000004</v>
      </c>
      <c r="F810" s="15">
        <f t="shared" si="37"/>
        <v>-4.2056758128699509E-3</v>
      </c>
      <c r="G810" s="16" cm="1">
        <f t="array" ref="G810">SUMPRODUCT(IF(((H810-$F$4:$F$515)/$B$10)&lt;=-1,0,IF(((H810-$F$4:$F$515)/$B$10)&gt;=1,1,(15/16)*(((H810-$F$4:$F$515)/$B$10)-(2/3)*((H810-$F$4:$F$515)/$B$10)^3+(1/5)*((H810-$F$4:$F$515)/$B$10)^5+8/15))))/COUNT($F$4:$F$515)</f>
        <v>5.0205406680963363E-2</v>
      </c>
      <c r="H810" s="15">
        <f t="shared" si="38"/>
        <v>-1.6854939878499009E-2</v>
      </c>
      <c r="K810" s="14">
        <v>0.01</v>
      </c>
      <c r="L810" s="15">
        <f t="shared" si="36"/>
        <v>-1.6954939878499008E-2</v>
      </c>
    </row>
    <row r="811" spans="4:12" ht="14.4" customHeight="1">
      <c r="D811" s="4">
        <v>43158</v>
      </c>
      <c r="E811" s="5">
        <v>7.0759999999999996</v>
      </c>
      <c r="F811" s="5">
        <f t="shared" si="37"/>
        <v>5.434927926792097E-3</v>
      </c>
      <c r="G811" s="3" cm="1">
        <f t="array" ref="G811">SUMPRODUCT(IF(((H811-$F$4:$F$515)/$B$10)&lt;=-1,0,IF(((H811-$F$4:$F$515)/$B$10)&gt;=1,1,(15/16)*(((H811-$F$4:$F$515)/$B$10)-(2/3)*((H811-$F$4:$F$515)/$B$10)^3+(1/5)*((H811-$F$4:$F$515)/$B$10)^5+8/15))))/COUNT($F$4:$F$515)</f>
        <v>5.0903126612512957E-2</v>
      </c>
      <c r="H811" s="5">
        <f t="shared" si="38"/>
        <v>-1.675493987849901E-2</v>
      </c>
      <c r="K811" s="4">
        <v>0.01</v>
      </c>
      <c r="L811" s="5">
        <f t="shared" si="36"/>
        <v>-1.6954939878499008E-2</v>
      </c>
    </row>
    <row r="812" spans="4:12" ht="14.4" customHeight="1">
      <c r="D812" s="14">
        <v>43159</v>
      </c>
      <c r="E812" s="15">
        <v>7.1</v>
      </c>
      <c r="F812" s="15">
        <f t="shared" si="37"/>
        <v>1.4705244813898025E-3</v>
      </c>
      <c r="G812" s="16" cm="1">
        <f t="array" ref="G812">SUMPRODUCT(IF(((H812-$F$4:$F$515)/$B$10)&lt;=-1,0,IF(((H812-$F$4:$F$515)/$B$10)&gt;=1,1,(15/16)*(((H812-$F$4:$F$515)/$B$10)-(2/3)*((H812-$F$4:$F$515)/$B$10)^3+(1/5)*((H812-$F$4:$F$515)/$B$10)^5+8/15))))/COUNT($F$4:$F$515)</f>
        <v>5.1617428563362211E-2</v>
      </c>
      <c r="H812" s="15">
        <f t="shared" si="38"/>
        <v>-1.665493987849901E-2</v>
      </c>
      <c r="K812" s="14">
        <v>0.01</v>
      </c>
      <c r="L812" s="15">
        <f t="shared" si="36"/>
        <v>-1.6954939878499008E-2</v>
      </c>
    </row>
    <row r="813" spans="4:12" ht="14.4" customHeight="1">
      <c r="D813" s="4">
        <v>43160</v>
      </c>
      <c r="E813" s="5">
        <v>7.008</v>
      </c>
      <c r="F813" s="5">
        <f t="shared" si="37"/>
        <v>-5.6642555590509349E-3</v>
      </c>
      <c r="G813" s="3" cm="1">
        <f t="array" ref="G813">SUMPRODUCT(IF(((H813-$F$4:$F$515)/$B$10)&lt;=-1,0,IF(((H813-$F$4:$F$515)/$B$10)&gt;=1,1,(15/16)*(((H813-$F$4:$F$515)/$B$10)-(2/3)*((H813-$F$4:$F$515)/$B$10)^3+(1/5)*((H813-$F$4:$F$515)/$B$10)^5+8/15))))/COUNT($F$4:$F$515)</f>
        <v>5.2349583191562438E-2</v>
      </c>
      <c r="H813" s="5">
        <f t="shared" si="38"/>
        <v>-1.6554939878499011E-2</v>
      </c>
      <c r="K813" s="4">
        <v>0.01</v>
      </c>
      <c r="L813" s="5">
        <f t="shared" si="36"/>
        <v>-1.6954939878499008E-2</v>
      </c>
    </row>
    <row r="814" spans="4:12" ht="14.4" customHeight="1">
      <c r="D814" s="14">
        <v>43161</v>
      </c>
      <c r="E814" s="15">
        <v>6.7220000000000004</v>
      </c>
      <c r="F814" s="15">
        <f t="shared" si="37"/>
        <v>-1.8095585026565674E-2</v>
      </c>
      <c r="G814" s="16" cm="1">
        <f t="array" ref="G814">SUMPRODUCT(IF(((H814-$F$4:$F$515)/$B$10)&lt;=-1,0,IF(((H814-$F$4:$F$515)/$B$10)&gt;=1,1,(15/16)*(((H814-$F$4:$F$515)/$B$10)-(2/3)*((H814-$F$4:$F$515)/$B$10)^3+(1/5)*((H814-$F$4:$F$515)/$B$10)^5+8/15))))/COUNT($F$4:$F$515)</f>
        <v>5.3100486441697931E-2</v>
      </c>
      <c r="H814" s="15">
        <f t="shared" si="38"/>
        <v>-1.6454939878499011E-2</v>
      </c>
      <c r="K814" s="14">
        <v>0.01</v>
      </c>
      <c r="L814" s="15">
        <f t="shared" si="36"/>
        <v>-1.6954939878499008E-2</v>
      </c>
    </row>
    <row r="815" spans="4:12" ht="14.4" customHeight="1">
      <c r="D815" s="4">
        <v>43164</v>
      </c>
      <c r="E815" s="5">
        <v>6.74</v>
      </c>
      <c r="F815" s="5">
        <f t="shared" si="37"/>
        <v>1.1613884018611708E-3</v>
      </c>
      <c r="G815" s="3" cm="1">
        <f t="array" ref="G815">SUMPRODUCT(IF(((H815-$F$4:$F$515)/$B$10)&lt;=-1,0,IF(((H815-$F$4:$F$515)/$B$10)&gt;=1,1,(15/16)*(((H815-$F$4:$F$515)/$B$10)-(2/3)*((H815-$F$4:$F$515)/$B$10)^3+(1/5)*((H815-$F$4:$F$515)/$B$10)^5+8/15))))/COUNT($F$4:$F$515)</f>
        <v>5.3870956928595705E-2</v>
      </c>
      <c r="H815" s="5">
        <f t="shared" si="38"/>
        <v>-1.6354939878499012E-2</v>
      </c>
      <c r="K815" s="4">
        <v>0.01</v>
      </c>
      <c r="L815" s="5">
        <f t="shared" si="36"/>
        <v>-1.6954939878499008E-2</v>
      </c>
    </row>
    <row r="816" spans="4:12" ht="14.4" customHeight="1">
      <c r="D816" s="14">
        <v>43165</v>
      </c>
      <c r="E816" s="15">
        <v>6.7919999999999998</v>
      </c>
      <c r="F816" s="15">
        <f t="shared" si="37"/>
        <v>3.3377807005763893E-3</v>
      </c>
      <c r="G816" s="16" cm="1">
        <f t="array" ref="G816">SUMPRODUCT(IF(((H816-$F$4:$F$515)/$B$10)&lt;=-1,0,IF(((H816-$F$4:$F$515)/$B$10)&gt;=1,1,(15/16)*(((H816-$F$4:$F$515)/$B$10)-(2/3)*((H816-$F$4:$F$515)/$B$10)^3+(1/5)*((H816-$F$4:$F$515)/$B$10)^5+8/15))))/COUNT($F$4:$F$515)</f>
        <v>5.4661856131467096E-2</v>
      </c>
      <c r="H816" s="15">
        <f t="shared" si="38"/>
        <v>-1.6254939878499013E-2</v>
      </c>
      <c r="K816" s="14">
        <v>0.01</v>
      </c>
      <c r="L816" s="15">
        <f t="shared" si="36"/>
        <v>-1.6954939878499008E-2</v>
      </c>
    </row>
    <row r="817" spans="4:12" ht="14.4" customHeight="1">
      <c r="D817" s="4">
        <v>43166</v>
      </c>
      <c r="E817" s="5">
        <v>6.8140000000000001</v>
      </c>
      <c r="F817" s="5">
        <f t="shared" si="37"/>
        <v>1.4044519959623555E-3</v>
      </c>
      <c r="G817" s="3" cm="1">
        <f t="array" ref="G817">SUMPRODUCT(IF(((H817-$F$4:$F$515)/$B$10)&lt;=-1,0,IF(((H817-$F$4:$F$515)/$B$10)&gt;=1,1,(15/16)*(((H817-$F$4:$F$515)/$B$10)-(2/3)*((H817-$F$4:$F$515)/$B$10)^3+(1/5)*((H817-$F$4:$F$515)/$B$10)^5+8/15))))/COUNT($F$4:$F$515)</f>
        <v>5.5474052235363946E-2</v>
      </c>
      <c r="H817" s="5">
        <f t="shared" si="38"/>
        <v>-1.6154939878499013E-2</v>
      </c>
      <c r="K817" s="4">
        <v>0.01</v>
      </c>
      <c r="L817" s="5">
        <f t="shared" si="36"/>
        <v>-1.6954939878499008E-2</v>
      </c>
    </row>
    <row r="818" spans="4:12" ht="14.4" customHeight="1">
      <c r="D818" s="14">
        <v>43167</v>
      </c>
      <c r="E818" s="15">
        <v>6.9059999999999997</v>
      </c>
      <c r="F818" s="15">
        <f t="shared" si="37"/>
        <v>5.8244447815768013E-3</v>
      </c>
      <c r="G818" s="16" cm="1">
        <f t="array" ref="G818">SUMPRODUCT(IF(((H818-$F$4:$F$515)/$B$10)&lt;=-1,0,IF(((H818-$F$4:$F$515)/$B$10)&gt;=1,1,(15/16)*(((H818-$F$4:$F$515)/$B$10)-(2/3)*((H818-$F$4:$F$515)/$B$10)^3+(1/5)*((H818-$F$4:$F$515)/$B$10)^5+8/15))))/COUNT($F$4:$F$515)</f>
        <v>5.6308590504756451E-2</v>
      </c>
      <c r="H818" s="15">
        <f t="shared" si="38"/>
        <v>-1.6054939878499014E-2</v>
      </c>
      <c r="K818" s="14">
        <v>0.01</v>
      </c>
      <c r="L818" s="15">
        <f t="shared" si="36"/>
        <v>-1.6954939878499008E-2</v>
      </c>
    </row>
    <row r="819" spans="4:12" ht="14.4" customHeight="1">
      <c r="D819" s="4">
        <v>43168</v>
      </c>
      <c r="E819" s="5">
        <v>6.89</v>
      </c>
      <c r="F819" s="5">
        <f t="shared" si="37"/>
        <v>-1.0073521058096176E-3</v>
      </c>
      <c r="G819" s="3" cm="1">
        <f t="array" ref="G819">SUMPRODUCT(IF(((H819-$F$4:$F$515)/$B$10)&lt;=-1,0,IF(((H819-$F$4:$F$515)/$B$10)&gt;=1,1,(15/16)*(((H819-$F$4:$F$515)/$B$10)-(2/3)*((H819-$F$4:$F$515)/$B$10)^3+(1/5)*((H819-$F$4:$F$515)/$B$10)^5+8/15))))/COUNT($F$4:$F$515)</f>
        <v>5.7166062225112654E-2</v>
      </c>
      <c r="H819" s="5">
        <f t="shared" si="38"/>
        <v>-1.5954939878499014E-2</v>
      </c>
      <c r="K819" s="4">
        <v>0.01</v>
      </c>
      <c r="L819" s="5">
        <f t="shared" si="36"/>
        <v>-1.6954939878499008E-2</v>
      </c>
    </row>
    <row r="820" spans="4:12" ht="14.4" customHeight="1">
      <c r="D820" s="14">
        <v>43171</v>
      </c>
      <c r="E820" s="15">
        <v>6.9260000000000002</v>
      </c>
      <c r="F820" s="15">
        <f t="shared" si="37"/>
        <v>2.2632653058161957E-3</v>
      </c>
      <c r="G820" s="16" cm="1">
        <f t="array" ref="G820">SUMPRODUCT(IF(((H820-$F$4:$F$515)/$B$10)&lt;=-1,0,IF(((H820-$F$4:$F$515)/$B$10)&gt;=1,1,(15/16)*(((H820-$F$4:$F$515)/$B$10)-(2/3)*((H820-$F$4:$F$515)/$B$10)^3+(1/5)*((H820-$F$4:$F$515)/$B$10)^5+8/15))))/COUNT($F$4:$F$515)</f>
        <v>5.804659766365592E-2</v>
      </c>
      <c r="H820" s="15">
        <f t="shared" si="38"/>
        <v>-1.5854939878499015E-2</v>
      </c>
      <c r="K820" s="14">
        <v>0.01</v>
      </c>
      <c r="L820" s="15">
        <f t="shared" si="36"/>
        <v>-1.6954939878499008E-2</v>
      </c>
    </row>
    <row r="821" spans="4:12" ht="14.4" customHeight="1">
      <c r="D821" s="4">
        <v>43172</v>
      </c>
      <c r="E821" s="5">
        <v>6.9320000000000004</v>
      </c>
      <c r="F821" s="5">
        <f t="shared" si="37"/>
        <v>3.7606682843741116E-4</v>
      </c>
      <c r="G821" s="3" cm="1">
        <f t="array" ref="G821">SUMPRODUCT(IF(((H821-$F$4:$F$515)/$B$10)&lt;=-1,0,IF(((H821-$F$4:$F$515)/$B$10)&gt;=1,1,(15/16)*(((H821-$F$4:$F$515)/$B$10)-(2/3)*((H821-$F$4:$F$515)/$B$10)^3+(1/5)*((H821-$F$4:$F$515)/$B$10)^5+8/15))))/COUNT($F$4:$F$515)</f>
        <v>5.8950059395159425E-2</v>
      </c>
      <c r="H821" s="5">
        <f t="shared" si="38"/>
        <v>-1.5754939878499016E-2</v>
      </c>
      <c r="K821" s="4">
        <v>0.01</v>
      </c>
      <c r="L821" s="5">
        <f t="shared" si="36"/>
        <v>-1.6954939878499008E-2</v>
      </c>
    </row>
    <row r="822" spans="4:12" ht="14.4" customHeight="1">
      <c r="D822" s="14">
        <v>43173</v>
      </c>
      <c r="E822" s="15">
        <v>6.9020000000000001</v>
      </c>
      <c r="F822" s="15">
        <f t="shared" si="37"/>
        <v>-1.8835990864113465E-3</v>
      </c>
      <c r="G822" s="16" cm="1">
        <f t="array" ref="G822">SUMPRODUCT(IF(((H822-$F$4:$F$515)/$B$10)&lt;=-1,0,IF(((H822-$F$4:$F$515)/$B$10)&gt;=1,1,(15/16)*(((H822-$F$4:$F$515)/$B$10)-(2/3)*((H822-$F$4:$F$515)/$B$10)^3+(1/5)*((H822-$F$4:$F$515)/$B$10)^5+8/15))))/COUNT($F$4:$F$515)</f>
        <v>5.9875931813936731E-2</v>
      </c>
      <c r="H822" s="15">
        <f t="shared" si="38"/>
        <v>-1.5654939878499016E-2</v>
      </c>
      <c r="K822" s="14">
        <v>0.01</v>
      </c>
      <c r="L822" s="15">
        <f t="shared" si="36"/>
        <v>-1.6954939878499008E-2</v>
      </c>
    </row>
    <row r="823" spans="4:12" ht="14.4" customHeight="1">
      <c r="D823" s="4">
        <v>43174</v>
      </c>
      <c r="E823" s="5">
        <v>6.8840000000000003</v>
      </c>
      <c r="F823" s="5">
        <f t="shared" si="37"/>
        <v>-1.1340932999453963E-3</v>
      </c>
      <c r="G823" s="3" cm="1">
        <f t="array" ref="G823">SUMPRODUCT(IF(((H823-$F$4:$F$515)/$B$10)&lt;=-1,0,IF(((H823-$F$4:$F$515)/$B$10)&gt;=1,1,(15/16)*(((H823-$F$4:$F$515)/$B$10)-(2/3)*((H823-$F$4:$F$515)/$B$10)^3+(1/5)*((H823-$F$4:$F$515)/$B$10)^5+8/15))))/COUNT($F$4:$F$515)</f>
        <v>6.0823582093468609E-2</v>
      </c>
      <c r="H823" s="5">
        <f t="shared" si="38"/>
        <v>-1.5554939878499017E-2</v>
      </c>
      <c r="K823" s="4">
        <v>0.01</v>
      </c>
      <c r="L823" s="5">
        <f t="shared" si="36"/>
        <v>-1.6954939878499008E-2</v>
      </c>
    </row>
    <row r="824" spans="4:12" ht="14.4" customHeight="1">
      <c r="D824" s="14">
        <v>43175</v>
      </c>
      <c r="E824" s="15">
        <v>6.91</v>
      </c>
      <c r="F824" s="15">
        <f t="shared" si="37"/>
        <v>1.6371857186757246E-3</v>
      </c>
      <c r="G824" s="16" cm="1">
        <f t="array" ref="G824">SUMPRODUCT(IF(((H824-$F$4:$F$515)/$B$10)&lt;=-1,0,IF(((H824-$F$4:$F$515)/$B$10)&gt;=1,1,(15/16)*(((H824-$F$4:$F$515)/$B$10)-(2/3)*((H824-$F$4:$F$515)/$B$10)^3+(1/5)*((H824-$F$4:$F$515)/$B$10)^5+8/15))))/COUNT($F$4:$F$515)</f>
        <v>6.1792772537150507E-2</v>
      </c>
      <c r="H824" s="15">
        <f t="shared" si="38"/>
        <v>-1.5454939878499017E-2</v>
      </c>
      <c r="K824" s="14">
        <v>0.01</v>
      </c>
      <c r="L824" s="15">
        <f t="shared" si="36"/>
        <v>-1.6954939878499008E-2</v>
      </c>
    </row>
    <row r="825" spans="4:12" ht="14.4" customHeight="1">
      <c r="D825" s="4">
        <v>43178</v>
      </c>
      <c r="E825" s="5">
        <v>6.8579999999999997</v>
      </c>
      <c r="F825" s="5">
        <f t="shared" si="37"/>
        <v>-3.2805665952730595E-3</v>
      </c>
      <c r="G825" s="3" cm="1">
        <f t="array" ref="G825">SUMPRODUCT(IF(((H825-$F$4:$F$515)/$B$10)&lt;=-1,0,IF(((H825-$F$4:$F$515)/$B$10)&gt;=1,1,(15/16)*(((H825-$F$4:$F$515)/$B$10)-(2/3)*((H825-$F$4:$F$515)/$B$10)^3+(1/5)*((H825-$F$4:$F$515)/$B$10)^5+8/15))))/COUNT($F$4:$F$515)</f>
        <v>6.278326979787556E-2</v>
      </c>
      <c r="H825" s="5">
        <f t="shared" si="38"/>
        <v>-1.5354939878499018E-2</v>
      </c>
      <c r="K825" s="4">
        <v>0.01</v>
      </c>
      <c r="L825" s="5">
        <f t="shared" si="36"/>
        <v>-1.6954939878499008E-2</v>
      </c>
    </row>
    <row r="826" spans="4:12" ht="14.4" customHeight="1">
      <c r="D826" s="14">
        <v>43179</v>
      </c>
      <c r="E826" s="15">
        <v>6.9480000000000004</v>
      </c>
      <c r="F826" s="15">
        <f t="shared" si="37"/>
        <v>5.6623289961357081E-3</v>
      </c>
      <c r="G826" s="16" cm="1">
        <f t="array" ref="G826">SUMPRODUCT(IF(((H826-$F$4:$F$515)/$B$10)&lt;=-1,0,IF(((H826-$F$4:$F$515)/$B$10)&gt;=1,1,(15/16)*(((H826-$F$4:$F$515)/$B$10)-(2/3)*((H826-$F$4:$F$515)/$B$10)^3+(1/5)*((H826-$F$4:$F$515)/$B$10)^5+8/15))))/COUNT($F$4:$F$515)</f>
        <v>6.3794575672888473E-2</v>
      </c>
      <c r="H826" s="15">
        <f t="shared" si="38"/>
        <v>-1.5254939878499019E-2</v>
      </c>
      <c r="K826" s="14">
        <v>0.01</v>
      </c>
      <c r="L826" s="15">
        <f t="shared" si="36"/>
        <v>-1.6954939878499008E-2</v>
      </c>
    </row>
    <row r="827" spans="4:12" ht="14.4" customHeight="1">
      <c r="D827" s="4">
        <v>43180</v>
      </c>
      <c r="E827" s="5">
        <v>6.944</v>
      </c>
      <c r="F827" s="5">
        <f t="shared" si="37"/>
        <v>-2.5009760662555075E-4</v>
      </c>
      <c r="G827" s="3" cm="1">
        <f t="array" ref="G827">SUMPRODUCT(IF(((H827-$F$4:$F$515)/$B$10)&lt;=-1,0,IF(((H827-$F$4:$F$515)/$B$10)&gt;=1,1,(15/16)*(((H827-$F$4:$F$515)/$B$10)-(2/3)*((H827-$F$4:$F$515)/$B$10)^3+(1/5)*((H827-$F$4:$F$515)/$B$10)^5+8/15))))/COUNT($F$4:$F$515)</f>
        <v>6.4825936998422359E-2</v>
      </c>
      <c r="H827" s="5">
        <f t="shared" si="38"/>
        <v>-1.5154939878499019E-2</v>
      </c>
      <c r="K827" s="4">
        <v>0.01</v>
      </c>
      <c r="L827" s="5">
        <f t="shared" si="36"/>
        <v>-1.6954939878499008E-2</v>
      </c>
    </row>
    <row r="828" spans="4:12" ht="14.4" customHeight="1">
      <c r="D828" s="14">
        <v>43181</v>
      </c>
      <c r="E828" s="15">
        <v>6.7439999999999998</v>
      </c>
      <c r="F828" s="15">
        <f t="shared" si="37"/>
        <v>-1.2692150551749602E-2</v>
      </c>
      <c r="G828" s="16" cm="1">
        <f t="array" ref="G828">SUMPRODUCT(IF(((H828-$F$4:$F$515)/$B$10)&lt;=-1,0,IF(((H828-$F$4:$F$515)/$B$10)&gt;=1,1,(15/16)*(((H828-$F$4:$F$515)/$B$10)-(2/3)*((H828-$F$4:$F$515)/$B$10)^3+(1/5)*((H828-$F$4:$F$515)/$B$10)^5+8/15))))/COUNT($F$4:$F$515)</f>
        <v>6.587636416881347E-2</v>
      </c>
      <c r="H828" s="15">
        <f t="shared" si="38"/>
        <v>-1.505493987849902E-2</v>
      </c>
      <c r="K828" s="14">
        <v>0.01</v>
      </c>
      <c r="L828" s="15">
        <f t="shared" si="36"/>
        <v>-1.6954939878499008E-2</v>
      </c>
    </row>
    <row r="829" spans="4:12" ht="14.4" customHeight="1">
      <c r="D829" s="4">
        <v>43182</v>
      </c>
      <c r="E829" s="5">
        <v>6.67</v>
      </c>
      <c r="F829" s="5">
        <f t="shared" si="37"/>
        <v>-4.7917277001369215E-3</v>
      </c>
      <c r="G829" s="3" cm="1">
        <f t="array" ref="G829">SUMPRODUCT(IF(((H829-$F$4:$F$515)/$B$10)&lt;=-1,0,IF(((H829-$F$4:$F$515)/$B$10)&gt;=1,1,(15/16)*(((H829-$F$4:$F$515)/$B$10)-(2/3)*((H829-$F$4:$F$515)/$B$10)^3+(1/5)*((H829-$F$4:$F$515)/$B$10)^5+8/15))))/COUNT($F$4:$F$515)</f>
        <v>6.6944673268399216E-2</v>
      </c>
      <c r="H829" s="5">
        <f t="shared" si="38"/>
        <v>-1.495493987849902E-2</v>
      </c>
      <c r="K829" s="4">
        <v>0.01</v>
      </c>
      <c r="L829" s="5">
        <f t="shared" si="36"/>
        <v>-1.6954939878499008E-2</v>
      </c>
    </row>
    <row r="830" spans="4:12" ht="14.4" customHeight="1">
      <c r="D830" s="14">
        <v>43185</v>
      </c>
      <c r="E830" s="15">
        <v>6.6239999999999997</v>
      </c>
      <c r="F830" s="15">
        <f t="shared" si="37"/>
        <v>-3.0055101397252425E-3</v>
      </c>
      <c r="G830" s="16" cm="1">
        <f t="array" ref="G830">SUMPRODUCT(IF(((H830-$F$4:$F$515)/$B$10)&lt;=-1,0,IF(((H830-$F$4:$F$515)/$B$10)&gt;=1,1,(15/16)*(((H830-$F$4:$F$515)/$B$10)-(2/3)*((H830-$F$4:$F$515)/$B$10)^3+(1/5)*((H830-$F$4:$F$515)/$B$10)^5+8/15))))/COUNT($F$4:$F$515)</f>
        <v>6.8029663499454107E-2</v>
      </c>
      <c r="H830" s="15">
        <f t="shared" si="38"/>
        <v>-1.4854939878499021E-2</v>
      </c>
      <c r="K830" s="14">
        <v>0.01</v>
      </c>
      <c r="L830" s="15">
        <f t="shared" si="36"/>
        <v>-1.6954939878499008E-2</v>
      </c>
    </row>
    <row r="831" spans="4:12" ht="14.4" customHeight="1">
      <c r="D831" s="4">
        <v>43186</v>
      </c>
      <c r="E831" s="5">
        <v>6.7560000000000002</v>
      </c>
      <c r="F831" s="5">
        <f t="shared" si="37"/>
        <v>8.5693171221473182E-3</v>
      </c>
      <c r="G831" s="3" cm="1">
        <f t="array" ref="G831">SUMPRODUCT(IF(((H831-$F$4:$F$515)/$B$10)&lt;=-1,0,IF(((H831-$F$4:$F$515)/$B$10)&gt;=1,1,(15/16)*(((H831-$F$4:$F$515)/$B$10)-(2/3)*((H831-$F$4:$F$515)/$B$10)^3+(1/5)*((H831-$F$4:$F$515)/$B$10)^5+8/15))))/COUNT($F$4:$F$515)</f>
        <v>6.9130238977803252E-2</v>
      </c>
      <c r="H831" s="5">
        <f t="shared" si="38"/>
        <v>-1.4754939878499022E-2</v>
      </c>
      <c r="K831" s="4">
        <v>0.01</v>
      </c>
      <c r="L831" s="5">
        <f t="shared" si="36"/>
        <v>-1.6954939878499008E-2</v>
      </c>
    </row>
    <row r="832" spans="4:12" ht="14.4" customHeight="1">
      <c r="D832" s="14">
        <v>43187</v>
      </c>
      <c r="E832" s="15">
        <v>6.6859999999999999</v>
      </c>
      <c r="F832" s="15">
        <f t="shared" si="37"/>
        <v>-4.5232686424213709E-3</v>
      </c>
      <c r="G832" s="16" cm="1">
        <f t="array" ref="G832">SUMPRODUCT(IF(((H832-$F$4:$F$515)/$B$10)&lt;=-1,0,IF(((H832-$F$4:$F$515)/$B$10)&gt;=1,1,(15/16)*(((H832-$F$4:$F$515)/$B$10)-(2/3)*((H832-$F$4:$F$515)/$B$10)^3+(1/5)*((H832-$F$4:$F$515)/$B$10)^5+8/15))))/COUNT($F$4:$F$515)</f>
        <v>7.0245470157138779E-2</v>
      </c>
      <c r="H832" s="15">
        <f t="shared" si="38"/>
        <v>-1.4654939878499022E-2</v>
      </c>
      <c r="K832" s="14">
        <v>0.01</v>
      </c>
      <c r="L832" s="15">
        <f t="shared" si="36"/>
        <v>-1.6954939878499008E-2</v>
      </c>
    </row>
    <row r="833" spans="4:12" ht="14.4" customHeight="1">
      <c r="D833" s="4">
        <v>43188</v>
      </c>
      <c r="E833" s="5">
        <v>6.6580000000000004</v>
      </c>
      <c r="F833" s="5">
        <f t="shared" si="37"/>
        <v>-1.8225814359011108E-3</v>
      </c>
      <c r="G833" s="3" cm="1">
        <f t="array" ref="G833">SUMPRODUCT(IF(((H833-$F$4:$F$515)/$B$10)&lt;=-1,0,IF(((H833-$F$4:$F$515)/$B$10)&gt;=1,1,(15/16)*(((H833-$F$4:$F$515)/$B$10)-(2/3)*((H833-$F$4:$F$515)/$B$10)^3+(1/5)*((H833-$F$4:$F$515)/$B$10)^5+8/15))))/COUNT($F$4:$F$515)</f>
        <v>7.1375089883769477E-2</v>
      </c>
      <c r="H833" s="5">
        <f t="shared" si="38"/>
        <v>-1.4554939878499023E-2</v>
      </c>
      <c r="K833" s="4">
        <v>0.01</v>
      </c>
      <c r="L833" s="5">
        <f t="shared" si="36"/>
        <v>-1.6954939878499008E-2</v>
      </c>
    </row>
    <row r="834" spans="4:12" ht="14.4" customHeight="1">
      <c r="D834" s="14">
        <v>43193</v>
      </c>
      <c r="E834" s="15">
        <v>6.65</v>
      </c>
      <c r="F834" s="15">
        <f t="shared" si="37"/>
        <v>-5.2214551754397166E-4</v>
      </c>
      <c r="G834" s="16" cm="1">
        <f t="array" ref="G834">SUMPRODUCT(IF(((H834-$F$4:$F$515)/$B$10)&lt;=-1,0,IF(((H834-$F$4:$F$515)/$B$10)&gt;=1,1,(15/16)*(((H834-$F$4:$F$515)/$B$10)-(2/3)*((H834-$F$4:$F$515)/$B$10)^3+(1/5)*((H834-$F$4:$F$515)/$B$10)^5+8/15))))/COUNT($F$4:$F$515)</f>
        <v>7.2518783827330541E-2</v>
      </c>
      <c r="H834" s="15">
        <f t="shared" si="38"/>
        <v>-1.4454939878499024E-2</v>
      </c>
      <c r="K834" s="14">
        <v>0.01</v>
      </c>
      <c r="L834" s="15">
        <f t="shared" si="36"/>
        <v>-1.6954939878499008E-2</v>
      </c>
    </row>
    <row r="835" spans="4:12" ht="14.4" customHeight="1">
      <c r="D835" s="4">
        <v>43194</v>
      </c>
      <c r="E835" s="5">
        <v>6.4340000000000002</v>
      </c>
      <c r="F835" s="5">
        <f t="shared" si="37"/>
        <v>-1.4340588737153583E-2</v>
      </c>
      <c r="G835" s="3" cm="1">
        <f t="array" ref="G835">SUMPRODUCT(IF(((H835-$F$4:$F$515)/$B$10)&lt;=-1,0,IF(((H835-$F$4:$F$515)/$B$10)&gt;=1,1,(15/16)*(((H835-$F$4:$F$515)/$B$10)-(2/3)*((H835-$F$4:$F$515)/$B$10)^3+(1/5)*((H835-$F$4:$F$515)/$B$10)^5+8/15))))/COUNT($F$4:$F$515)</f>
        <v>7.3676049050870135E-2</v>
      </c>
      <c r="H835" s="5">
        <f t="shared" si="38"/>
        <v>-1.4354939878499024E-2</v>
      </c>
      <c r="K835" s="4">
        <v>0.01</v>
      </c>
      <c r="L835" s="5">
        <f t="shared" si="36"/>
        <v>-1.6954939878499008E-2</v>
      </c>
    </row>
    <row r="836" spans="4:12" ht="14.4" customHeight="1">
      <c r="D836" s="14">
        <v>43195</v>
      </c>
      <c r="E836" s="15">
        <v>6.65</v>
      </c>
      <c r="F836" s="15">
        <f t="shared" si="37"/>
        <v>1.4340588737153567E-2</v>
      </c>
      <c r="G836" s="16" cm="1">
        <f t="array" ref="G836">SUMPRODUCT(IF(((H836-$F$4:$F$515)/$B$10)&lt;=-1,0,IF(((H836-$F$4:$F$515)/$B$10)&gt;=1,1,(15/16)*(((H836-$F$4:$F$515)/$B$10)-(2/3)*((H836-$F$4:$F$515)/$B$10)^3+(1/5)*((H836-$F$4:$F$515)/$B$10)^5+8/15))))/COUNT($F$4:$F$515)</f>
        <v>7.4846291052301867E-2</v>
      </c>
      <c r="H836" s="15">
        <f t="shared" si="38"/>
        <v>-1.4254939878499025E-2</v>
      </c>
      <c r="K836" s="14">
        <v>0.01</v>
      </c>
      <c r="L836" s="15">
        <f t="shared" ref="L836:L899" si="39">$B$7</f>
        <v>-1.6954939878499008E-2</v>
      </c>
    </row>
    <row r="837" spans="4:12" ht="14.4" customHeight="1">
      <c r="D837" s="4">
        <v>43196</v>
      </c>
      <c r="E837" s="5">
        <v>6.556</v>
      </c>
      <c r="F837" s="5">
        <f t="shared" ref="F837:F900" si="40">LOG(E837/E836)</f>
        <v>-6.1827004046431299E-3</v>
      </c>
      <c r="G837" s="3" cm="1">
        <f t="array" ref="G837">SUMPRODUCT(IF(((H837-$F$4:$F$515)/$B$10)&lt;=-1,0,IF(((H837-$F$4:$F$515)/$B$10)&gt;=1,1,(15/16)*(((H837-$F$4:$F$515)/$B$10)-(2/3)*((H837-$F$4:$F$515)/$B$10)^3+(1/5)*((H837-$F$4:$F$515)/$B$10)^5+8/15))))/COUNT($F$4:$F$515)</f>
        <v>7.6029097851312788E-2</v>
      </c>
      <c r="H837" s="5">
        <f t="shared" ref="H837:H900" si="41">H836+0.0001</f>
        <v>-1.4154939878499025E-2</v>
      </c>
      <c r="K837" s="4">
        <v>0.01</v>
      </c>
      <c r="L837" s="5">
        <f t="shared" si="39"/>
        <v>-1.6954939878499008E-2</v>
      </c>
    </row>
    <row r="838" spans="4:12" ht="14.4" customHeight="1">
      <c r="D838" s="14">
        <v>43199</v>
      </c>
      <c r="E838" s="15">
        <v>6.6520000000000001</v>
      </c>
      <c r="F838" s="15">
        <f t="shared" si="40"/>
        <v>6.3132956490201432E-3</v>
      </c>
      <c r="G838" s="16" cm="1">
        <f t="array" ref="G838">SUMPRODUCT(IF(((H838-$F$4:$F$515)/$B$10)&lt;=-1,0,IF(((H838-$F$4:$F$515)/$B$10)&gt;=1,1,(15/16)*(((H838-$F$4:$F$515)/$B$10)-(2/3)*((H838-$F$4:$F$515)/$B$10)^3+(1/5)*((H838-$F$4:$F$515)/$B$10)^5+8/15))))/COUNT($F$4:$F$515)</f>
        <v>7.7224160157643482E-2</v>
      </c>
      <c r="H838" s="15">
        <f t="shared" si="41"/>
        <v>-1.4054939878499026E-2</v>
      </c>
      <c r="K838" s="14">
        <v>0.01</v>
      </c>
      <c r="L838" s="15">
        <f t="shared" si="39"/>
        <v>-1.6954939878499008E-2</v>
      </c>
    </row>
    <row r="839" spans="4:12" ht="14.4" customHeight="1">
      <c r="D839" s="4">
        <v>43200</v>
      </c>
      <c r="E839" s="5">
        <v>6.6980000000000004</v>
      </c>
      <c r="F839" s="5">
        <f t="shared" si="40"/>
        <v>2.9929026563664707E-3</v>
      </c>
      <c r="G839" s="3" cm="1">
        <f t="array" ref="G839">SUMPRODUCT(IF(((H839-$F$4:$F$515)/$B$10)&lt;=-1,0,IF(((H839-$F$4:$F$515)/$B$10)&gt;=1,1,(15/16)*(((H839-$F$4:$F$515)/$B$10)-(2/3)*((H839-$F$4:$F$515)/$B$10)^3+(1/5)*((H839-$F$4:$F$515)/$B$10)^5+8/15))))/COUNT($F$4:$F$515)</f>
        <v>7.8431233703452119E-2</v>
      </c>
      <c r="H839" s="5">
        <f t="shared" si="41"/>
        <v>-1.3954939878499027E-2</v>
      </c>
      <c r="K839" s="4">
        <v>0.01</v>
      </c>
      <c r="L839" s="5">
        <f t="shared" si="39"/>
        <v>-1.6954939878499008E-2</v>
      </c>
    </row>
    <row r="840" spans="4:12" ht="14.4" customHeight="1">
      <c r="D840" s="14">
        <v>43201</v>
      </c>
      <c r="E840" s="15">
        <v>6.5679999999999996</v>
      </c>
      <c r="F840" s="15">
        <f t="shared" si="40"/>
        <v>-8.5119990924637651E-3</v>
      </c>
      <c r="G840" s="16" cm="1">
        <f t="array" ref="G840">SUMPRODUCT(IF(((H840-$F$4:$F$515)/$B$10)&lt;=-1,0,IF(((H840-$F$4:$F$515)/$B$10)&gt;=1,1,(15/16)*(((H840-$F$4:$F$515)/$B$10)-(2/3)*((H840-$F$4:$F$515)/$B$10)^3+(1/5)*((H840-$F$4:$F$515)/$B$10)^5+8/15))))/COUNT($F$4:$F$515)</f>
        <v>7.9649648504176954E-2</v>
      </c>
      <c r="H840" s="15">
        <f t="shared" si="41"/>
        <v>-1.3854939878499027E-2</v>
      </c>
      <c r="K840" s="14">
        <v>0.01</v>
      </c>
      <c r="L840" s="15">
        <f t="shared" si="39"/>
        <v>-1.6954939878499008E-2</v>
      </c>
    </row>
    <row r="841" spans="4:12" ht="14.4" customHeight="1">
      <c r="D841" s="4">
        <v>43202</v>
      </c>
      <c r="E841" s="5">
        <v>6.6959999999999997</v>
      </c>
      <c r="F841" s="5">
        <f t="shared" si="40"/>
        <v>8.3823008738192362E-3</v>
      </c>
      <c r="G841" s="3" cm="1">
        <f t="array" ref="G841">SUMPRODUCT(IF(((H841-$F$4:$F$515)/$B$10)&lt;=-1,0,IF(((H841-$F$4:$F$515)/$B$10)&gt;=1,1,(15/16)*(((H841-$F$4:$F$515)/$B$10)-(2/3)*((H841-$F$4:$F$515)/$B$10)^3+(1/5)*((H841-$F$4:$F$515)/$B$10)^5+8/15))))/COUNT($F$4:$F$515)</f>
        <v>8.0878907608583309E-2</v>
      </c>
      <c r="H841" s="5">
        <f t="shared" si="41"/>
        <v>-1.3754939878499028E-2</v>
      </c>
      <c r="K841" s="4">
        <v>0.01</v>
      </c>
      <c r="L841" s="5">
        <f t="shared" si="39"/>
        <v>-1.6954939878499008E-2</v>
      </c>
    </row>
    <row r="842" spans="4:12" ht="14.4" customHeight="1">
      <c r="D842" s="14">
        <v>43203</v>
      </c>
      <c r="E842" s="15">
        <v>6.6479999999999997</v>
      </c>
      <c r="F842" s="15">
        <f t="shared" si="40"/>
        <v>-3.1244342091489817E-3</v>
      </c>
      <c r="G842" s="16" cm="1">
        <f t="array" ref="G842">SUMPRODUCT(IF(((H842-$F$4:$F$515)/$B$10)&lt;=-1,0,IF(((H842-$F$4:$F$515)/$B$10)&gt;=1,1,(15/16)*(((H842-$F$4:$F$515)/$B$10)-(2/3)*((H842-$F$4:$F$515)/$B$10)^3+(1/5)*((H842-$F$4:$F$515)/$B$10)^5+8/15))))/COUNT($F$4:$F$515)</f>
        <v>8.2118599400285319E-2</v>
      </c>
      <c r="H842" s="15">
        <f t="shared" si="41"/>
        <v>-1.3654939878499028E-2</v>
      </c>
      <c r="K842" s="14">
        <v>0.01</v>
      </c>
      <c r="L842" s="15">
        <f t="shared" si="39"/>
        <v>-1.6954939878499008E-2</v>
      </c>
    </row>
    <row r="843" spans="4:12" ht="14.4" customHeight="1">
      <c r="D843" s="4">
        <v>43206</v>
      </c>
      <c r="E843" s="5">
        <v>6.6440000000000001</v>
      </c>
      <c r="F843" s="5">
        <f t="shared" si="40"/>
        <v>-2.6138699669768023E-4</v>
      </c>
      <c r="G843" s="3" cm="1">
        <f t="array" ref="G843">SUMPRODUCT(IF(((H843-$F$4:$F$515)/$B$10)&lt;=-1,0,IF(((H843-$F$4:$F$515)/$B$10)&gt;=1,1,(15/16)*(((H843-$F$4:$F$515)/$B$10)-(2/3)*((H843-$F$4:$F$515)/$B$10)^3+(1/5)*((H843-$F$4:$F$515)/$B$10)^5+8/15))))/COUNT($F$4:$F$515)</f>
        <v>8.3368307112596102E-2</v>
      </c>
      <c r="H843" s="5">
        <f t="shared" si="41"/>
        <v>-1.3554939878499029E-2</v>
      </c>
      <c r="K843" s="4">
        <v>0.01</v>
      </c>
      <c r="L843" s="5">
        <f t="shared" si="39"/>
        <v>-1.6954939878499008E-2</v>
      </c>
    </row>
    <row r="844" spans="4:12" ht="14.4" customHeight="1">
      <c r="D844" s="14">
        <v>43207</v>
      </c>
      <c r="E844" s="15">
        <v>6.6340000000000003</v>
      </c>
      <c r="F844" s="15">
        <f t="shared" si="40"/>
        <v>-6.5415659589336008E-4</v>
      </c>
      <c r="G844" s="16" cm="1">
        <f t="array" ref="G844">SUMPRODUCT(IF(((H844-$F$4:$F$515)/$B$10)&lt;=-1,0,IF(((H844-$F$4:$F$515)/$B$10)&gt;=1,1,(15/16)*(((H844-$F$4:$F$515)/$B$10)-(2/3)*((H844-$F$4:$F$515)/$B$10)^3+(1/5)*((H844-$F$4:$F$515)/$B$10)^5+8/15))))/COUNT($F$4:$F$515)</f>
        <v>8.4627394141776599E-2</v>
      </c>
      <c r="H844" s="15">
        <f t="shared" si="41"/>
        <v>-1.345493987849903E-2</v>
      </c>
      <c r="K844" s="14">
        <v>0.01</v>
      </c>
      <c r="L844" s="15">
        <f t="shared" si="39"/>
        <v>-1.6954939878499008E-2</v>
      </c>
    </row>
    <row r="845" spans="4:12" ht="14.4" customHeight="1">
      <c r="D845" s="4">
        <v>43208</v>
      </c>
      <c r="E845" s="5">
        <v>6.5880000000000001</v>
      </c>
      <c r="F845" s="5">
        <f t="shared" si="40"/>
        <v>-3.021876685746802E-3</v>
      </c>
      <c r="G845" s="3" cm="1">
        <f t="array" ref="G845">SUMPRODUCT(IF(((H845-$F$4:$F$515)/$B$10)&lt;=-1,0,IF(((H845-$F$4:$F$515)/$B$10)&gt;=1,1,(15/16)*(((H845-$F$4:$F$515)/$B$10)-(2/3)*((H845-$F$4:$F$515)/$B$10)^3+(1/5)*((H845-$F$4:$F$515)/$B$10)^5+8/15))))/COUNT($F$4:$F$515)</f>
        <v>8.5895150640170587E-2</v>
      </c>
      <c r="H845" s="5">
        <f t="shared" si="41"/>
        <v>-1.335493987849903E-2</v>
      </c>
      <c r="K845" s="4">
        <v>0.01</v>
      </c>
      <c r="L845" s="5">
        <f t="shared" si="39"/>
        <v>-1.6954939878499008E-2</v>
      </c>
    </row>
    <row r="846" spans="4:12" ht="14.4" customHeight="1">
      <c r="D846" s="14">
        <v>43209</v>
      </c>
      <c r="E846" s="15">
        <v>6.66</v>
      </c>
      <c r="F846" s="15">
        <f t="shared" si="40"/>
        <v>4.7206386725843355E-3</v>
      </c>
      <c r="G846" s="16" cm="1">
        <f t="array" ref="G846">SUMPRODUCT(IF(((H846-$F$4:$F$515)/$B$10)&lt;=-1,0,IF(((H846-$F$4:$F$515)/$B$10)&gt;=1,1,(15/16)*(((H846-$F$4:$F$515)/$B$10)-(2/3)*((H846-$F$4:$F$515)/$B$10)^3+(1/5)*((H846-$F$4:$F$515)/$B$10)^5+8/15))))/COUNT($F$4:$F$515)</f>
        <v>8.7170963811367214E-2</v>
      </c>
      <c r="H846" s="15">
        <f t="shared" si="41"/>
        <v>-1.3254939878499031E-2</v>
      </c>
      <c r="K846" s="14">
        <v>0.01</v>
      </c>
      <c r="L846" s="15">
        <f t="shared" si="39"/>
        <v>-1.6954939878499008E-2</v>
      </c>
    </row>
    <row r="847" spans="4:12" ht="14.4" customHeight="1">
      <c r="D847" s="4">
        <v>43210</v>
      </c>
      <c r="E847" s="5">
        <v>6.5919999999999996</v>
      </c>
      <c r="F847" s="5">
        <f t="shared" si="40"/>
        <v>-4.457030481241726E-3</v>
      </c>
      <c r="G847" s="3" cm="1">
        <f t="array" ref="G847">SUMPRODUCT(IF(((H847-$F$4:$F$515)/$B$10)&lt;=-1,0,IF(((H847-$F$4:$F$515)/$B$10)&gt;=1,1,(15/16)*(((H847-$F$4:$F$515)/$B$10)-(2/3)*((H847-$F$4:$F$515)/$B$10)^3+(1/5)*((H847-$F$4:$F$515)/$B$10)^5+8/15))))/COUNT($F$4:$F$515)</f>
        <v>8.845413054564509E-2</v>
      </c>
      <c r="H847" s="5">
        <f t="shared" si="41"/>
        <v>-1.3154939878499031E-2</v>
      </c>
      <c r="K847" s="4">
        <v>0.01</v>
      </c>
      <c r="L847" s="5">
        <f t="shared" si="39"/>
        <v>-1.6954939878499008E-2</v>
      </c>
    </row>
    <row r="848" spans="4:12" ht="14.4" customHeight="1">
      <c r="D848" s="14">
        <v>43213</v>
      </c>
      <c r="E848" s="15">
        <v>6.67</v>
      </c>
      <c r="F848" s="15">
        <f t="shared" si="40"/>
        <v>5.1086352274895934E-3</v>
      </c>
      <c r="G848" s="16" cm="1">
        <f t="array" ref="G848">SUMPRODUCT(IF(((H848-$F$4:$F$515)/$B$10)&lt;=-1,0,IF(((H848-$F$4:$F$515)/$B$10)&gt;=1,1,(15/16)*(((H848-$F$4:$F$515)/$B$10)-(2/3)*((H848-$F$4:$F$515)/$B$10)^3+(1/5)*((H848-$F$4:$F$515)/$B$10)^5+8/15))))/COUNT($F$4:$F$515)</f>
        <v>8.974423773472931E-2</v>
      </c>
      <c r="H848" s="15">
        <f t="shared" si="41"/>
        <v>-1.3054939878499032E-2</v>
      </c>
      <c r="K848" s="14">
        <v>0.01</v>
      </c>
      <c r="L848" s="15">
        <f t="shared" si="39"/>
        <v>-1.6954939878499008E-2</v>
      </c>
    </row>
    <row r="849" spans="4:12" ht="14.4" customHeight="1">
      <c r="D849" s="4">
        <v>43214</v>
      </c>
      <c r="E849" s="5">
        <v>6.74</v>
      </c>
      <c r="F849" s="5">
        <f t="shared" si="40"/>
        <v>4.5340626187709019E-3</v>
      </c>
      <c r="G849" s="3" cm="1">
        <f t="array" ref="G849">SUMPRODUCT(IF(((H849-$F$4:$F$515)/$B$10)&lt;=-1,0,IF(((H849-$F$4:$F$515)/$B$10)&gt;=1,1,(15/16)*(((H849-$F$4:$F$515)/$B$10)-(2/3)*((H849-$F$4:$F$515)/$B$10)^3+(1/5)*((H849-$F$4:$F$515)/$B$10)^5+8/15))))/COUNT($F$4:$F$515)</f>
        <v>9.1040901116962766E-2</v>
      </c>
      <c r="H849" s="5">
        <f t="shared" si="41"/>
        <v>-1.2954939878499033E-2</v>
      </c>
      <c r="K849" s="4">
        <v>0.01</v>
      </c>
      <c r="L849" s="5">
        <f t="shared" si="39"/>
        <v>-1.6954939878499008E-2</v>
      </c>
    </row>
    <row r="850" spans="4:12" ht="14.4" customHeight="1">
      <c r="D850" s="14">
        <v>43215</v>
      </c>
      <c r="E850" s="15">
        <v>6.6580000000000004</v>
      </c>
      <c r="F850" s="15">
        <f t="shared" si="40"/>
        <v>-5.3161057146712386E-3</v>
      </c>
      <c r="G850" s="16" cm="1">
        <f t="array" ref="G850">SUMPRODUCT(IF(((H850-$F$4:$F$515)/$B$10)&lt;=-1,0,IF(((H850-$F$4:$F$515)/$B$10)&gt;=1,1,(15/16)*(((H850-$F$4:$F$515)/$B$10)-(2/3)*((H850-$F$4:$F$515)/$B$10)^3+(1/5)*((H850-$F$4:$F$515)/$B$10)^5+8/15))))/COUNT($F$4:$F$515)</f>
        <v>9.234368125828317E-2</v>
      </c>
      <c r="H850" s="15">
        <f t="shared" si="41"/>
        <v>-1.2854939878499033E-2</v>
      </c>
      <c r="K850" s="14">
        <v>0.01</v>
      </c>
      <c r="L850" s="15">
        <f t="shared" si="39"/>
        <v>-1.6954939878499008E-2</v>
      </c>
    </row>
    <row r="851" spans="4:12" ht="14.4" customHeight="1">
      <c r="D851" s="4">
        <v>43216</v>
      </c>
      <c r="E851" s="5">
        <v>6.72</v>
      </c>
      <c r="F851" s="5">
        <f t="shared" si="40"/>
        <v>4.025482233176606E-3</v>
      </c>
      <c r="G851" s="3" cm="1">
        <f t="array" ref="G851">SUMPRODUCT(IF(((H851-$F$4:$F$515)/$B$10)&lt;=-1,0,IF(((H851-$F$4:$F$515)/$B$10)&gt;=1,1,(15/16)*(((H851-$F$4:$F$515)/$B$10)-(2/3)*((H851-$F$4:$F$515)/$B$10)^3+(1/5)*((H851-$F$4:$F$515)/$B$10)^5+8/15))))/COUNT($F$4:$F$515)</f>
        <v>9.3652361993624658E-2</v>
      </c>
      <c r="H851" s="5">
        <f t="shared" si="41"/>
        <v>-1.2754939878499034E-2</v>
      </c>
      <c r="K851" s="4">
        <v>0.01</v>
      </c>
      <c r="L851" s="5">
        <f t="shared" si="39"/>
        <v>-1.6954939878499008E-2</v>
      </c>
    </row>
    <row r="852" spans="4:12" ht="14.4" customHeight="1">
      <c r="D852" s="14">
        <v>43217</v>
      </c>
      <c r="E852" s="15">
        <v>6.7480000000000002</v>
      </c>
      <c r="F852" s="15">
        <f t="shared" si="40"/>
        <v>1.8058008632623548E-3</v>
      </c>
      <c r="G852" s="16" cm="1">
        <f t="array" ref="G852">SUMPRODUCT(IF(((H852-$F$4:$F$515)/$B$10)&lt;=-1,0,IF(((H852-$F$4:$F$515)/$B$10)&gt;=1,1,(15/16)*(((H852-$F$4:$F$515)/$B$10)-(2/3)*((H852-$F$4:$F$515)/$B$10)^3+(1/5)*((H852-$F$4:$F$515)/$B$10)^5+8/15))))/COUNT($F$4:$F$515)</f>
        <v>9.4966839421308735E-2</v>
      </c>
      <c r="H852" s="15">
        <f t="shared" si="41"/>
        <v>-1.2654939878499034E-2</v>
      </c>
      <c r="K852" s="14">
        <v>0.01</v>
      </c>
      <c r="L852" s="15">
        <f t="shared" si="39"/>
        <v>-1.6954939878499008E-2</v>
      </c>
    </row>
    <row r="853" spans="4:12" ht="14.4" customHeight="1">
      <c r="D853" s="4">
        <v>43220</v>
      </c>
      <c r="E853" s="5">
        <v>6.8120000000000003</v>
      </c>
      <c r="F853" s="5">
        <f t="shared" si="40"/>
        <v>4.099565373475801E-3</v>
      </c>
      <c r="G853" s="3" cm="1">
        <f t="array" ref="G853">SUMPRODUCT(IF(((H853-$F$4:$F$515)/$B$10)&lt;=-1,0,IF(((H853-$F$4:$F$515)/$B$10)&gt;=1,1,(15/16)*(((H853-$F$4:$F$515)/$B$10)-(2/3)*((H853-$F$4:$F$515)/$B$10)^3+(1/5)*((H853-$F$4:$F$515)/$B$10)^5+8/15))))/COUNT($F$4:$F$515)</f>
        <v>9.6287000533453307E-2</v>
      </c>
      <c r="H853" s="5">
        <f t="shared" si="41"/>
        <v>-1.2554939878499035E-2</v>
      </c>
      <c r="K853" s="4">
        <v>0.01</v>
      </c>
      <c r="L853" s="5">
        <f t="shared" si="39"/>
        <v>-1.6954939878499008E-2</v>
      </c>
    </row>
    <row r="854" spans="4:12" ht="14.4" customHeight="1">
      <c r="D854" s="14">
        <v>43222</v>
      </c>
      <c r="E854" s="15">
        <v>6.9240000000000004</v>
      </c>
      <c r="F854" s="15">
        <f t="shared" si="40"/>
        <v>7.0824199127928842E-3</v>
      </c>
      <c r="G854" s="16" cm="1">
        <f t="array" ref="G854">SUMPRODUCT(IF(((H854-$F$4:$F$515)/$B$10)&lt;=-1,0,IF(((H854-$F$4:$F$515)/$B$10)&gt;=1,1,(15/16)*(((H854-$F$4:$F$515)/$B$10)-(2/3)*((H854-$F$4:$F$515)/$B$10)^3+(1/5)*((H854-$F$4:$F$515)/$B$10)^5+8/15))))/COUNT($F$4:$F$515)</f>
        <v>9.7612960901506729E-2</v>
      </c>
      <c r="H854" s="15">
        <f t="shared" si="41"/>
        <v>-1.2454939878499036E-2</v>
      </c>
      <c r="K854" s="14">
        <v>0.01</v>
      </c>
      <c r="L854" s="15">
        <f t="shared" si="39"/>
        <v>-1.6954939878499008E-2</v>
      </c>
    </row>
    <row r="855" spans="4:12" ht="14.4" customHeight="1">
      <c r="D855" s="4">
        <v>43223</v>
      </c>
      <c r="E855" s="5">
        <v>6.7960000000000003</v>
      </c>
      <c r="F855" s="5">
        <f t="shared" si="40"/>
        <v>-8.1036890063482542E-3</v>
      </c>
      <c r="G855" s="3" cm="1">
        <f t="array" ref="G855">SUMPRODUCT(IF(((H855-$F$4:$F$515)/$B$10)&lt;=-1,0,IF(((H855-$F$4:$F$515)/$B$10)&gt;=1,1,(15/16)*(((H855-$F$4:$F$515)/$B$10)-(2/3)*((H855-$F$4:$F$515)/$B$10)^3+(1/5)*((H855-$F$4:$F$515)/$B$10)^5+8/15))))/COUNT($F$4:$F$515)</f>
        <v>9.8945216129945696E-2</v>
      </c>
      <c r="H855" s="5">
        <f t="shared" si="41"/>
        <v>-1.2354939878499036E-2</v>
      </c>
      <c r="K855" s="4">
        <v>0.01</v>
      </c>
      <c r="L855" s="5">
        <f t="shared" si="39"/>
        <v>-1.6954939878499008E-2</v>
      </c>
    </row>
    <row r="856" spans="4:12" ht="14.4" customHeight="1">
      <c r="D856" s="14">
        <v>43224</v>
      </c>
      <c r="E856" s="15">
        <v>6.8380000000000001</v>
      </c>
      <c r="F856" s="15">
        <f t="shared" si="40"/>
        <v>2.6757262635678323E-3</v>
      </c>
      <c r="G856" s="16" cm="1">
        <f t="array" ref="G856">SUMPRODUCT(IF(((H856-$F$4:$F$515)/$B$10)&lt;=-1,0,IF(((H856-$F$4:$F$515)/$B$10)&gt;=1,1,(15/16)*(((H856-$F$4:$F$515)/$B$10)-(2/3)*((H856-$F$4:$F$515)/$B$10)^3+(1/5)*((H856-$F$4:$F$515)/$B$10)^5+8/15))))/COUNT($F$4:$F$515)</f>
        <v>0.10028517853158664</v>
      </c>
      <c r="H856" s="15">
        <f t="shared" si="41"/>
        <v>-1.2254939878499037E-2</v>
      </c>
      <c r="K856" s="14">
        <v>0.01</v>
      </c>
      <c r="L856" s="15">
        <f t="shared" si="39"/>
        <v>-1.6954939878499008E-2</v>
      </c>
    </row>
    <row r="857" spans="4:12" ht="14.4" customHeight="1">
      <c r="D857" s="4">
        <v>43227</v>
      </c>
      <c r="E857" s="5">
        <v>6.8639999999999999</v>
      </c>
      <c r="F857" s="5">
        <f t="shared" si="40"/>
        <v>1.6481783800731608E-3</v>
      </c>
      <c r="G857" s="3" cm="1">
        <f t="array" ref="G857">SUMPRODUCT(IF(((H857-$F$4:$F$515)/$B$10)&lt;=-1,0,IF(((H857-$F$4:$F$515)/$B$10)&gt;=1,1,(15/16)*(((H857-$F$4:$F$515)/$B$10)-(2/3)*((H857-$F$4:$F$515)/$B$10)^3+(1/5)*((H857-$F$4:$F$515)/$B$10)^5+8/15))))/COUNT($F$4:$F$515)</f>
        <v>0.10163434799033461</v>
      </c>
      <c r="H857" s="5">
        <f t="shared" si="41"/>
        <v>-1.2154939878499037E-2</v>
      </c>
      <c r="K857" s="4">
        <v>0.01</v>
      </c>
      <c r="L857" s="5">
        <f t="shared" si="39"/>
        <v>-1.6954939878499008E-2</v>
      </c>
    </row>
    <row r="858" spans="4:12" ht="14.4" customHeight="1">
      <c r="D858" s="14">
        <v>43228</v>
      </c>
      <c r="E858" s="15">
        <v>6.8</v>
      </c>
      <c r="F858" s="15">
        <f t="shared" si="40"/>
        <v>-4.0683621344127169E-3</v>
      </c>
      <c r="G858" s="16" cm="1">
        <f t="array" ref="G858">SUMPRODUCT(IF(((H858-$F$4:$F$515)/$B$10)&lt;=-1,0,IF(((H858-$F$4:$F$515)/$B$10)&gt;=1,1,(15/16)*(((H858-$F$4:$F$515)/$B$10)-(2/3)*((H858-$F$4:$F$515)/$B$10)^3+(1/5)*((H858-$F$4:$F$515)/$B$10)^5+8/15))))/COUNT($F$4:$F$515)</f>
        <v>0.10299424164210386</v>
      </c>
      <c r="H858" s="15">
        <f t="shared" si="41"/>
        <v>-1.2054939878499038E-2</v>
      </c>
      <c r="K858" s="14">
        <v>0.01</v>
      </c>
      <c r="L858" s="15">
        <f t="shared" si="39"/>
        <v>-1.6954939878499008E-2</v>
      </c>
    </row>
    <row r="859" spans="4:12" ht="14.4" customHeight="1">
      <c r="D859" s="4">
        <v>43229</v>
      </c>
      <c r="E859" s="5">
        <v>6.8159999999999998</v>
      </c>
      <c r="F859" s="5">
        <f t="shared" si="40"/>
        <v>1.0206690524074153E-3</v>
      </c>
      <c r="G859" s="3" cm="1">
        <f t="array" ref="G859">SUMPRODUCT(IF(((H859-$F$4:$F$515)/$B$10)&lt;=-1,0,IF(((H859-$F$4:$F$515)/$B$10)&gt;=1,1,(15/16)*(((H859-$F$4:$F$515)/$B$10)-(2/3)*((H859-$F$4:$F$515)/$B$10)^3+(1/5)*((H859-$F$4:$F$515)/$B$10)^5+8/15))))/COUNT($F$4:$F$515)</f>
        <v>0.10436662204936456</v>
      </c>
      <c r="H859" s="5">
        <f t="shared" si="41"/>
        <v>-1.1954939878499039E-2</v>
      </c>
      <c r="K859" s="4">
        <v>0.01</v>
      </c>
      <c r="L859" s="5">
        <f t="shared" si="39"/>
        <v>-1.6954939878499008E-2</v>
      </c>
    </row>
    <row r="860" spans="4:12" ht="14.4" customHeight="1">
      <c r="D860" s="14">
        <v>43230</v>
      </c>
      <c r="E860" s="15">
        <v>6.91</v>
      </c>
      <c r="F860" s="15">
        <f t="shared" si="40"/>
        <v>5.9484656155546801E-3</v>
      </c>
      <c r="G860" s="16" cm="1">
        <f t="array" ref="G860">SUMPRODUCT(IF(((H860-$F$4:$F$515)/$B$10)&lt;=-1,0,IF(((H860-$F$4:$F$515)/$B$10)&gt;=1,1,(15/16)*(((H860-$F$4:$F$515)/$B$10)-(2/3)*((H860-$F$4:$F$515)/$B$10)^3+(1/5)*((H860-$F$4:$F$515)/$B$10)^5+8/15))))/COUNT($F$4:$F$515)</f>
        <v>0.10575348744686969</v>
      </c>
      <c r="H860" s="15">
        <f t="shared" si="41"/>
        <v>-1.1854939878499039E-2</v>
      </c>
      <c r="K860" s="14">
        <v>0.01</v>
      </c>
      <c r="L860" s="15">
        <f t="shared" si="39"/>
        <v>-1.6954939878499008E-2</v>
      </c>
    </row>
    <row r="861" spans="4:12" ht="14.4" customHeight="1">
      <c r="D861" s="4">
        <v>43231</v>
      </c>
      <c r="E861" s="5">
        <v>6.94</v>
      </c>
      <c r="F861" s="5">
        <f t="shared" si="40"/>
        <v>1.8814230806565638E-3</v>
      </c>
      <c r="G861" s="3" cm="1">
        <f t="array" ref="G861">SUMPRODUCT(IF(((H861-$F$4:$F$515)/$B$10)&lt;=-1,0,IF(((H861-$F$4:$F$515)/$B$10)&gt;=1,1,(15/16)*(((H861-$F$4:$F$515)/$B$10)-(2/3)*((H861-$F$4:$F$515)/$B$10)^3+(1/5)*((H861-$F$4:$F$515)/$B$10)^5+8/15))))/COUNT($F$4:$F$515)</f>
        <v>0.10715685090722006</v>
      </c>
      <c r="H861" s="5">
        <f t="shared" si="41"/>
        <v>-1.175493987849904E-2</v>
      </c>
      <c r="K861" s="4">
        <v>0.01</v>
      </c>
      <c r="L861" s="5">
        <f t="shared" si="39"/>
        <v>-1.6954939878499008E-2</v>
      </c>
    </row>
    <row r="862" spans="4:12" ht="14.4" customHeight="1">
      <c r="D862" s="14">
        <v>43234</v>
      </c>
      <c r="E862" s="15">
        <v>6.8719999999999999</v>
      </c>
      <c r="F862" s="15">
        <f t="shared" si="40"/>
        <v>-4.2763196316690519E-3</v>
      </c>
      <c r="G862" s="16" cm="1">
        <f t="array" ref="G862">SUMPRODUCT(IF(((H862-$F$4:$F$515)/$B$10)&lt;=-1,0,IF(((H862-$F$4:$F$515)/$B$10)&gt;=1,1,(15/16)*(((H862-$F$4:$F$515)/$B$10)-(2/3)*((H862-$F$4:$F$515)/$B$10)^3+(1/5)*((H862-$F$4:$F$515)/$B$10)^5+8/15))))/COUNT($F$4:$F$515)</f>
        <v>0.10857884483263312</v>
      </c>
      <c r="H862" s="15">
        <f t="shared" si="41"/>
        <v>-1.165493987849904E-2</v>
      </c>
      <c r="K862" s="14">
        <v>0.01</v>
      </c>
      <c r="L862" s="15">
        <f t="shared" si="39"/>
        <v>-1.6954939878499008E-2</v>
      </c>
    </row>
    <row r="863" spans="4:12" ht="14.4" customHeight="1">
      <c r="D863" s="4">
        <v>43235</v>
      </c>
      <c r="E863" s="5">
        <v>6.8819999999999997</v>
      </c>
      <c r="F863" s="5">
        <f t="shared" si="40"/>
        <v>6.3151746172539875E-4</v>
      </c>
      <c r="G863" s="3" cm="1">
        <f t="array" ref="G863">SUMPRODUCT(IF(((H863-$F$4:$F$515)/$B$10)&lt;=-1,0,IF(((H863-$F$4:$F$515)/$B$10)&gt;=1,1,(15/16)*(((H863-$F$4:$F$515)/$B$10)-(2/3)*((H863-$F$4:$F$515)/$B$10)^3+(1/5)*((H863-$F$4:$F$515)/$B$10)^5+8/15))))/COUNT($F$4:$F$515)</f>
        <v>0.11002147549417139</v>
      </c>
      <c r="H863" s="5">
        <f t="shared" si="41"/>
        <v>-1.1554939878499041E-2</v>
      </c>
      <c r="K863" s="4">
        <v>0.01</v>
      </c>
      <c r="L863" s="5">
        <f t="shared" si="39"/>
        <v>-1.6954939878499008E-2</v>
      </c>
    </row>
    <row r="864" spans="4:12" ht="14.4" customHeight="1">
      <c r="D864" s="14">
        <v>43236</v>
      </c>
      <c r="E864" s="15">
        <v>6.7779999999999996</v>
      </c>
      <c r="F864" s="15">
        <f t="shared" si="40"/>
        <v>-6.6131037835518531E-3</v>
      </c>
      <c r="G864" s="16" cm="1">
        <f t="array" ref="G864">SUMPRODUCT(IF(((H864-$F$4:$F$515)/$B$10)&lt;=-1,0,IF(((H864-$F$4:$F$515)/$B$10)&gt;=1,1,(15/16)*(((H864-$F$4:$F$515)/$B$10)-(2/3)*((H864-$F$4:$F$515)/$B$10)^3+(1/5)*((H864-$F$4:$F$515)/$B$10)^5+8/15))))/COUNT($F$4:$F$515)</f>
        <v>0.11148710473527552</v>
      </c>
      <c r="H864" s="15">
        <f t="shared" si="41"/>
        <v>-1.1454939878499042E-2</v>
      </c>
      <c r="K864" s="14">
        <v>0.01</v>
      </c>
      <c r="L864" s="15">
        <f t="shared" si="39"/>
        <v>-1.6954939878499008E-2</v>
      </c>
    </row>
    <row r="865" spans="4:12" ht="14.4" customHeight="1">
      <c r="D865" s="4">
        <v>43237</v>
      </c>
      <c r="E865" s="5">
        <v>6.8259999999999996</v>
      </c>
      <c r="F865" s="5">
        <f t="shared" si="40"/>
        <v>3.0647194412605997E-3</v>
      </c>
      <c r="G865" s="3" cm="1">
        <f t="array" ref="G865">SUMPRODUCT(IF(((H865-$F$4:$F$515)/$B$10)&lt;=-1,0,IF(((H865-$F$4:$F$515)/$B$10)&gt;=1,1,(15/16)*(((H865-$F$4:$F$515)/$B$10)-(2/3)*((H865-$F$4:$F$515)/$B$10)^3+(1/5)*((H865-$F$4:$F$515)/$B$10)^5+8/15))))/COUNT($F$4:$F$515)</f>
        <v>0.11297810967279455</v>
      </c>
      <c r="H865" s="5">
        <f t="shared" si="41"/>
        <v>-1.1354939878499042E-2</v>
      </c>
      <c r="K865" s="4">
        <v>0.01</v>
      </c>
      <c r="L865" s="5">
        <f t="shared" si="39"/>
        <v>-1.6954939878499008E-2</v>
      </c>
    </row>
    <row r="866" spans="4:12" ht="14.4" customHeight="1">
      <c r="D866" s="14">
        <v>43238</v>
      </c>
      <c r="E866" s="15">
        <v>7.0339999999999998</v>
      </c>
      <c r="F866" s="15">
        <f t="shared" si="40"/>
        <v>1.3036080038303732E-2</v>
      </c>
      <c r="G866" s="16" cm="1">
        <f t="array" ref="G866">SUMPRODUCT(IF(((H866-$F$4:$F$515)/$B$10)&lt;=-1,0,IF(((H866-$F$4:$F$515)/$B$10)&gt;=1,1,(15/16)*(((H866-$F$4:$F$515)/$B$10)-(2/3)*((H866-$F$4:$F$515)/$B$10)^3+(1/5)*((H866-$F$4:$F$515)/$B$10)^5+8/15))))/COUNT($F$4:$F$515)</f>
        <v>0.11449670604176176</v>
      </c>
      <c r="H866" s="15">
        <f t="shared" si="41"/>
        <v>-1.1254939878499043E-2</v>
      </c>
      <c r="K866" s="14">
        <v>0.01</v>
      </c>
      <c r="L866" s="15">
        <f t="shared" si="39"/>
        <v>-1.6954939878499008E-2</v>
      </c>
    </row>
    <row r="867" spans="4:12" ht="14.4" customHeight="1">
      <c r="D867" s="4">
        <v>43241</v>
      </c>
      <c r="E867" s="5">
        <v>7.0659999999999998</v>
      </c>
      <c r="F867" s="5">
        <f t="shared" si="40"/>
        <v>1.9712691179029273E-3</v>
      </c>
      <c r="G867" s="3" cm="1">
        <f t="array" ref="G867">SUMPRODUCT(IF(((H867-$F$4:$F$515)/$B$10)&lt;=-1,0,IF(((H867-$F$4:$F$515)/$B$10)&gt;=1,1,(15/16)*(((H867-$F$4:$F$515)/$B$10)-(2/3)*((H867-$F$4:$F$515)/$B$10)^3+(1/5)*((H867-$F$4:$F$515)/$B$10)^5+8/15))))/COUNT($F$4:$F$515)</f>
        <v>0.11604529473325587</v>
      </c>
      <c r="H867" s="5">
        <f t="shared" si="41"/>
        <v>-1.1154939878499043E-2</v>
      </c>
      <c r="K867" s="4">
        <v>0.01</v>
      </c>
      <c r="L867" s="5">
        <f t="shared" si="39"/>
        <v>-1.6954939878499008E-2</v>
      </c>
    </row>
    <row r="868" spans="4:12" ht="14.4" customHeight="1">
      <c r="D868" s="14">
        <v>43242</v>
      </c>
      <c r="E868" s="15">
        <v>7.1680000000000001</v>
      </c>
      <c r="F868" s="15">
        <f t="shared" si="40"/>
        <v>6.2243635552421588E-3</v>
      </c>
      <c r="G868" s="16" cm="1">
        <f t="array" ref="G868">SUMPRODUCT(IF(((H868-$F$4:$F$515)/$B$10)&lt;=-1,0,IF(((H868-$F$4:$F$515)/$B$10)&gt;=1,1,(15/16)*(((H868-$F$4:$F$515)/$B$10)-(2/3)*((H868-$F$4:$F$515)/$B$10)^3+(1/5)*((H868-$F$4:$F$515)/$B$10)^5+8/15))))/COUNT($F$4:$F$515)</f>
        <v>0.11762612907559788</v>
      </c>
      <c r="H868" s="15">
        <f t="shared" si="41"/>
        <v>-1.1054939878499044E-2</v>
      </c>
      <c r="K868" s="14">
        <v>0.01</v>
      </c>
      <c r="L868" s="15">
        <f t="shared" si="39"/>
        <v>-1.6954939878499008E-2</v>
      </c>
    </row>
    <row r="869" spans="4:12" ht="14.4" customHeight="1">
      <c r="D869" s="4">
        <v>43243</v>
      </c>
      <c r="E869" s="5">
        <v>7.0439999999999996</v>
      </c>
      <c r="F869" s="5">
        <f t="shared" si="40"/>
        <v>-7.5786493588295067E-3</v>
      </c>
      <c r="G869" s="3" cm="1">
        <f t="array" ref="G869">SUMPRODUCT(IF(((H869-$F$4:$F$515)/$B$10)&lt;=-1,0,IF(((H869-$F$4:$F$515)/$B$10)&gt;=1,1,(15/16)*(((H869-$F$4:$F$515)/$B$10)-(2/3)*((H869-$F$4:$F$515)/$B$10)^3+(1/5)*((H869-$F$4:$F$515)/$B$10)^5+8/15))))/COUNT($F$4:$F$515)</f>
        <v>0.11924111478766342</v>
      </c>
      <c r="H869" s="5">
        <f t="shared" si="41"/>
        <v>-1.0954939878499045E-2</v>
      </c>
      <c r="K869" s="4">
        <v>0.01</v>
      </c>
      <c r="L869" s="5">
        <f t="shared" si="39"/>
        <v>-1.6954939878499008E-2</v>
      </c>
    </row>
    <row r="870" spans="4:12" ht="14.4" customHeight="1">
      <c r="D870" s="14">
        <v>43244</v>
      </c>
      <c r="E870" s="15">
        <v>7.016</v>
      </c>
      <c r="F870" s="15">
        <f t="shared" si="40"/>
        <v>-1.7297669372551528E-3</v>
      </c>
      <c r="G870" s="16" cm="1">
        <f t="array" ref="G870">SUMPRODUCT(IF(((H870-$F$4:$F$515)/$B$10)&lt;=-1,0,IF(((H870-$F$4:$F$515)/$B$10)&gt;=1,1,(15/16)*(((H870-$F$4:$F$515)/$B$10)-(2/3)*((H870-$F$4:$F$515)/$B$10)^3+(1/5)*((H870-$F$4:$F$515)/$B$10)^5+8/15))))/COUNT($F$4:$F$515)</f>
        <v>0.12089158525677737</v>
      </c>
      <c r="H870" s="15">
        <f t="shared" si="41"/>
        <v>-1.0854939878499045E-2</v>
      </c>
      <c r="K870" s="14">
        <v>0.01</v>
      </c>
      <c r="L870" s="15">
        <f t="shared" si="39"/>
        <v>-1.6954939878499008E-2</v>
      </c>
    </row>
    <row r="871" spans="4:12" ht="14.4" customHeight="1">
      <c r="D871" s="4">
        <v>43245</v>
      </c>
      <c r="E871" s="5">
        <v>6.95</v>
      </c>
      <c r="F871" s="5">
        <f t="shared" si="40"/>
        <v>-4.1047757678702021E-3</v>
      </c>
      <c r="G871" s="3" cm="1">
        <f t="array" ref="G871">SUMPRODUCT(IF(((H871-$F$4:$F$515)/$B$10)&lt;=-1,0,IF(((H871-$F$4:$F$515)/$B$10)&gt;=1,1,(15/16)*(((H871-$F$4:$F$515)/$B$10)-(2/3)*((H871-$F$4:$F$515)/$B$10)^3+(1/5)*((H871-$F$4:$F$515)/$B$10)^5+8/15))))/COUNT($F$4:$F$515)</f>
        <v>0.12257835255526256</v>
      </c>
      <c r="H871" s="5">
        <f t="shared" si="41"/>
        <v>-1.0754939878499046E-2</v>
      </c>
      <c r="K871" s="4">
        <v>0.01</v>
      </c>
      <c r="L871" s="5">
        <f t="shared" si="39"/>
        <v>-1.6954939878499008E-2</v>
      </c>
    </row>
    <row r="872" spans="4:12" ht="14.4" customHeight="1">
      <c r="D872" s="14">
        <v>43248</v>
      </c>
      <c r="E872" s="15">
        <v>6.5640000000000001</v>
      </c>
      <c r="F872" s="15">
        <f t="shared" si="40"/>
        <v>-2.4816232209058316E-2</v>
      </c>
      <c r="G872" s="16" cm="1">
        <f t="array" ref="G872">SUMPRODUCT(IF(((H872-$F$4:$F$515)/$B$10)&lt;=-1,0,IF(((H872-$F$4:$F$515)/$B$10)&gt;=1,1,(15/16)*(((H872-$F$4:$F$515)/$B$10)-(2/3)*((H872-$F$4:$F$515)/$B$10)^3+(1/5)*((H872-$F$4:$F$515)/$B$10)^5+8/15))))/COUNT($F$4:$F$515)</f>
        <v>0.12430162499286887</v>
      </c>
      <c r="H872" s="15">
        <f t="shared" si="41"/>
        <v>-1.0654939878499047E-2</v>
      </c>
      <c r="K872" s="14">
        <v>0.01</v>
      </c>
      <c r="L872" s="15">
        <f t="shared" si="39"/>
        <v>-1.6954939878499008E-2</v>
      </c>
    </row>
    <row r="873" spans="4:12" ht="14.4" customHeight="1">
      <c r="D873" s="4">
        <v>43249</v>
      </c>
      <c r="E873" s="5">
        <v>6.25</v>
      </c>
      <c r="F873" s="5">
        <f t="shared" si="40"/>
        <v>-2.1288555036980406E-2</v>
      </c>
      <c r="G873" s="3" cm="1">
        <f t="array" ref="G873">SUMPRODUCT(IF(((H873-$F$4:$F$515)/$B$10)&lt;=-1,0,IF(((H873-$F$4:$F$515)/$B$10)&gt;=1,1,(15/16)*(((H873-$F$4:$F$515)/$B$10)-(2/3)*((H873-$F$4:$F$515)/$B$10)^3+(1/5)*((H873-$F$4:$F$515)/$B$10)^5+8/15))))/COUNT($F$4:$F$515)</f>
        <v>0.12606107429191651</v>
      </c>
      <c r="H873" s="5">
        <f t="shared" si="41"/>
        <v>-1.0554939878499047E-2</v>
      </c>
      <c r="K873" s="4">
        <v>0.01</v>
      </c>
      <c r="L873" s="5">
        <f t="shared" si="39"/>
        <v>-1.6954939878499008E-2</v>
      </c>
    </row>
    <row r="874" spans="4:12" ht="14.4" customHeight="1">
      <c r="D874" s="14">
        <v>43250</v>
      </c>
      <c r="E874" s="15">
        <v>6.26</v>
      </c>
      <c r="F874" s="15">
        <f t="shared" si="40"/>
        <v>6.943158663544807E-4</v>
      </c>
      <c r="G874" s="16" cm="1">
        <f t="array" ref="G874">SUMPRODUCT(IF(((H874-$F$4:$F$515)/$B$10)&lt;=-1,0,IF(((H874-$F$4:$F$515)/$B$10)&gt;=1,1,(15/16)*(((H874-$F$4:$F$515)/$B$10)-(2/3)*((H874-$F$4:$F$515)/$B$10)^3+(1/5)*((H874-$F$4:$F$515)/$B$10)^5+8/15))))/COUNT($F$4:$F$515)</f>
        <v>0.12785692536629475</v>
      </c>
      <c r="H874" s="15">
        <f t="shared" si="41"/>
        <v>-1.0454939878499048E-2</v>
      </c>
      <c r="K874" s="14">
        <v>0.01</v>
      </c>
      <c r="L874" s="15">
        <f t="shared" si="39"/>
        <v>-1.6954939878499008E-2</v>
      </c>
    </row>
    <row r="875" spans="4:12" ht="14.4" customHeight="1">
      <c r="D875" s="4">
        <v>43251</v>
      </c>
      <c r="E875" s="5">
        <v>6.1980000000000004</v>
      </c>
      <c r="F875" s="5">
        <f t="shared" si="40"/>
        <v>-4.3227613071654125E-3</v>
      </c>
      <c r="G875" s="3" cm="1">
        <f t="array" ref="G875">SUMPRODUCT(IF(((H875-$F$4:$F$515)/$B$10)&lt;=-1,0,IF(((H875-$F$4:$F$515)/$B$10)&gt;=1,1,(15/16)*(((H875-$F$4:$F$515)/$B$10)-(2/3)*((H875-$F$4:$F$515)/$B$10)^3+(1/5)*((H875-$F$4:$F$515)/$B$10)^5+8/15))))/COUNT($F$4:$F$515)</f>
        <v>0.12968986586506989</v>
      </c>
      <c r="H875" s="5">
        <f t="shared" si="41"/>
        <v>-1.0354939878499048E-2</v>
      </c>
      <c r="K875" s="4">
        <v>0.01</v>
      </c>
      <c r="L875" s="5">
        <f t="shared" si="39"/>
        <v>-1.6954939878499008E-2</v>
      </c>
    </row>
    <row r="876" spans="4:12" ht="14.4" customHeight="1">
      <c r="D876" s="14">
        <v>43252</v>
      </c>
      <c r="E876" s="15">
        <v>6.29</v>
      </c>
      <c r="F876" s="15">
        <f t="shared" si="40"/>
        <v>6.3990735420046798E-3</v>
      </c>
      <c r="G876" s="16" cm="1">
        <f t="array" ref="G876">SUMPRODUCT(IF(((H876-$F$4:$F$515)/$B$10)&lt;=-1,0,IF(((H876-$F$4:$F$515)/$B$10)&gt;=1,1,(15/16)*(((H876-$F$4:$F$515)/$B$10)-(2/3)*((H876-$F$4:$F$515)/$B$10)^3+(1/5)*((H876-$F$4:$F$515)/$B$10)^5+8/15))))/COUNT($F$4:$F$515)</f>
        <v>0.13156090726929626</v>
      </c>
      <c r="H876" s="15">
        <f t="shared" si="41"/>
        <v>-1.0254939878499049E-2</v>
      </c>
      <c r="K876" s="14">
        <v>0.01</v>
      </c>
      <c r="L876" s="15">
        <f t="shared" si="39"/>
        <v>-1.6954939878499008E-2</v>
      </c>
    </row>
    <row r="877" spans="4:12" ht="14.4" customHeight="1">
      <c r="D877" s="4">
        <v>43255</v>
      </c>
      <c r="E877" s="5">
        <v>6.282</v>
      </c>
      <c r="F877" s="5">
        <f t="shared" si="40"/>
        <v>-5.5271338278295055E-4</v>
      </c>
      <c r="G877" s="3" cm="1">
        <f t="array" ref="G877">SUMPRODUCT(IF(((H877-$F$4:$F$515)/$B$10)&lt;=-1,0,IF(((H877-$F$4:$F$515)/$B$10)&gt;=1,1,(15/16)*(((H877-$F$4:$F$515)/$B$10)-(2/3)*((H877-$F$4:$F$515)/$B$10)^3+(1/5)*((H877-$F$4:$F$515)/$B$10)^5+8/15))))/COUNT($F$4:$F$515)</f>
        <v>0.13347081279277631</v>
      </c>
      <c r="H877" s="5">
        <f t="shared" si="41"/>
        <v>-1.015493987849905E-2</v>
      </c>
      <c r="K877" s="4">
        <v>0.01</v>
      </c>
      <c r="L877" s="5">
        <f t="shared" si="39"/>
        <v>-1.6954939878499008E-2</v>
      </c>
    </row>
    <row r="878" spans="4:12" ht="14.4" customHeight="1">
      <c r="D878" s="14">
        <v>43256</v>
      </c>
      <c r="E878" s="15">
        <v>6.2240000000000002</v>
      </c>
      <c r="F878" s="15">
        <f t="shared" si="40"/>
        <v>-4.0283480808534196E-3</v>
      </c>
      <c r="G878" s="16" cm="1">
        <f t="array" ref="G878">SUMPRODUCT(IF(((H878-$F$4:$F$515)/$B$10)&lt;=-1,0,IF(((H878-$F$4:$F$515)/$B$10)&gt;=1,1,(15/16)*(((H878-$F$4:$F$515)/$B$10)-(2/3)*((H878-$F$4:$F$515)/$B$10)^3+(1/5)*((H878-$F$4:$F$515)/$B$10)^5+8/15))))/COUNT($F$4:$F$515)</f>
        <v>0.13542000352273564</v>
      </c>
      <c r="H878" s="15">
        <f t="shared" si="41"/>
        <v>-1.005493987849905E-2</v>
      </c>
      <c r="K878" s="14">
        <v>0.01</v>
      </c>
      <c r="L878" s="15">
        <f t="shared" si="39"/>
        <v>-1.6954939878499008E-2</v>
      </c>
    </row>
    <row r="879" spans="4:12" ht="14.4" customHeight="1">
      <c r="D879" s="4">
        <v>43257</v>
      </c>
      <c r="E879" s="5">
        <v>6.2619999999999996</v>
      </c>
      <c r="F879" s="5">
        <f t="shared" si="40"/>
        <v>2.6434792992638683E-3</v>
      </c>
      <c r="G879" s="3" cm="1">
        <f t="array" ref="G879">SUMPRODUCT(IF(((H879-$F$4:$F$515)/$B$10)&lt;=-1,0,IF(((H879-$F$4:$F$515)/$B$10)&gt;=1,1,(15/16)*(((H879-$F$4:$F$515)/$B$10)-(2/3)*((H879-$F$4:$F$515)/$B$10)^3+(1/5)*((H879-$F$4:$F$515)/$B$10)^5+8/15))))/COUNT($F$4:$F$515)</f>
        <v>0.13740892249707251</v>
      </c>
      <c r="H879" s="5">
        <f t="shared" si="41"/>
        <v>-9.9549398784990507E-3</v>
      </c>
      <c r="K879" s="4">
        <v>0.01</v>
      </c>
      <c r="L879" s="5">
        <f t="shared" si="39"/>
        <v>-1.6954939878499008E-2</v>
      </c>
    </row>
    <row r="880" spans="4:12" ht="14.4" customHeight="1">
      <c r="D880" s="14">
        <v>43258</v>
      </c>
      <c r="E880" s="15">
        <v>6.34</v>
      </c>
      <c r="F880" s="15">
        <f t="shared" si="40"/>
        <v>5.376194600836221E-3</v>
      </c>
      <c r="G880" s="16" cm="1">
        <f t="array" ref="G880">SUMPRODUCT(IF(((H880-$F$4:$F$515)/$B$10)&lt;=-1,0,IF(((H880-$F$4:$F$515)/$B$10)&gt;=1,1,(15/16)*(((H880-$F$4:$F$515)/$B$10)-(2/3)*((H880-$F$4:$F$515)/$B$10)^3+(1/5)*((H880-$F$4:$F$515)/$B$10)^5+8/15))))/COUNT($F$4:$F$515)</f>
        <v>0.13943778974488943</v>
      </c>
      <c r="H880" s="15">
        <f t="shared" si="41"/>
        <v>-9.8549398784990513E-3</v>
      </c>
      <c r="K880" s="14">
        <v>0.01</v>
      </c>
      <c r="L880" s="15">
        <f t="shared" si="39"/>
        <v>-1.6954939878499008E-2</v>
      </c>
    </row>
    <row r="881" spans="4:12" ht="14.4" customHeight="1">
      <c r="D881" s="4">
        <v>43259</v>
      </c>
      <c r="E881" s="5">
        <v>6.28</v>
      </c>
      <c r="F881" s="5">
        <f t="shared" si="40"/>
        <v>-4.1296141445365366E-3</v>
      </c>
      <c r="G881" s="3" cm="1">
        <f t="array" ref="G881">SUMPRODUCT(IF(((H881-$F$4:$F$515)/$B$10)&lt;=-1,0,IF(((H881-$F$4:$F$515)/$B$10)&gt;=1,1,(15/16)*(((H881-$F$4:$F$515)/$B$10)-(2/3)*((H881-$F$4:$F$515)/$B$10)^3+(1/5)*((H881-$F$4:$F$515)/$B$10)^5+8/15))))/COUNT($F$4:$F$515)</f>
        <v>0.14150668915389289</v>
      </c>
      <c r="H881" s="5">
        <f t="shared" si="41"/>
        <v>-9.7549398784990519E-3</v>
      </c>
      <c r="K881" s="4">
        <v>0.01</v>
      </c>
      <c r="L881" s="5">
        <f t="shared" si="39"/>
        <v>-1.6954939878499008E-2</v>
      </c>
    </row>
    <row r="882" spans="4:12" ht="14.4" customHeight="1">
      <c r="D882" s="14">
        <v>43262</v>
      </c>
      <c r="E882" s="15">
        <v>6.4459999999999997</v>
      </c>
      <c r="F882" s="15">
        <f t="shared" si="40"/>
        <v>1.1330657439119539E-2</v>
      </c>
      <c r="G882" s="16" cm="1">
        <f t="array" ref="G882">SUMPRODUCT(IF(((H882-$F$4:$F$515)/$B$10)&lt;=-1,0,IF(((H882-$F$4:$F$515)/$B$10)&gt;=1,1,(15/16)*(((H882-$F$4:$F$515)/$B$10)-(2/3)*((H882-$F$4:$F$515)/$B$10)^3+(1/5)*((H882-$F$4:$F$515)/$B$10)^5+8/15))))/COUNT($F$4:$F$515)</f>
        <v>0.14361538105079813</v>
      </c>
      <c r="H882" s="15">
        <f t="shared" si="41"/>
        <v>-9.6549398784990526E-3</v>
      </c>
      <c r="K882" s="14">
        <v>0.01</v>
      </c>
      <c r="L882" s="15">
        <f t="shared" si="39"/>
        <v>-1.6954939878499008E-2</v>
      </c>
    </row>
    <row r="883" spans="4:12" ht="14.4" customHeight="1">
      <c r="D883" s="4">
        <v>43263</v>
      </c>
      <c r="E883" s="5">
        <v>6.4260000000000002</v>
      </c>
      <c r="F883" s="5">
        <f t="shared" si="40"/>
        <v>-1.3495799608164109E-3</v>
      </c>
      <c r="G883" s="3" cm="1">
        <f t="array" ref="G883">SUMPRODUCT(IF(((H883-$F$4:$F$515)/$B$10)&lt;=-1,0,IF(((H883-$F$4:$F$515)/$B$10)&gt;=1,1,(15/16)*(((H883-$F$4:$F$515)/$B$10)-(2/3)*((H883-$F$4:$F$515)/$B$10)^3+(1/5)*((H883-$F$4:$F$515)/$B$10)^5+8/15))))/COUNT($F$4:$F$515)</f>
        <v>0.14576377158890205</v>
      </c>
      <c r="H883" s="5">
        <f t="shared" si="41"/>
        <v>-9.5549398784990532E-3</v>
      </c>
      <c r="K883" s="4">
        <v>0.01</v>
      </c>
      <c r="L883" s="5">
        <f t="shared" si="39"/>
        <v>-1.6954939878499008E-2</v>
      </c>
    </row>
    <row r="884" spans="4:12" ht="14.4" customHeight="1">
      <c r="D884" s="14">
        <v>43264</v>
      </c>
      <c r="E884" s="15">
        <v>6.3780000000000001</v>
      </c>
      <c r="F884" s="15">
        <f t="shared" si="40"/>
        <v>-3.2562063085588653E-3</v>
      </c>
      <c r="G884" s="16" cm="1">
        <f t="array" ref="G884">SUMPRODUCT(IF(((H884-$F$4:$F$515)/$B$10)&lt;=-1,0,IF(((H884-$F$4:$F$515)/$B$10)&gt;=1,1,(15/16)*(((H884-$F$4:$F$515)/$B$10)-(2/3)*((H884-$F$4:$F$515)/$B$10)^3+(1/5)*((H884-$F$4:$F$515)/$B$10)^5+8/15))))/COUNT($F$4:$F$515)</f>
        <v>0.14795251534266463</v>
      </c>
      <c r="H884" s="15">
        <f t="shared" si="41"/>
        <v>-9.4549398784990538E-3</v>
      </c>
      <c r="K884" s="14">
        <v>0.01</v>
      </c>
      <c r="L884" s="15">
        <f t="shared" si="39"/>
        <v>-1.6954939878499008E-2</v>
      </c>
    </row>
    <row r="885" spans="4:12" ht="14.4" customHeight="1">
      <c r="D885" s="4">
        <v>43265</v>
      </c>
      <c r="E885" s="5">
        <v>6.39</v>
      </c>
      <c r="F885" s="5">
        <f t="shared" si="40"/>
        <v>8.1634325145973354E-4</v>
      </c>
      <c r="G885" s="3" cm="1">
        <f t="array" ref="G885">SUMPRODUCT(IF(((H885-$F$4:$F$515)/$B$10)&lt;=-1,0,IF(((H885-$F$4:$F$515)/$B$10)&gt;=1,1,(15/16)*(((H885-$F$4:$F$515)/$B$10)-(2/3)*((H885-$F$4:$F$515)/$B$10)^3+(1/5)*((H885-$F$4:$F$515)/$B$10)^5+8/15))))/COUNT($F$4:$F$515)</f>
        <v>0.15018189639801857</v>
      </c>
      <c r="H885" s="5">
        <f t="shared" si="41"/>
        <v>-9.3549398784990544E-3</v>
      </c>
      <c r="K885" s="4">
        <v>0.01</v>
      </c>
      <c r="L885" s="5">
        <f t="shared" si="39"/>
        <v>-1.6954939878499008E-2</v>
      </c>
    </row>
    <row r="886" spans="4:12" ht="14.4" customHeight="1">
      <c r="D886" s="14">
        <v>43266</v>
      </c>
      <c r="E886" s="15">
        <v>6.2439999999999998</v>
      </c>
      <c r="F886" s="15">
        <f t="shared" si="40"/>
        <v>-1.0037963768020275E-2</v>
      </c>
      <c r="G886" s="16" cm="1">
        <f t="array" ref="G886">SUMPRODUCT(IF(((H886-$F$4:$F$515)/$B$10)&lt;=-1,0,IF(((H886-$F$4:$F$515)/$B$10)&gt;=1,1,(15/16)*(((H886-$F$4:$F$515)/$B$10)-(2/3)*((H886-$F$4:$F$515)/$B$10)^3+(1/5)*((H886-$F$4:$F$515)/$B$10)^5+8/15))))/COUNT($F$4:$F$515)</f>
        <v>0.15245203006809671</v>
      </c>
      <c r="H886" s="15">
        <f t="shared" si="41"/>
        <v>-9.254939878499055E-3</v>
      </c>
      <c r="K886" s="14">
        <v>0.01</v>
      </c>
      <c r="L886" s="15">
        <f t="shared" si="39"/>
        <v>-1.6954939878499008E-2</v>
      </c>
    </row>
    <row r="887" spans="4:12" ht="14.4" customHeight="1">
      <c r="D887" s="4">
        <v>43269</v>
      </c>
      <c r="E887" s="5">
        <v>6.1879999999999997</v>
      </c>
      <c r="F887" s="5">
        <f t="shared" si="40"/>
        <v>-3.9125893630499869E-3</v>
      </c>
      <c r="G887" s="3" cm="1">
        <f t="array" ref="G887">SUMPRODUCT(IF(((H887-$F$4:$F$515)/$B$10)&lt;=-1,0,IF(((H887-$F$4:$F$515)/$B$10)&gt;=1,1,(15/16)*(((H887-$F$4:$F$515)/$B$10)-(2/3)*((H887-$F$4:$F$515)/$B$10)^3+(1/5)*((H887-$F$4:$F$515)/$B$10)^5+8/15))))/COUNT($F$4:$F$515)</f>
        <v>0.15476343055126437</v>
      </c>
      <c r="H887" s="5">
        <f t="shared" si="41"/>
        <v>-9.1549398784990556E-3</v>
      </c>
      <c r="K887" s="4">
        <v>0.01</v>
      </c>
      <c r="L887" s="5">
        <f t="shared" si="39"/>
        <v>-1.6954939878499008E-2</v>
      </c>
    </row>
    <row r="888" spans="4:12" ht="14.4" customHeight="1">
      <c r="D888" s="14">
        <v>43270</v>
      </c>
      <c r="E888" s="15">
        <v>6.1580000000000004</v>
      </c>
      <c r="F888" s="15">
        <f t="shared" si="40"/>
        <v>-2.1106204601505671E-3</v>
      </c>
      <c r="G888" s="16" cm="1">
        <f t="array" ref="G888">SUMPRODUCT(IF(((H888-$F$4:$F$515)/$B$10)&lt;=-1,0,IF(((H888-$F$4:$F$515)/$B$10)&gt;=1,1,(15/16)*(((H888-$F$4:$F$515)/$B$10)-(2/3)*((H888-$F$4:$F$515)/$B$10)^3+(1/5)*((H888-$F$4:$F$515)/$B$10)^5+8/15))))/COUNT($F$4:$F$515)</f>
        <v>0.15711661239229524</v>
      </c>
      <c r="H888" s="15">
        <f t="shared" si="41"/>
        <v>-9.0549398784990562E-3</v>
      </c>
      <c r="K888" s="14">
        <v>0.01</v>
      </c>
      <c r="L888" s="15">
        <f t="shared" si="39"/>
        <v>-1.6954939878499008E-2</v>
      </c>
    </row>
    <row r="889" spans="4:12" ht="14.4" customHeight="1">
      <c r="D889" s="4">
        <v>43271</v>
      </c>
      <c r="E889" s="5">
        <v>6.16</v>
      </c>
      <c r="F889" s="5">
        <f t="shared" si="40"/>
        <v>1.4102759724617057E-4</v>
      </c>
      <c r="G889" s="3" cm="1">
        <f t="array" ref="G889">SUMPRODUCT(IF(((H889-$F$4:$F$515)/$B$10)&lt;=-1,0,IF(((H889-$F$4:$F$515)/$B$10)&gt;=1,1,(15/16)*(((H889-$F$4:$F$515)/$B$10)-(2/3)*((H889-$F$4:$F$515)/$B$10)^3+(1/5)*((H889-$F$4:$F$515)/$B$10)^5+8/15))))/COUNT($F$4:$F$515)</f>
        <v>0.15951224973109501</v>
      </c>
      <c r="H889" s="5">
        <f t="shared" si="41"/>
        <v>-8.9549398784990568E-3</v>
      </c>
      <c r="K889" s="4">
        <v>0.01</v>
      </c>
      <c r="L889" s="5">
        <f t="shared" si="39"/>
        <v>-1.6954939878499008E-2</v>
      </c>
    </row>
    <row r="890" spans="4:12" ht="14.4" customHeight="1">
      <c r="D890" s="14">
        <v>43272</v>
      </c>
      <c r="E890" s="15">
        <v>6.0640000000000001</v>
      </c>
      <c r="F890" s="15">
        <f t="shared" si="40"/>
        <v>-6.8215195404283365E-3</v>
      </c>
      <c r="G890" s="16" cm="1">
        <f t="array" ref="G890">SUMPRODUCT(IF(((H890-$F$4:$F$515)/$B$10)&lt;=-1,0,IF(((H890-$F$4:$F$515)/$B$10)&gt;=1,1,(15/16)*(((H890-$F$4:$F$515)/$B$10)-(2/3)*((H890-$F$4:$F$515)/$B$10)^3+(1/5)*((H890-$F$4:$F$515)/$B$10)^5+8/15))))/COUNT($F$4:$F$515)</f>
        <v>0.16195093482099385</v>
      </c>
      <c r="H890" s="15">
        <f t="shared" si="41"/>
        <v>-8.8549398784990574E-3</v>
      </c>
      <c r="K890" s="14">
        <v>0.01</v>
      </c>
      <c r="L890" s="15">
        <f t="shared" si="39"/>
        <v>-1.6954939878499008E-2</v>
      </c>
    </row>
    <row r="891" spans="4:12" ht="14.4" customHeight="1">
      <c r="D891" s="4">
        <v>43273</v>
      </c>
      <c r="E891" s="5">
        <v>6.1079999999999997</v>
      </c>
      <c r="F891" s="5">
        <f t="shared" si="40"/>
        <v>3.1398357603864119E-3</v>
      </c>
      <c r="G891" s="3" cm="1">
        <f t="array" ref="G891">SUMPRODUCT(IF(((H891-$F$4:$F$515)/$B$10)&lt;=-1,0,IF(((H891-$F$4:$F$515)/$B$10)&gt;=1,1,(15/16)*(((H891-$F$4:$F$515)/$B$10)-(2/3)*((H891-$F$4:$F$515)/$B$10)^3+(1/5)*((H891-$F$4:$F$515)/$B$10)^5+8/15))))/COUNT($F$4:$F$515)</f>
        <v>0.164432847485322</v>
      </c>
      <c r="H891" s="5">
        <f t="shared" si="41"/>
        <v>-8.754939878499058E-3</v>
      </c>
      <c r="K891" s="4">
        <v>0.01</v>
      </c>
      <c r="L891" s="5">
        <f t="shared" si="39"/>
        <v>-1.6954939878499008E-2</v>
      </c>
    </row>
    <row r="892" spans="4:12" ht="14.4" customHeight="1">
      <c r="D892" s="14">
        <v>43276</v>
      </c>
      <c r="E892" s="15">
        <v>6.0019999999999998</v>
      </c>
      <c r="F892" s="15">
        <f t="shared" si="40"/>
        <v>-7.6030372955497591E-3</v>
      </c>
      <c r="G892" s="16" cm="1">
        <f t="array" ref="G892">SUMPRODUCT(IF(((H892-$F$4:$F$515)/$B$10)&lt;=-1,0,IF(((H892-$F$4:$F$515)/$B$10)&gt;=1,1,(15/16)*(((H892-$F$4:$F$515)/$B$10)-(2/3)*((H892-$F$4:$F$515)/$B$10)^3+(1/5)*((H892-$F$4:$F$515)/$B$10)^5+8/15))))/COUNT($F$4:$F$515)</f>
        <v>0.16695778995146446</v>
      </c>
      <c r="H892" s="15">
        <f t="shared" si="41"/>
        <v>-8.6549398784990586E-3</v>
      </c>
      <c r="K892" s="14">
        <v>0.01</v>
      </c>
      <c r="L892" s="15">
        <f t="shared" si="39"/>
        <v>-1.6954939878499008E-2</v>
      </c>
    </row>
    <row r="893" spans="4:12" ht="14.4" customHeight="1">
      <c r="D893" s="4">
        <v>43277</v>
      </c>
      <c r="E893" s="5">
        <v>6.0179999999999998</v>
      </c>
      <c r="F893" s="5">
        <f t="shared" si="40"/>
        <v>1.1561923152279519E-3</v>
      </c>
      <c r="G893" s="3" cm="1">
        <f t="array" ref="G893">SUMPRODUCT(IF(((H893-$F$4:$F$515)/$B$10)&lt;=-1,0,IF(((H893-$F$4:$F$515)/$B$10)&gt;=1,1,(15/16)*(((H893-$F$4:$F$515)/$B$10)-(2/3)*((H893-$F$4:$F$515)/$B$10)^3+(1/5)*((H893-$F$4:$F$515)/$B$10)^5+8/15))))/COUNT($F$4:$F$515)</f>
        <v>0.16952532006473434</v>
      </c>
      <c r="H893" s="5">
        <f t="shared" si="41"/>
        <v>-8.5549398784990592E-3</v>
      </c>
      <c r="K893" s="4">
        <v>0.01</v>
      </c>
      <c r="L893" s="5">
        <f t="shared" si="39"/>
        <v>-1.6954939878499008E-2</v>
      </c>
    </row>
    <row r="894" spans="4:12" ht="14.4" customHeight="1">
      <c r="D894" s="14">
        <v>43278</v>
      </c>
      <c r="E894" s="15">
        <v>6.0060000000000002</v>
      </c>
      <c r="F894" s="15">
        <f t="shared" si="40"/>
        <v>-8.6685554109947017E-4</v>
      </c>
      <c r="G894" s="16" cm="1">
        <f t="array" ref="G894">SUMPRODUCT(IF(((H894-$F$4:$F$515)/$B$10)&lt;=-1,0,IF(((H894-$F$4:$F$515)/$B$10)&gt;=1,1,(15/16)*(((H894-$F$4:$F$515)/$B$10)-(2/3)*((H894-$F$4:$F$515)/$B$10)^3+(1/5)*((H894-$F$4:$F$515)/$B$10)^5+8/15))))/COUNT($F$4:$F$515)</f>
        <v>0.17213488019464709</v>
      </c>
      <c r="H894" s="15">
        <f t="shared" si="41"/>
        <v>-8.4549398784990598E-3</v>
      </c>
      <c r="K894" s="14">
        <v>0.01</v>
      </c>
      <c r="L894" s="15">
        <f t="shared" si="39"/>
        <v>-1.6954939878499008E-2</v>
      </c>
    </row>
    <row r="895" spans="4:12" ht="14.4" customHeight="1">
      <c r="D895" s="4">
        <v>43279</v>
      </c>
      <c r="E895" s="5">
        <v>5.98</v>
      </c>
      <c r="F895" s="5">
        <f t="shared" si="40"/>
        <v>-1.8841438745514144E-3</v>
      </c>
      <c r="G895" s="3" cm="1">
        <f t="array" ref="G895">SUMPRODUCT(IF(((H895-$F$4:$F$515)/$B$10)&lt;=-1,0,IF(((H895-$F$4:$F$515)/$B$10)&gt;=1,1,(15/16)*(((H895-$F$4:$F$515)/$B$10)-(2/3)*((H895-$F$4:$F$515)/$B$10)^3+(1/5)*((H895-$F$4:$F$515)/$B$10)^5+8/15))))/COUNT($F$4:$F$515)</f>
        <v>0.17478549170215832</v>
      </c>
      <c r="H895" s="5">
        <f t="shared" si="41"/>
        <v>-8.3549398784990604E-3</v>
      </c>
      <c r="K895" s="4">
        <v>0.01</v>
      </c>
      <c r="L895" s="5">
        <f t="shared" si="39"/>
        <v>-1.6954939878499008E-2</v>
      </c>
    </row>
    <row r="896" spans="4:12" ht="14.4" customHeight="1">
      <c r="D896" s="14">
        <v>43280</v>
      </c>
      <c r="E896" s="15">
        <v>6.0780000000000003</v>
      </c>
      <c r="F896" s="15">
        <f t="shared" si="40"/>
        <v>7.0595117555131842E-3</v>
      </c>
      <c r="G896" s="16" cm="1">
        <f t="array" ref="G896">SUMPRODUCT(IF(((H896-$F$4:$F$515)/$B$10)&lt;=-1,0,IF(((H896-$F$4:$F$515)/$B$10)&gt;=1,1,(15/16)*(((H896-$F$4:$F$515)/$B$10)-(2/3)*((H896-$F$4:$F$515)/$B$10)^3+(1/5)*((H896-$F$4:$F$515)/$B$10)^5+8/15))))/COUNT($F$4:$F$515)</f>
        <v>0.17747551580838117</v>
      </c>
      <c r="H896" s="15">
        <f t="shared" si="41"/>
        <v>-8.254939878499061E-3</v>
      </c>
      <c r="K896" s="14">
        <v>0.01</v>
      </c>
      <c r="L896" s="15">
        <f t="shared" si="39"/>
        <v>-1.6954939878499008E-2</v>
      </c>
    </row>
    <row r="897" spans="4:12" ht="14.4" customHeight="1">
      <c r="D897" s="4">
        <v>43283</v>
      </c>
      <c r="E897" s="5">
        <v>5.984</v>
      </c>
      <c r="F897" s="5">
        <f t="shared" si="40"/>
        <v>-6.7691108875191476E-3</v>
      </c>
      <c r="G897" s="3" cm="1">
        <f t="array" ref="G897">SUMPRODUCT(IF(((H897-$F$4:$F$515)/$B$10)&lt;=-1,0,IF(((H897-$F$4:$F$515)/$B$10)&gt;=1,1,(15/16)*(((H897-$F$4:$F$515)/$B$10)-(2/3)*((H897-$F$4:$F$515)/$B$10)^3+(1/5)*((H897-$F$4:$F$515)/$B$10)^5+8/15))))/COUNT($F$4:$F$515)</f>
        <v>0.18020256913246169</v>
      </c>
      <c r="H897" s="5">
        <f t="shared" si="41"/>
        <v>-8.1549398784990616E-3</v>
      </c>
      <c r="K897" s="4">
        <v>0.01</v>
      </c>
      <c r="L897" s="5">
        <f t="shared" si="39"/>
        <v>-1.6954939878499008E-2</v>
      </c>
    </row>
    <row r="898" spans="4:12" ht="14.4" customHeight="1">
      <c r="D898" s="14">
        <v>43284</v>
      </c>
      <c r="E898" s="15">
        <v>5.98</v>
      </c>
      <c r="F898" s="15">
        <f t="shared" si="40"/>
        <v>-2.9040086799407913E-4</v>
      </c>
      <c r="G898" s="16" cm="1">
        <f t="array" ref="G898">SUMPRODUCT(IF(((H898-$F$4:$F$515)/$B$10)&lt;=-1,0,IF(((H898-$F$4:$F$515)/$B$10)&gt;=1,1,(15/16)*(((H898-$F$4:$F$515)/$B$10)-(2/3)*((H898-$F$4:$F$515)/$B$10)^3+(1/5)*((H898-$F$4:$F$515)/$B$10)^5+8/15))))/COUNT($F$4:$F$515)</f>
        <v>0.18296448838726739</v>
      </c>
      <c r="H898" s="15">
        <f t="shared" si="41"/>
        <v>-8.0549398784990622E-3</v>
      </c>
      <c r="K898" s="14">
        <v>0.01</v>
      </c>
      <c r="L898" s="15">
        <f t="shared" si="39"/>
        <v>-1.6954939878499008E-2</v>
      </c>
    </row>
    <row r="899" spans="4:12" ht="14.4" customHeight="1">
      <c r="D899" s="4">
        <v>43285</v>
      </c>
      <c r="E899" s="5">
        <v>6.0039999999999996</v>
      </c>
      <c r="F899" s="5">
        <f t="shared" si="40"/>
        <v>1.7394995828218971E-3</v>
      </c>
      <c r="G899" s="3" cm="1">
        <f t="array" ref="G899">SUMPRODUCT(IF(((H899-$F$4:$F$515)/$B$10)&lt;=-1,0,IF(((H899-$F$4:$F$515)/$B$10)&gt;=1,1,(15/16)*(((H899-$F$4:$F$515)/$B$10)-(2/3)*((H899-$F$4:$F$515)/$B$10)^3+(1/5)*((H899-$F$4:$F$515)/$B$10)^5+8/15))))/COUNT($F$4:$F$515)</f>
        <v>0.18575942929087272</v>
      </c>
      <c r="H899" s="5">
        <f t="shared" si="41"/>
        <v>-7.9549398784990628E-3</v>
      </c>
      <c r="K899" s="4">
        <v>0.01</v>
      </c>
      <c r="L899" s="5">
        <f t="shared" si="39"/>
        <v>-1.6954939878499008E-2</v>
      </c>
    </row>
    <row r="900" spans="4:12" ht="14.4" customHeight="1">
      <c r="D900" s="14">
        <v>43286</v>
      </c>
      <c r="E900" s="15">
        <v>6.06</v>
      </c>
      <c r="F900" s="15">
        <f t="shared" si="40"/>
        <v>4.0319405950534687E-3</v>
      </c>
      <c r="G900" s="16" cm="1">
        <f t="array" ref="G900">SUMPRODUCT(IF(((H900-$F$4:$F$515)/$B$10)&lt;=-1,0,IF(((H900-$F$4:$F$515)/$B$10)&gt;=1,1,(15/16)*(((H900-$F$4:$F$515)/$B$10)-(2/3)*((H900-$F$4:$F$515)/$B$10)^3+(1/5)*((H900-$F$4:$F$515)/$B$10)^5+8/15))))/COUNT($F$4:$F$515)</f>
        <v>0.18858583028174228</v>
      </c>
      <c r="H900" s="15">
        <f t="shared" si="41"/>
        <v>-7.8549398784990634E-3</v>
      </c>
      <c r="K900" s="14">
        <v>0.01</v>
      </c>
      <c r="L900" s="15">
        <f t="shared" ref="L900:L963" si="42">$B$7</f>
        <v>-1.6954939878499008E-2</v>
      </c>
    </row>
    <row r="901" spans="4:12" ht="14.4" customHeight="1">
      <c r="D901" s="4">
        <v>43287</v>
      </c>
      <c r="E901" s="5">
        <v>6.0380000000000003</v>
      </c>
      <c r="F901" s="5">
        <f t="shared" ref="F901:F964" si="43">LOG(E901/E900)</f>
        <v>-1.5795154792072146E-3</v>
      </c>
      <c r="G901" s="3" cm="1">
        <f t="array" ref="G901">SUMPRODUCT(IF(((H901-$F$4:$F$515)/$B$10)&lt;=-1,0,IF(((H901-$F$4:$F$515)/$B$10)&gt;=1,1,(15/16)*(((H901-$F$4:$F$515)/$B$10)-(2/3)*((H901-$F$4:$F$515)/$B$10)^3+(1/5)*((H901-$F$4:$F$515)/$B$10)^5+8/15))))/COUNT($F$4:$F$515)</f>
        <v>0.19144227669411765</v>
      </c>
      <c r="H901" s="5">
        <f t="shared" ref="H901:H964" si="44">H900+0.0001</f>
        <v>-7.7549398784990632E-3</v>
      </c>
      <c r="K901" s="4">
        <v>0.01</v>
      </c>
      <c r="L901" s="5">
        <f t="shared" si="42"/>
        <v>-1.6954939878499008E-2</v>
      </c>
    </row>
    <row r="902" spans="4:12" ht="14.4" customHeight="1">
      <c r="D902" s="14">
        <v>43290</v>
      </c>
      <c r="E902" s="15">
        <v>6.1059999999999999</v>
      </c>
      <c r="F902" s="15">
        <f t="shared" si="43"/>
        <v>4.8636912755640783E-3</v>
      </c>
      <c r="G902" s="16" cm="1">
        <f t="array" ref="G902">SUMPRODUCT(IF(((H902-$F$4:$F$515)/$B$10)&lt;=-1,0,IF(((H902-$F$4:$F$515)/$B$10)&gt;=1,1,(15/16)*(((H902-$F$4:$F$515)/$B$10)-(2/3)*((H902-$F$4:$F$515)/$B$10)^3+(1/5)*((H902-$F$4:$F$515)/$B$10)^5+8/15))))/COUNT($F$4:$F$515)</f>
        <v>0.19432739039867578</v>
      </c>
      <c r="H902" s="15">
        <f t="shared" si="44"/>
        <v>-7.6549398784990629E-3</v>
      </c>
      <c r="K902" s="14">
        <v>0.01</v>
      </c>
      <c r="L902" s="15">
        <f t="shared" si="42"/>
        <v>-1.6954939878499008E-2</v>
      </c>
    </row>
    <row r="903" spans="4:12" ht="14.4" customHeight="1">
      <c r="D903" s="4">
        <v>43291</v>
      </c>
      <c r="E903" s="5">
        <v>6.0919999999999996</v>
      </c>
      <c r="F903" s="5">
        <f t="shared" si="43"/>
        <v>-9.9690529863804504E-4</v>
      </c>
      <c r="G903" s="3" cm="1">
        <f t="array" ref="G903">SUMPRODUCT(IF(((H903-$F$4:$F$515)/$B$10)&lt;=-1,0,IF(((H903-$F$4:$F$515)/$B$10)&gt;=1,1,(15/16)*(((H903-$F$4:$F$515)/$B$10)-(2/3)*((H903-$F$4:$F$515)/$B$10)^3+(1/5)*((H903-$F$4:$F$515)/$B$10)^5+8/15))))/COUNT($F$4:$F$515)</f>
        <v>0.19723931826184793</v>
      </c>
      <c r="H903" s="5">
        <f t="shared" si="44"/>
        <v>-7.5549398784990627E-3</v>
      </c>
      <c r="K903" s="4">
        <v>0.01</v>
      </c>
      <c r="L903" s="5">
        <f t="shared" si="42"/>
        <v>-1.6954939878499008E-2</v>
      </c>
    </row>
    <row r="904" spans="4:12" ht="14.4" customHeight="1">
      <c r="D904" s="14">
        <v>43292</v>
      </c>
      <c r="E904" s="15">
        <v>6.0380000000000003</v>
      </c>
      <c r="F904" s="15">
        <f t="shared" si="43"/>
        <v>-3.8667859769260177E-3</v>
      </c>
      <c r="G904" s="16" cm="1">
        <f t="array" ref="G904">SUMPRODUCT(IF(((H904-$F$4:$F$515)/$B$10)&lt;=-1,0,IF(((H904-$F$4:$F$515)/$B$10)&gt;=1,1,(15/16)*(((H904-$F$4:$F$515)/$B$10)-(2/3)*((H904-$F$4:$F$515)/$B$10)^3+(1/5)*((H904-$F$4:$F$515)/$B$10)^5+8/15))))/COUNT($F$4:$F$515)</f>
        <v>0.20017639557495329</v>
      </c>
      <c r="H904" s="15">
        <f t="shared" si="44"/>
        <v>-7.4549398784990624E-3</v>
      </c>
      <c r="K904" s="14">
        <v>0.01</v>
      </c>
      <c r="L904" s="15">
        <f t="shared" si="42"/>
        <v>-1.6954939878499008E-2</v>
      </c>
    </row>
    <row r="905" spans="4:12" ht="14.4" customHeight="1">
      <c r="D905" s="4">
        <v>43293</v>
      </c>
      <c r="E905" s="5">
        <v>6.05</v>
      </c>
      <c r="F905" s="5">
        <f t="shared" si="43"/>
        <v>8.6226596538992325E-4</v>
      </c>
      <c r="G905" s="3" cm="1">
        <f t="array" ref="G905">SUMPRODUCT(IF(((H905-$F$4:$F$515)/$B$10)&lt;=-1,0,IF(((H905-$F$4:$F$515)/$B$10)&gt;=1,1,(15/16)*(((H905-$F$4:$F$515)/$B$10)-(2/3)*((H905-$F$4:$F$515)/$B$10)^3+(1/5)*((H905-$F$4:$F$515)/$B$10)^5+8/15))))/COUNT($F$4:$F$515)</f>
        <v>0.20313690603258072</v>
      </c>
      <c r="H905" s="5">
        <f t="shared" si="44"/>
        <v>-7.3549398784990621E-3</v>
      </c>
      <c r="K905" s="4">
        <v>0.01</v>
      </c>
      <c r="L905" s="5">
        <f t="shared" si="42"/>
        <v>-1.6954939878499008E-2</v>
      </c>
    </row>
    <row r="906" spans="4:12" ht="14.4" customHeight="1">
      <c r="D906" s="14">
        <v>43294</v>
      </c>
      <c r="E906" s="15">
        <v>6.03</v>
      </c>
      <c r="F906" s="15">
        <f t="shared" si="43"/>
        <v>-1.438062512317534E-3</v>
      </c>
      <c r="G906" s="16" cm="1">
        <f t="array" ref="G906">SUMPRODUCT(IF(((H906-$F$4:$F$515)/$B$10)&lt;=-1,0,IF(((H906-$F$4:$F$515)/$B$10)&gt;=1,1,(15/16)*(((H906-$F$4:$F$515)/$B$10)-(2/3)*((H906-$F$4:$F$515)/$B$10)^3+(1/5)*((H906-$F$4:$F$515)/$B$10)^5+8/15))))/COUNT($F$4:$F$515)</f>
        <v>0.20611928227389345</v>
      </c>
      <c r="H906" s="15">
        <f t="shared" si="44"/>
        <v>-7.2549398784990619E-3</v>
      </c>
      <c r="K906" s="14">
        <v>0.01</v>
      </c>
      <c r="L906" s="15">
        <f t="shared" si="42"/>
        <v>-1.6954939878499008E-2</v>
      </c>
    </row>
    <row r="907" spans="4:12" ht="14.4" customHeight="1">
      <c r="D907" s="4">
        <v>43297</v>
      </c>
      <c r="E907" s="5">
        <v>6</v>
      </c>
      <c r="F907" s="5">
        <f t="shared" si="43"/>
        <v>-2.1660617565077149E-3</v>
      </c>
      <c r="G907" s="3" cm="1">
        <f t="array" ref="G907">SUMPRODUCT(IF(((H907-$F$4:$F$515)/$B$10)&lt;=-1,0,IF(((H907-$F$4:$F$515)/$B$10)&gt;=1,1,(15/16)*(((H907-$F$4:$F$515)/$B$10)-(2/3)*((H907-$F$4:$F$515)/$B$10)^3+(1/5)*((H907-$F$4:$F$515)/$B$10)^5+8/15))))/COUNT($F$4:$F$515)</f>
        <v>0.20912222982231451</v>
      </c>
      <c r="H907" s="5">
        <f t="shared" si="44"/>
        <v>-7.1549398784990616E-3</v>
      </c>
      <c r="K907" s="4">
        <v>0.01</v>
      </c>
      <c r="L907" s="5">
        <f t="shared" si="42"/>
        <v>-1.6954939878499008E-2</v>
      </c>
    </row>
    <row r="908" spans="4:12" ht="14.4" customHeight="1">
      <c r="D908" s="14">
        <v>43298</v>
      </c>
      <c r="E908" s="15">
        <v>5.9560000000000004</v>
      </c>
      <c r="F908" s="15">
        <f t="shared" si="43"/>
        <v>-3.1965613035050827E-3</v>
      </c>
      <c r="G908" s="16" cm="1">
        <f t="array" ref="G908">SUMPRODUCT(IF(((H908-$F$4:$F$515)/$B$10)&lt;=-1,0,IF(((H908-$F$4:$F$515)/$B$10)&gt;=1,1,(15/16)*(((H908-$F$4:$F$515)/$B$10)-(2/3)*((H908-$F$4:$F$515)/$B$10)^3+(1/5)*((H908-$F$4:$F$515)/$B$10)^5+8/15))))/COUNT($F$4:$F$515)</f>
        <v>0.21214504415721144</v>
      </c>
      <c r="H908" s="15">
        <f t="shared" si="44"/>
        <v>-7.0549398784990613E-3</v>
      </c>
      <c r="K908" s="14">
        <v>0.01</v>
      </c>
      <c r="L908" s="15">
        <f t="shared" si="42"/>
        <v>-1.6954939878499008E-2</v>
      </c>
    </row>
    <row r="909" spans="4:12" ht="14.4" customHeight="1">
      <c r="D909" s="4">
        <v>43299</v>
      </c>
      <c r="E909" s="5">
        <v>5.97</v>
      </c>
      <c r="F909" s="5">
        <f t="shared" si="43"/>
        <v>1.0196420492304668E-3</v>
      </c>
      <c r="G909" s="3" cm="1">
        <f t="array" ref="G909">SUMPRODUCT(IF(((H909-$F$4:$F$515)/$B$10)&lt;=-1,0,IF(((H909-$F$4:$F$515)/$B$10)&gt;=1,1,(15/16)*(((H909-$F$4:$F$515)/$B$10)-(2/3)*((H909-$F$4:$F$515)/$B$10)^3+(1/5)*((H909-$F$4:$F$515)/$B$10)^5+8/15))))/COUNT($F$4:$F$515)</f>
        <v>0.2151875532370934</v>
      </c>
      <c r="H909" s="5">
        <f t="shared" si="44"/>
        <v>-6.9549398784990611E-3</v>
      </c>
      <c r="K909" s="4">
        <v>0.01</v>
      </c>
      <c r="L909" s="5">
        <f t="shared" si="42"/>
        <v>-1.6954939878499008E-2</v>
      </c>
    </row>
    <row r="910" spans="4:12" ht="14.4" customHeight="1">
      <c r="D910" s="14">
        <v>43300</v>
      </c>
      <c r="E910" s="15">
        <v>5.9619999999999997</v>
      </c>
      <c r="F910" s="15">
        <f t="shared" si="43"/>
        <v>-5.8235943275713727E-4</v>
      </c>
      <c r="G910" s="16" cm="1">
        <f t="array" ref="G910">SUMPRODUCT(IF(((H910-$F$4:$F$515)/$B$10)&lt;=-1,0,IF(((H910-$F$4:$F$515)/$B$10)&gt;=1,1,(15/16)*(((H910-$F$4:$F$515)/$B$10)-(2/3)*((H910-$F$4:$F$515)/$B$10)^3+(1/5)*((H910-$F$4:$F$515)/$B$10)^5+8/15))))/COUNT($F$4:$F$515)</f>
        <v>0.21824971211481639</v>
      </c>
      <c r="H910" s="15">
        <f t="shared" si="44"/>
        <v>-6.8549398784990608E-3</v>
      </c>
      <c r="K910" s="14">
        <v>0.01</v>
      </c>
      <c r="L910" s="15">
        <f t="shared" si="42"/>
        <v>-1.6954939878499008E-2</v>
      </c>
    </row>
    <row r="911" spans="4:12" ht="14.4" customHeight="1">
      <c r="D911" s="4">
        <v>43301</v>
      </c>
      <c r="E911" s="5">
        <v>5.8920000000000003</v>
      </c>
      <c r="F911" s="5">
        <f t="shared" si="43"/>
        <v>-5.1292335260186353E-3</v>
      </c>
      <c r="G911" s="3" cm="1">
        <f t="array" ref="G911">SUMPRODUCT(IF(((H911-$F$4:$F$515)/$B$10)&lt;=-1,0,IF(((H911-$F$4:$F$515)/$B$10)&gt;=1,1,(15/16)*(((H911-$F$4:$F$515)/$B$10)-(2/3)*((H911-$F$4:$F$515)/$B$10)^3+(1/5)*((H911-$F$4:$F$515)/$B$10)^5+8/15))))/COUNT($F$4:$F$515)</f>
        <v>0.22133222307699246</v>
      </c>
      <c r="H911" s="5">
        <f t="shared" si="44"/>
        <v>-6.7549398784990606E-3</v>
      </c>
      <c r="K911" s="4">
        <v>0.01</v>
      </c>
      <c r="L911" s="5">
        <f t="shared" si="42"/>
        <v>-1.6954939878499008E-2</v>
      </c>
    </row>
    <row r="912" spans="4:12" ht="14.4" customHeight="1">
      <c r="D912" s="14">
        <v>43304</v>
      </c>
      <c r="E912" s="15">
        <v>5.8659999999999997</v>
      </c>
      <c r="F912" s="15">
        <f t="shared" si="43"/>
        <v>-1.9206795260600033E-3</v>
      </c>
      <c r="G912" s="16" cm="1">
        <f t="array" ref="G912">SUMPRODUCT(IF(((H912-$F$4:$F$515)/$B$10)&lt;=-1,0,IF(((H912-$F$4:$F$515)/$B$10)&gt;=1,1,(15/16)*(((H912-$F$4:$F$515)/$B$10)-(2/3)*((H912-$F$4:$F$515)/$B$10)^3+(1/5)*((H912-$F$4:$F$515)/$B$10)^5+8/15))))/COUNT($F$4:$F$515)</f>
        <v>0.22443674895613108</v>
      </c>
      <c r="H912" s="15">
        <f t="shared" si="44"/>
        <v>-6.6549398784990603E-3</v>
      </c>
      <c r="K912" s="14">
        <v>0.01</v>
      </c>
      <c r="L912" s="15">
        <f t="shared" si="42"/>
        <v>-1.6954939878499008E-2</v>
      </c>
    </row>
    <row r="913" spans="4:12" ht="14.4" customHeight="1">
      <c r="D913" s="4">
        <v>43305</v>
      </c>
      <c r="E913" s="5">
        <v>6.0359999999999996</v>
      </c>
      <c r="F913" s="5">
        <f t="shared" si="43"/>
        <v>1.2407172459018923E-2</v>
      </c>
      <c r="G913" s="3" cm="1">
        <f t="array" ref="G913">SUMPRODUCT(IF(((H913-$F$4:$F$515)/$B$10)&lt;=-1,0,IF(((H913-$F$4:$F$515)/$B$10)&gt;=1,1,(15/16)*(((H913-$F$4:$F$515)/$B$10)-(2/3)*((H913-$F$4:$F$515)/$B$10)^3+(1/5)*((H913-$F$4:$F$515)/$B$10)^5+8/15))))/COUNT($F$4:$F$515)</f>
        <v>0.22756608877304346</v>
      </c>
      <c r="H913" s="5">
        <f t="shared" si="44"/>
        <v>-6.55493987849906E-3</v>
      </c>
      <c r="K913" s="4">
        <v>0.01</v>
      </c>
      <c r="L913" s="5">
        <f t="shared" si="42"/>
        <v>-1.6954939878499008E-2</v>
      </c>
    </row>
    <row r="914" spans="4:12" ht="14.4" customHeight="1">
      <c r="D914" s="14">
        <v>43306</v>
      </c>
      <c r="E914" s="15">
        <v>6</v>
      </c>
      <c r="F914" s="15">
        <f t="shared" si="43"/>
        <v>-2.5979807199085769E-3</v>
      </c>
      <c r="G914" s="16" cm="1">
        <f t="array" ref="G914">SUMPRODUCT(IF(((H914-$F$4:$F$515)/$B$10)&lt;=-1,0,IF(((H914-$F$4:$F$515)/$B$10)&gt;=1,1,(15/16)*(((H914-$F$4:$F$515)/$B$10)-(2/3)*((H914-$F$4:$F$515)/$B$10)^3+(1/5)*((H914-$F$4:$F$515)/$B$10)^5+8/15))))/COUNT($F$4:$F$515)</f>
        <v>0.23072279770100895</v>
      </c>
      <c r="H914" s="15">
        <f t="shared" si="44"/>
        <v>-6.4549398784990598E-3</v>
      </c>
      <c r="K914" s="14">
        <v>0.01</v>
      </c>
      <c r="L914" s="15">
        <f t="shared" si="42"/>
        <v>-1.6954939878499008E-2</v>
      </c>
    </row>
    <row r="915" spans="4:12" ht="14.4" customHeight="1">
      <c r="D915" s="4">
        <v>43307</v>
      </c>
      <c r="E915" s="5">
        <v>5.9779999999999998</v>
      </c>
      <c r="F915" s="5">
        <f t="shared" si="43"/>
        <v>-1.5953396803817595E-3</v>
      </c>
      <c r="G915" s="3" cm="1">
        <f t="array" ref="G915">SUMPRODUCT(IF(((H915-$F$4:$F$515)/$B$10)&lt;=-1,0,IF(((H915-$F$4:$F$515)/$B$10)&gt;=1,1,(15/16)*(((H915-$F$4:$F$515)/$B$10)-(2/3)*((H915-$F$4:$F$515)/$B$10)^3+(1/5)*((H915-$F$4:$F$515)/$B$10)^5+8/15))))/COUNT($F$4:$F$515)</f>
        <v>0.23390927765261812</v>
      </c>
      <c r="H915" s="5">
        <f t="shared" si="44"/>
        <v>-6.3549398784990595E-3</v>
      </c>
      <c r="K915" s="4">
        <v>0.01</v>
      </c>
      <c r="L915" s="5">
        <f t="shared" si="42"/>
        <v>-1.6954939878499008E-2</v>
      </c>
    </row>
    <row r="916" spans="4:12" ht="14.4" customHeight="1">
      <c r="D916" s="14">
        <v>43308</v>
      </c>
      <c r="E916" s="15">
        <v>6.0339999999999998</v>
      </c>
      <c r="F916" s="15">
        <f t="shared" si="43"/>
        <v>4.049395135707741E-3</v>
      </c>
      <c r="G916" s="16" cm="1">
        <f t="array" ref="G916">SUMPRODUCT(IF(((H916-$F$4:$F$515)/$B$10)&lt;=-1,0,IF(((H916-$F$4:$F$515)/$B$10)&gt;=1,1,(15/16)*(((H916-$F$4:$F$515)/$B$10)-(2/3)*((H916-$F$4:$F$515)/$B$10)^3+(1/5)*((H916-$F$4:$F$515)/$B$10)^5+8/15))))/COUNT($F$4:$F$515)</f>
        <v>0.23712766358815471</v>
      </c>
      <c r="H916" s="15">
        <f t="shared" si="44"/>
        <v>-6.2549398784990592E-3</v>
      </c>
      <c r="K916" s="14">
        <v>0.01</v>
      </c>
      <c r="L916" s="15">
        <f t="shared" si="42"/>
        <v>-1.6954939878499008E-2</v>
      </c>
    </row>
    <row r="917" spans="4:12" ht="14.4" customHeight="1">
      <c r="D917" s="4">
        <v>43311</v>
      </c>
      <c r="E917" s="5">
        <v>6.0759999999999996</v>
      </c>
      <c r="F917" s="5">
        <f t="shared" si="43"/>
        <v>3.0124593517790507E-3</v>
      </c>
      <c r="G917" s="3" cm="1">
        <f t="array" ref="G917">SUMPRODUCT(IF(((H917-$F$4:$F$515)/$B$10)&lt;=-1,0,IF(((H917-$F$4:$F$515)/$B$10)&gt;=1,1,(15/16)*(((H917-$F$4:$F$515)/$B$10)-(2/3)*((H917-$F$4:$F$515)/$B$10)^3+(1/5)*((H917-$F$4:$F$515)/$B$10)^5+8/15))))/COUNT($F$4:$F$515)</f>
        <v>0.24038018957288998</v>
      </c>
      <c r="H917" s="5">
        <f t="shared" si="44"/>
        <v>-6.154939878499059E-3</v>
      </c>
      <c r="K917" s="4">
        <v>0.01</v>
      </c>
      <c r="L917" s="5">
        <f t="shared" si="42"/>
        <v>-1.6954939878499008E-2</v>
      </c>
    </row>
    <row r="918" spans="4:12" ht="14.4" customHeight="1">
      <c r="D918" s="14">
        <v>43312</v>
      </c>
      <c r="E918" s="15">
        <v>6.15</v>
      </c>
      <c r="F918" s="15">
        <f t="shared" si="43"/>
        <v>5.2573505846681013E-3</v>
      </c>
      <c r="G918" s="16" cm="1">
        <f t="array" ref="G918">SUMPRODUCT(IF(((H918-$F$4:$F$515)/$B$10)&lt;=-1,0,IF(((H918-$F$4:$F$515)/$B$10)&gt;=1,1,(15/16)*(((H918-$F$4:$F$515)/$B$10)-(2/3)*((H918-$F$4:$F$515)/$B$10)^3+(1/5)*((H918-$F$4:$F$515)/$B$10)^5+8/15))))/COUNT($F$4:$F$515)</f>
        <v>0.24366979041529405</v>
      </c>
      <c r="H918" s="15">
        <f t="shared" si="44"/>
        <v>-6.0549398784990587E-3</v>
      </c>
      <c r="K918" s="14">
        <v>0.01</v>
      </c>
      <c r="L918" s="15">
        <f t="shared" si="42"/>
        <v>-1.6954939878499008E-2</v>
      </c>
    </row>
    <row r="919" spans="4:12" ht="14.4" customHeight="1">
      <c r="D919" s="4">
        <v>43313</v>
      </c>
      <c r="E919" s="5">
        <v>6.0780000000000003</v>
      </c>
      <c r="F919" s="5">
        <f t="shared" si="43"/>
        <v>-5.1144200314926806E-3</v>
      </c>
      <c r="G919" s="3" cm="1">
        <f t="array" ref="G919">SUMPRODUCT(IF(((H919-$F$4:$F$515)/$B$10)&lt;=-1,0,IF(((H919-$F$4:$F$515)/$B$10)&gt;=1,1,(15/16)*(((H919-$F$4:$F$515)/$B$10)-(2/3)*((H919-$F$4:$F$515)/$B$10)^3+(1/5)*((H919-$F$4:$F$515)/$B$10)^5+8/15))))/COUNT($F$4:$F$515)</f>
        <v>0.24699917825074752</v>
      </c>
      <c r="H919" s="5">
        <f t="shared" si="44"/>
        <v>-5.9549398784990585E-3</v>
      </c>
      <c r="K919" s="4">
        <v>0.01</v>
      </c>
      <c r="L919" s="5">
        <f t="shared" si="42"/>
        <v>-1.6954939878499008E-2</v>
      </c>
    </row>
    <row r="920" spans="4:12" ht="14.4" customHeight="1">
      <c r="D920" s="14">
        <v>43314</v>
      </c>
      <c r="E920" s="15">
        <v>6.0359999999999996</v>
      </c>
      <c r="F920" s="15">
        <f t="shared" si="43"/>
        <v>-3.0114646403718789E-3</v>
      </c>
      <c r="G920" s="16" cm="1">
        <f t="array" ref="G920">SUMPRODUCT(IF(((H920-$F$4:$F$515)/$B$10)&lt;=-1,0,IF(((H920-$F$4:$F$515)/$B$10)&gt;=1,1,(15/16)*(((H920-$F$4:$F$515)/$B$10)-(2/3)*((H920-$F$4:$F$515)/$B$10)^3+(1/5)*((H920-$F$4:$F$515)/$B$10)^5+8/15))))/COUNT($F$4:$F$515)</f>
        <v>0.2503698652803637</v>
      </c>
      <c r="H920" s="15">
        <f t="shared" si="44"/>
        <v>-5.8549398784990582E-3</v>
      </c>
      <c r="K920" s="14">
        <v>0.01</v>
      </c>
      <c r="L920" s="15">
        <f t="shared" si="42"/>
        <v>-1.6954939878499008E-2</v>
      </c>
    </row>
    <row r="921" spans="4:12" ht="14.4" customHeight="1">
      <c r="D921" s="4">
        <v>43315</v>
      </c>
      <c r="E921" s="5">
        <v>6.1219999999999999</v>
      </c>
      <c r="F921" s="5">
        <f t="shared" si="43"/>
        <v>6.144094157763666E-3</v>
      </c>
      <c r="G921" s="3" cm="1">
        <f t="array" ref="G921">SUMPRODUCT(IF(((H921-$F$4:$F$515)/$B$10)&lt;=-1,0,IF(((H921-$F$4:$F$515)/$B$10)&gt;=1,1,(15/16)*(((H921-$F$4:$F$515)/$B$10)-(2/3)*((H921-$F$4:$F$515)/$B$10)^3+(1/5)*((H921-$F$4:$F$515)/$B$10)^5+8/15))))/COUNT($F$4:$F$515)</f>
        <v>0.25378285779689874</v>
      </c>
      <c r="H921" s="5">
        <f t="shared" si="44"/>
        <v>-5.7549398784990579E-3</v>
      </c>
      <c r="K921" s="4">
        <v>0.01</v>
      </c>
      <c r="L921" s="5">
        <f t="shared" si="42"/>
        <v>-1.6954939878499008E-2</v>
      </c>
    </row>
    <row r="922" spans="4:12" ht="14.4" customHeight="1">
      <c r="D922" s="14">
        <v>43318</v>
      </c>
      <c r="E922" s="15">
        <v>6.0419999999999998</v>
      </c>
      <c r="F922" s="15">
        <f t="shared" si="43"/>
        <v>-5.7126043240542058E-3</v>
      </c>
      <c r="G922" s="16" cm="1">
        <f t="array" ref="G922">SUMPRODUCT(IF(((H922-$F$4:$F$515)/$B$10)&lt;=-1,0,IF(((H922-$F$4:$F$515)/$B$10)&gt;=1,1,(15/16)*(((H922-$F$4:$F$515)/$B$10)-(2/3)*((H922-$F$4:$F$515)/$B$10)^3+(1/5)*((H922-$F$4:$F$515)/$B$10)^5+8/15))))/COUNT($F$4:$F$515)</f>
        <v>0.25723899766506142</v>
      </c>
      <c r="H922" s="15">
        <f t="shared" si="44"/>
        <v>-5.6549398784990577E-3</v>
      </c>
      <c r="K922" s="14">
        <v>0.01</v>
      </c>
      <c r="L922" s="15">
        <f t="shared" si="42"/>
        <v>-1.6954939878499008E-2</v>
      </c>
    </row>
    <row r="923" spans="4:12" ht="14.4" customHeight="1">
      <c r="D923" s="4">
        <v>43319</v>
      </c>
      <c r="E923" s="5">
        <v>6.1840000000000002</v>
      </c>
      <c r="F923" s="5">
        <f t="shared" si="43"/>
        <v>1.0088759973006907E-2</v>
      </c>
      <c r="G923" s="3" cm="1">
        <f t="array" ref="G923">SUMPRODUCT(IF(((H923-$F$4:$F$515)/$B$10)&lt;=-1,0,IF(((H923-$F$4:$F$515)/$B$10)&gt;=1,1,(15/16)*(((H923-$F$4:$F$515)/$B$10)-(2/3)*((H923-$F$4:$F$515)/$B$10)^3+(1/5)*((H923-$F$4:$F$515)/$B$10)^5+8/15))))/COUNT($F$4:$F$515)</f>
        <v>0.2607387949639054</v>
      </c>
      <c r="H923" s="5">
        <f t="shared" si="44"/>
        <v>-5.5549398784990574E-3</v>
      </c>
      <c r="K923" s="4">
        <v>0.01</v>
      </c>
      <c r="L923" s="5">
        <f t="shared" si="42"/>
        <v>-1.6954939878499008E-2</v>
      </c>
    </row>
    <row r="924" spans="4:12" ht="14.4" customHeight="1">
      <c r="D924" s="14">
        <v>43320</v>
      </c>
      <c r="E924" s="15">
        <v>6.1879999999999997</v>
      </c>
      <c r="F924" s="15">
        <f t="shared" si="43"/>
        <v>2.8082411706142804E-4</v>
      </c>
      <c r="G924" s="16" cm="1">
        <f t="array" ref="G924">SUMPRODUCT(IF(((H924-$F$4:$F$515)/$B$10)&lt;=-1,0,IF(((H924-$F$4:$F$515)/$B$10)&gt;=1,1,(15/16)*(((H924-$F$4:$F$515)/$B$10)-(2/3)*((H924-$F$4:$F$515)/$B$10)^3+(1/5)*((H924-$F$4:$F$515)/$B$10)^5+8/15))))/COUNT($F$4:$F$515)</f>
        <v>0.26428296574822746</v>
      </c>
      <c r="H924" s="15">
        <f t="shared" si="44"/>
        <v>-5.4549398784990571E-3</v>
      </c>
      <c r="K924" s="14">
        <v>0.01</v>
      </c>
      <c r="L924" s="15">
        <f t="shared" si="42"/>
        <v>-1.6954939878499008E-2</v>
      </c>
    </row>
    <row r="925" spans="4:12" ht="14.4" customHeight="1">
      <c r="D925" s="4">
        <v>43321</v>
      </c>
      <c r="E925" s="5">
        <v>6.1580000000000004</v>
      </c>
      <c r="F925" s="5">
        <f t="shared" si="43"/>
        <v>-2.1106204601505671E-3</v>
      </c>
      <c r="G925" s="3" cm="1">
        <f t="array" ref="G925">SUMPRODUCT(IF(((H925-$F$4:$F$515)/$B$10)&lt;=-1,0,IF(((H925-$F$4:$F$515)/$B$10)&gt;=1,1,(15/16)*(((H925-$F$4:$F$515)/$B$10)-(2/3)*((H925-$F$4:$F$515)/$B$10)^3+(1/5)*((H925-$F$4:$F$515)/$B$10)^5+8/15))))/COUNT($F$4:$F$515)</f>
        <v>0.26787206018877502</v>
      </c>
      <c r="H925" s="5">
        <f t="shared" si="44"/>
        <v>-5.3549398784990569E-3</v>
      </c>
      <c r="K925" s="4">
        <v>0.01</v>
      </c>
      <c r="L925" s="5">
        <f t="shared" si="42"/>
        <v>-1.6954939878499008E-2</v>
      </c>
    </row>
    <row r="926" spans="4:12" ht="14.4" customHeight="1">
      <c r="D926" s="14">
        <v>43322</v>
      </c>
      <c r="E926" s="15">
        <v>6.0179999999999998</v>
      </c>
      <c r="F926" s="15">
        <f t="shared" si="43"/>
        <v>-9.9875011631175813E-3</v>
      </c>
      <c r="G926" s="16" cm="1">
        <f t="array" ref="G926">SUMPRODUCT(IF(((H926-$F$4:$F$515)/$B$10)&lt;=-1,0,IF(((H926-$F$4:$F$515)/$B$10)&gt;=1,1,(15/16)*(((H926-$F$4:$F$515)/$B$10)-(2/3)*((H926-$F$4:$F$515)/$B$10)^3+(1/5)*((H926-$F$4:$F$515)/$B$10)^5+8/15))))/COUNT($F$4:$F$515)</f>
        <v>0.27150631865491026</v>
      </c>
      <c r="H926" s="15">
        <f t="shared" si="44"/>
        <v>-5.2549398784990566E-3</v>
      </c>
      <c r="K926" s="14">
        <v>0.01</v>
      </c>
      <c r="L926" s="15">
        <f t="shared" si="42"/>
        <v>-1.6954939878499008E-2</v>
      </c>
    </row>
    <row r="927" spans="4:12" ht="14.4" customHeight="1">
      <c r="D927" s="4">
        <v>43325</v>
      </c>
      <c r="E927" s="5">
        <v>5.9139999999999997</v>
      </c>
      <c r="F927" s="5">
        <f t="shared" si="43"/>
        <v>-7.570863213962946E-3</v>
      </c>
      <c r="G927" s="3" cm="1">
        <f t="array" ref="G927">SUMPRODUCT(IF(((H927-$F$4:$F$515)/$B$10)&lt;=-1,0,IF(((H927-$F$4:$F$515)/$B$10)&gt;=1,1,(15/16)*(((H927-$F$4:$F$515)/$B$10)-(2/3)*((H927-$F$4:$F$515)/$B$10)^3+(1/5)*((H927-$F$4:$F$515)/$B$10)^5+8/15))))/COUNT($F$4:$F$515)</f>
        <v>0.27518587646648907</v>
      </c>
      <c r="H927" s="5">
        <f t="shared" si="44"/>
        <v>-5.1549398784990564E-3</v>
      </c>
      <c r="K927" s="4">
        <v>0.01</v>
      </c>
      <c r="L927" s="5">
        <f t="shared" si="42"/>
        <v>-1.6954939878499008E-2</v>
      </c>
    </row>
    <row r="928" spans="4:12" ht="14.4" customHeight="1">
      <c r="D928" s="14">
        <v>43326</v>
      </c>
      <c r="E928" s="15">
        <v>5.8920000000000003</v>
      </c>
      <c r="F928" s="15">
        <f t="shared" si="43"/>
        <v>-1.6185820195054978E-3</v>
      </c>
      <c r="G928" s="16" cm="1">
        <f t="array" ref="G928">SUMPRODUCT(IF(((H928-$F$4:$F$515)/$B$10)&lt;=-1,0,IF(((H928-$F$4:$F$515)/$B$10)&gt;=1,1,(15/16)*(((H928-$F$4:$F$515)/$B$10)-(2/3)*((H928-$F$4:$F$515)/$B$10)^3+(1/5)*((H928-$F$4:$F$515)/$B$10)^5+8/15))))/COUNT($F$4:$F$515)</f>
        <v>0.27891010504856761</v>
      </c>
      <c r="H928" s="15">
        <f t="shared" si="44"/>
        <v>-5.0549398784990561E-3</v>
      </c>
      <c r="K928" s="14">
        <v>0.01</v>
      </c>
      <c r="L928" s="15">
        <f t="shared" si="42"/>
        <v>-1.6954939878499008E-2</v>
      </c>
    </row>
    <row r="929" spans="4:12" ht="14.4" customHeight="1">
      <c r="D929" s="4">
        <v>43327</v>
      </c>
      <c r="E929" s="5">
        <v>5.8179999999999996</v>
      </c>
      <c r="F929" s="5">
        <f t="shared" si="43"/>
        <v>-5.4890212595529644E-3</v>
      </c>
      <c r="G929" s="3" cm="1">
        <f t="array" ref="G929">SUMPRODUCT(IF(((H929-$F$4:$F$515)/$B$10)&lt;=-1,0,IF(((H929-$F$4:$F$515)/$B$10)&gt;=1,1,(15/16)*(((H929-$F$4:$F$515)/$B$10)-(2/3)*((H929-$F$4:$F$515)/$B$10)^3+(1/5)*((H929-$F$4:$F$515)/$B$10)^5+8/15))))/COUNT($F$4:$F$515)</f>
        <v>0.28267790029682965</v>
      </c>
      <c r="H929" s="5">
        <f t="shared" si="44"/>
        <v>-4.9549398784990558E-3</v>
      </c>
      <c r="K929" s="4">
        <v>0.01</v>
      </c>
      <c r="L929" s="5">
        <f t="shared" si="42"/>
        <v>-1.6954939878499008E-2</v>
      </c>
    </row>
    <row r="930" spans="4:12" ht="14.4" customHeight="1">
      <c r="D930" s="14">
        <v>43328</v>
      </c>
      <c r="E930" s="15">
        <v>5.85</v>
      </c>
      <c r="F930" s="15">
        <f t="shared" si="43"/>
        <v>2.3821491711400944E-3</v>
      </c>
      <c r="G930" s="16" cm="1">
        <f t="array" ref="G930">SUMPRODUCT(IF(((H930-$F$4:$F$515)/$B$10)&lt;=-1,0,IF(((H930-$F$4:$F$515)/$B$10)&gt;=1,1,(15/16)*(((H930-$F$4:$F$515)/$B$10)-(2/3)*((H930-$F$4:$F$515)/$B$10)^3+(1/5)*((H930-$F$4:$F$515)/$B$10)^5+8/15))))/COUNT($F$4:$F$515)</f>
        <v>0.28648753462190862</v>
      </c>
      <c r="H930" s="15">
        <f t="shared" si="44"/>
        <v>-4.8549398784990556E-3</v>
      </c>
      <c r="K930" s="14">
        <v>0.01</v>
      </c>
      <c r="L930" s="15">
        <f t="shared" si="42"/>
        <v>-1.6954939878499008E-2</v>
      </c>
    </row>
    <row r="931" spans="4:12" ht="14.4" customHeight="1">
      <c r="D931" s="4">
        <v>43329</v>
      </c>
      <c r="E931" s="5">
        <v>5.7939999999999996</v>
      </c>
      <c r="F931" s="5">
        <f t="shared" si="43"/>
        <v>-4.177375214437451E-3</v>
      </c>
      <c r="G931" s="3" cm="1">
        <f t="array" ref="G931">SUMPRODUCT(IF(((H931-$F$4:$F$515)/$B$10)&lt;=-1,0,IF(((H931-$F$4:$F$515)/$B$10)&gt;=1,1,(15/16)*(((H931-$F$4:$F$515)/$B$10)-(2/3)*((H931-$F$4:$F$515)/$B$10)^3+(1/5)*((H931-$F$4:$F$515)/$B$10)^5+8/15))))/COUNT($F$4:$F$515)</f>
        <v>0.29033728005313053</v>
      </c>
      <c r="H931" s="5">
        <f t="shared" si="44"/>
        <v>-4.7549398784990553E-3</v>
      </c>
      <c r="K931" s="4">
        <v>0.01</v>
      </c>
      <c r="L931" s="5">
        <f t="shared" si="42"/>
        <v>-1.6954939878499008E-2</v>
      </c>
    </row>
    <row r="932" spans="4:12" ht="14.4" customHeight="1">
      <c r="D932" s="14">
        <v>43332</v>
      </c>
      <c r="E932" s="15">
        <v>5.86</v>
      </c>
      <c r="F932" s="15">
        <f t="shared" si="43"/>
        <v>4.9191251503477003E-3</v>
      </c>
      <c r="G932" s="16" cm="1">
        <f t="array" ref="G932">SUMPRODUCT(IF(((H932-$F$4:$F$515)/$B$10)&lt;=-1,0,IF(((H932-$F$4:$F$515)/$B$10)&gt;=1,1,(15/16)*(((H932-$F$4:$F$515)/$B$10)-(2/3)*((H932-$F$4:$F$515)/$B$10)^3+(1/5)*((H932-$F$4:$F$515)/$B$10)^5+8/15))))/COUNT($F$4:$F$515)</f>
        <v>0.29422556343271367</v>
      </c>
      <c r="H932" s="15">
        <f t="shared" si="44"/>
        <v>-4.6549398784990551E-3</v>
      </c>
      <c r="K932" s="14">
        <v>0.01</v>
      </c>
      <c r="L932" s="15">
        <f t="shared" si="42"/>
        <v>-1.6954939878499008E-2</v>
      </c>
    </row>
    <row r="933" spans="4:12" ht="14.4" customHeight="1">
      <c r="D933" s="4">
        <v>43333</v>
      </c>
      <c r="E933" s="5">
        <v>5.8620000000000001</v>
      </c>
      <c r="F933" s="5">
        <f t="shared" si="43"/>
        <v>1.4819808432604454E-4</v>
      </c>
      <c r="G933" s="3" cm="1">
        <f t="array" ref="G933">SUMPRODUCT(IF(((H933-$F$4:$F$515)/$B$10)&lt;=-1,0,IF(((H933-$F$4:$F$515)/$B$10)&gt;=1,1,(15/16)*(((H933-$F$4:$F$515)/$B$10)-(2/3)*((H933-$F$4:$F$515)/$B$10)^3+(1/5)*((H933-$F$4:$F$515)/$B$10)^5+8/15))))/COUNT($F$4:$F$515)</f>
        <v>0.29815071100575485</v>
      </c>
      <c r="H933" s="5">
        <f t="shared" si="44"/>
        <v>-4.5549398784990548E-3</v>
      </c>
      <c r="K933" s="4">
        <v>0.01</v>
      </c>
      <c r="L933" s="5">
        <f t="shared" si="42"/>
        <v>-1.6954939878499008E-2</v>
      </c>
    </row>
    <row r="934" spans="4:12" ht="14.4" customHeight="1">
      <c r="D934" s="14">
        <v>43334</v>
      </c>
      <c r="E934" s="15">
        <v>5.9080000000000004</v>
      </c>
      <c r="F934" s="15">
        <f t="shared" si="43"/>
        <v>3.3946725374952402E-3</v>
      </c>
      <c r="G934" s="16" cm="1">
        <f t="array" ref="G934">SUMPRODUCT(IF(((H934-$F$4:$F$515)/$B$10)&lt;=-1,0,IF(((H934-$F$4:$F$515)/$B$10)&gt;=1,1,(15/16)*(((H934-$F$4:$F$515)/$B$10)-(2/3)*((H934-$F$4:$F$515)/$B$10)^3+(1/5)*((H934-$F$4:$F$515)/$B$10)^5+8/15))))/COUNT($F$4:$F$515)</f>
        <v>0.30211147912687381</v>
      </c>
      <c r="H934" s="15">
        <f t="shared" si="44"/>
        <v>-4.4549398784990545E-3</v>
      </c>
      <c r="K934" s="14">
        <v>0.01</v>
      </c>
      <c r="L934" s="15">
        <f t="shared" si="42"/>
        <v>-1.6954939878499008E-2</v>
      </c>
    </row>
    <row r="935" spans="4:12" ht="14.4" customHeight="1">
      <c r="D935" s="4">
        <v>43335</v>
      </c>
      <c r="E935" s="5">
        <v>5.8879999999999999</v>
      </c>
      <c r="F935" s="5">
        <f t="shared" si="43"/>
        <v>-1.4726853104694954E-3</v>
      </c>
      <c r="G935" s="3" cm="1">
        <f t="array" ref="G935">SUMPRODUCT(IF(((H935-$F$4:$F$515)/$B$10)&lt;=-1,0,IF(((H935-$F$4:$F$515)/$B$10)&gt;=1,1,(15/16)*(((H935-$F$4:$F$515)/$B$10)-(2/3)*((H935-$F$4:$F$515)/$B$10)^3+(1/5)*((H935-$F$4:$F$515)/$B$10)^5+8/15))))/COUNT($F$4:$F$515)</f>
        <v>0.30610723595637318</v>
      </c>
      <c r="H935" s="5">
        <f t="shared" si="44"/>
        <v>-4.3549398784990543E-3</v>
      </c>
      <c r="K935" s="4">
        <v>0.01</v>
      </c>
      <c r="L935" s="5">
        <f t="shared" si="42"/>
        <v>-1.6954939878499008E-2</v>
      </c>
    </row>
    <row r="936" spans="4:12" ht="14.4" customHeight="1">
      <c r="D936" s="14">
        <v>43336</v>
      </c>
      <c r="E936" s="15">
        <v>5.91</v>
      </c>
      <c r="F936" s="15">
        <f t="shared" si="43"/>
        <v>1.6196795518129282E-3</v>
      </c>
      <c r="G936" s="16" cm="1">
        <f t="array" ref="G936">SUMPRODUCT(IF(((H936-$F$4:$F$515)/$B$10)&lt;=-1,0,IF(((H936-$F$4:$F$515)/$B$10)&gt;=1,1,(15/16)*(((H936-$F$4:$F$515)/$B$10)-(2/3)*((H936-$F$4:$F$515)/$B$10)^3+(1/5)*((H936-$F$4:$F$515)/$B$10)^5+8/15))))/COUNT($F$4:$F$515)</f>
        <v>0.31013768513127976</v>
      </c>
      <c r="H936" s="15">
        <f t="shared" si="44"/>
        <v>-4.254939878499054E-3</v>
      </c>
      <c r="K936" s="14">
        <v>0.01</v>
      </c>
      <c r="L936" s="15">
        <f t="shared" si="42"/>
        <v>-1.6954939878499008E-2</v>
      </c>
    </row>
    <row r="937" spans="4:12" ht="14.4" customHeight="1">
      <c r="D937" s="4">
        <v>43339</v>
      </c>
      <c r="E937" s="5">
        <v>5.9480000000000004</v>
      </c>
      <c r="F937" s="5">
        <f t="shared" si="43"/>
        <v>2.783478968661302E-3</v>
      </c>
      <c r="G937" s="3" cm="1">
        <f t="array" ref="G937">SUMPRODUCT(IF(((H937-$F$4:$F$515)/$B$10)&lt;=-1,0,IF(((H937-$F$4:$F$515)/$B$10)&gt;=1,1,(15/16)*(((H937-$F$4:$F$515)/$B$10)-(2/3)*((H937-$F$4:$F$515)/$B$10)^3+(1/5)*((H937-$F$4:$F$515)/$B$10)^5+8/15))))/COUNT($F$4:$F$515)</f>
        <v>0.31420275479901738</v>
      </c>
      <c r="H937" s="5">
        <f t="shared" si="44"/>
        <v>-4.1549398784990537E-3</v>
      </c>
      <c r="K937" s="4">
        <v>0.01</v>
      </c>
      <c r="L937" s="5">
        <f t="shared" si="42"/>
        <v>-1.6954939878499008E-2</v>
      </c>
    </row>
    <row r="938" spans="4:12" ht="14.4" customHeight="1">
      <c r="D938" s="14">
        <v>43340</v>
      </c>
      <c r="E938" s="15">
        <v>5.93</v>
      </c>
      <c r="F938" s="15">
        <f t="shared" si="43"/>
        <v>-1.3162664856540655E-3</v>
      </c>
      <c r="G938" s="16" cm="1">
        <f t="array" ref="G938">SUMPRODUCT(IF(((H938-$F$4:$F$515)/$B$10)&lt;=-1,0,IF(((H938-$F$4:$F$515)/$B$10)&gt;=1,1,(15/16)*(((H938-$F$4:$F$515)/$B$10)-(2/3)*((H938-$F$4:$F$515)/$B$10)^3+(1/5)*((H938-$F$4:$F$515)/$B$10)^5+8/15))))/COUNT($F$4:$F$515)</f>
        <v>0.31830240146980365</v>
      </c>
      <c r="H938" s="15">
        <f t="shared" si="44"/>
        <v>-4.0549398784990535E-3</v>
      </c>
      <c r="K938" s="14">
        <v>0.01</v>
      </c>
      <c r="L938" s="15">
        <f t="shared" si="42"/>
        <v>-1.6954939878499008E-2</v>
      </c>
    </row>
    <row r="939" spans="4:12" ht="14.4" customHeight="1">
      <c r="D939" s="4">
        <v>43341</v>
      </c>
      <c r="E939" s="5">
        <v>5.8520000000000003</v>
      </c>
      <c r="F939" s="5">
        <f t="shared" si="43"/>
        <v>-5.7503759109893597E-3</v>
      </c>
      <c r="G939" s="3" cm="1">
        <f t="array" ref="G939">SUMPRODUCT(IF(((H939-$F$4:$F$515)/$B$10)&lt;=-1,0,IF(((H939-$F$4:$F$515)/$B$10)&gt;=1,1,(15/16)*(((H939-$F$4:$F$515)/$B$10)-(2/3)*((H939-$F$4:$F$515)/$B$10)^3+(1/5)*((H939-$F$4:$F$515)/$B$10)^5+8/15))))/COUNT($F$4:$F$515)</f>
        <v>0.32243718359661316</v>
      </c>
      <c r="H939" s="5">
        <f t="shared" si="44"/>
        <v>-3.9549398784990532E-3</v>
      </c>
      <c r="K939" s="4">
        <v>0.01</v>
      </c>
      <c r="L939" s="5">
        <f t="shared" si="42"/>
        <v>-1.6954939878499008E-2</v>
      </c>
    </row>
    <row r="940" spans="4:12" ht="14.4" customHeight="1">
      <c r="D940" s="14">
        <v>43342</v>
      </c>
      <c r="E940" s="15">
        <v>5.7919999999999998</v>
      </c>
      <c r="F940" s="15">
        <f t="shared" si="43"/>
        <v>-4.4757642641827747E-3</v>
      </c>
      <c r="G940" s="16" cm="1">
        <f t="array" ref="G940">SUMPRODUCT(IF(((H940-$F$4:$F$515)/$B$10)&lt;=-1,0,IF(((H940-$F$4:$F$515)/$B$10)&gt;=1,1,(15/16)*(((H940-$F$4:$F$515)/$B$10)-(2/3)*((H940-$F$4:$F$515)/$B$10)^3+(1/5)*((H940-$F$4:$F$515)/$B$10)^5+8/15))))/COUNT($F$4:$F$515)</f>
        <v>0.32660769797992711</v>
      </c>
      <c r="H940" s="15">
        <f t="shared" si="44"/>
        <v>-3.8549398784990534E-3</v>
      </c>
      <c r="K940" s="14">
        <v>0.01</v>
      </c>
      <c r="L940" s="15">
        <f t="shared" si="42"/>
        <v>-1.6954939878499008E-2</v>
      </c>
    </row>
    <row r="941" spans="4:12" ht="14.4" customHeight="1">
      <c r="D941" s="4">
        <v>43343</v>
      </c>
      <c r="E941" s="5">
        <v>5.75</v>
      </c>
      <c r="F941" s="5">
        <f t="shared" si="43"/>
        <v>-3.1607084994599625E-3</v>
      </c>
      <c r="G941" s="3" cm="1">
        <f t="array" ref="G941">SUMPRODUCT(IF(((H941-$F$4:$F$515)/$B$10)&lt;=-1,0,IF(((H941-$F$4:$F$515)/$B$10)&gt;=1,1,(15/16)*(((H941-$F$4:$F$515)/$B$10)-(2/3)*((H941-$F$4:$F$515)/$B$10)^3+(1/5)*((H941-$F$4:$F$515)/$B$10)^5+8/15))))/COUNT($F$4:$F$515)</f>
        <v>0.33081494986924459</v>
      </c>
      <c r="H941" s="5">
        <f t="shared" si="44"/>
        <v>-3.7549398784990536E-3</v>
      </c>
      <c r="K941" s="4">
        <v>0.01</v>
      </c>
      <c r="L941" s="5">
        <f t="shared" si="42"/>
        <v>-1.6954939878499008E-2</v>
      </c>
    </row>
    <row r="942" spans="4:12" ht="14.4" customHeight="1">
      <c r="D942" s="14">
        <v>43346</v>
      </c>
      <c r="E942" s="15">
        <v>5.7759999999999998</v>
      </c>
      <c r="F942" s="15">
        <f t="shared" si="43"/>
        <v>1.9593398719522466E-3</v>
      </c>
      <c r="G942" s="16" cm="1">
        <f t="array" ref="G942">SUMPRODUCT(IF(((H942-$F$4:$F$515)/$B$10)&lt;=-1,0,IF(((H942-$F$4:$F$515)/$B$10)&gt;=1,1,(15/16)*(((H942-$F$4:$F$515)/$B$10)-(2/3)*((H942-$F$4:$F$515)/$B$10)^3+(1/5)*((H942-$F$4:$F$515)/$B$10)^5+8/15))))/COUNT($F$4:$F$515)</f>
        <v>0.33505956023816574</v>
      </c>
      <c r="H942" s="15">
        <f t="shared" si="44"/>
        <v>-3.6549398784990537E-3</v>
      </c>
      <c r="K942" s="14">
        <v>0.01</v>
      </c>
      <c r="L942" s="15">
        <f t="shared" si="42"/>
        <v>-1.6954939878499008E-2</v>
      </c>
    </row>
    <row r="943" spans="4:12" ht="14.4" customHeight="1">
      <c r="D943" s="4">
        <v>43347</v>
      </c>
      <c r="E943" s="5">
        <v>5.7859999999999996</v>
      </c>
      <c r="F943" s="5">
        <f t="shared" si="43"/>
        <v>7.5124475038138179E-4</v>
      </c>
      <c r="G943" s="3" cm="1">
        <f t="array" ref="G943">SUMPRODUCT(IF(((H943-$F$4:$F$515)/$B$10)&lt;=-1,0,IF(((H943-$F$4:$F$515)/$B$10)&gt;=1,1,(15/16)*(((H943-$F$4:$F$515)/$B$10)-(2/3)*((H943-$F$4:$F$515)/$B$10)^3+(1/5)*((H943-$F$4:$F$515)/$B$10)^5+8/15))))/COUNT($F$4:$F$515)</f>
        <v>0.33934067394215783</v>
      </c>
      <c r="H943" s="5">
        <f t="shared" si="44"/>
        <v>-3.5549398784990539E-3</v>
      </c>
      <c r="K943" s="4">
        <v>0.01</v>
      </c>
      <c r="L943" s="5">
        <f t="shared" si="42"/>
        <v>-1.6954939878499008E-2</v>
      </c>
    </row>
    <row r="944" spans="4:12" ht="14.4" customHeight="1">
      <c r="D944" s="14">
        <v>43348</v>
      </c>
      <c r="E944" s="15">
        <v>5.8319999999999999</v>
      </c>
      <c r="F944" s="15">
        <f t="shared" si="43"/>
        <v>3.4390859979541205E-3</v>
      </c>
      <c r="G944" s="16" cm="1">
        <f t="array" ref="G944">SUMPRODUCT(IF(((H944-$F$4:$F$515)/$B$10)&lt;=-1,0,IF(((H944-$F$4:$F$515)/$B$10)&gt;=1,1,(15/16)*(((H944-$F$4:$F$515)/$B$10)-(2/3)*((H944-$F$4:$F$515)/$B$10)^3+(1/5)*((H944-$F$4:$F$515)/$B$10)^5+8/15))))/COUNT($F$4:$F$515)</f>
        <v>0.3436566814324496</v>
      </c>
      <c r="H944" s="15">
        <f t="shared" si="44"/>
        <v>-3.4549398784990541E-3</v>
      </c>
      <c r="K944" s="14">
        <v>0.01</v>
      </c>
      <c r="L944" s="15">
        <f t="shared" si="42"/>
        <v>-1.6954939878499008E-2</v>
      </c>
    </row>
    <row r="945" spans="4:12" ht="14.4" customHeight="1">
      <c r="D945" s="4">
        <v>43349</v>
      </c>
      <c r="E945" s="5">
        <v>5.8040000000000003</v>
      </c>
      <c r="F945" s="5">
        <f t="shared" si="43"/>
        <v>-2.0901115442199278E-3</v>
      </c>
      <c r="G945" s="3" cm="1">
        <f t="array" ref="G945">SUMPRODUCT(IF(((H945-$F$4:$F$515)/$B$10)&lt;=-1,0,IF(((H945-$F$4:$F$515)/$B$10)&gt;=1,1,(15/16)*(((H945-$F$4:$F$515)/$B$10)-(2/3)*((H945-$F$4:$F$515)/$B$10)^3+(1/5)*((H945-$F$4:$F$515)/$B$10)^5+8/15))))/COUNT($F$4:$F$515)</f>
        <v>0.34800542623416453</v>
      </c>
      <c r="H945" s="5">
        <f t="shared" si="44"/>
        <v>-3.3549398784990542E-3</v>
      </c>
      <c r="K945" s="4">
        <v>0.01</v>
      </c>
      <c r="L945" s="5">
        <f t="shared" si="42"/>
        <v>-1.6954939878499008E-2</v>
      </c>
    </row>
    <row r="946" spans="4:12" ht="14.4" customHeight="1">
      <c r="D946" s="14">
        <v>43350</v>
      </c>
      <c r="E946" s="15">
        <v>5.7320000000000002</v>
      </c>
      <c r="F946" s="15">
        <f t="shared" si="43"/>
        <v>-5.4212220403914253E-3</v>
      </c>
      <c r="G946" s="16" cm="1">
        <f t="array" ref="G946">SUMPRODUCT(IF(((H946-$F$4:$F$515)/$B$10)&lt;=-1,0,IF(((H946-$F$4:$F$515)/$B$10)&gt;=1,1,(15/16)*(((H946-$F$4:$F$515)/$B$10)-(2/3)*((H946-$F$4:$F$515)/$B$10)^3+(1/5)*((H946-$F$4:$F$515)/$B$10)^5+8/15))))/COUNT($F$4:$F$515)</f>
        <v>0.35238440368625612</v>
      </c>
      <c r="H946" s="15">
        <f t="shared" si="44"/>
        <v>-3.2549398784990544E-3</v>
      </c>
      <c r="K946" s="14">
        <v>0.01</v>
      </c>
      <c r="L946" s="15">
        <f t="shared" si="42"/>
        <v>-1.6954939878499008E-2</v>
      </c>
    </row>
    <row r="947" spans="4:12" ht="14.4" customHeight="1">
      <c r="D947" s="4">
        <v>43353</v>
      </c>
      <c r="E947" s="5">
        <v>5.782</v>
      </c>
      <c r="F947" s="5">
        <f t="shared" si="43"/>
        <v>3.7719056093321649E-3</v>
      </c>
      <c r="G947" s="3" cm="1">
        <f t="array" ref="G947">SUMPRODUCT(IF(((H947-$F$4:$F$515)/$B$10)&lt;=-1,0,IF(((H947-$F$4:$F$515)/$B$10)&gt;=1,1,(15/16)*(((H947-$F$4:$F$515)/$B$10)-(2/3)*((H947-$F$4:$F$515)/$B$10)^3+(1/5)*((H947-$F$4:$F$515)/$B$10)^5+8/15))))/COUNT($F$4:$F$515)</f>
        <v>0.35679045951401689</v>
      </c>
      <c r="H947" s="5">
        <f t="shared" si="44"/>
        <v>-3.1549398784990546E-3</v>
      </c>
      <c r="K947" s="4">
        <v>0.01</v>
      </c>
      <c r="L947" s="5">
        <f t="shared" si="42"/>
        <v>-1.6954939878499008E-2</v>
      </c>
    </row>
    <row r="948" spans="4:12" ht="14.4" customHeight="1">
      <c r="D948" s="14">
        <v>43354</v>
      </c>
      <c r="E948" s="15">
        <v>5.7939999999999996</v>
      </c>
      <c r="F948" s="15">
        <f t="shared" si="43"/>
        <v>9.0040353310389591E-4</v>
      </c>
      <c r="G948" s="16" cm="1">
        <f t="array" ref="G948">SUMPRODUCT(IF(((H948-$F$4:$F$515)/$B$10)&lt;=-1,0,IF(((H948-$F$4:$F$515)/$B$10)&gt;=1,1,(15/16)*(((H948-$F$4:$F$515)/$B$10)-(2/3)*((H948-$F$4:$F$515)/$B$10)^3+(1/5)*((H948-$F$4:$F$515)/$B$10)^5+8/15))))/COUNT($F$4:$F$515)</f>
        <v>0.36122041202867439</v>
      </c>
      <c r="H948" s="15">
        <f t="shared" si="44"/>
        <v>-3.0549398784990548E-3</v>
      </c>
      <c r="K948" s="14">
        <v>0.01</v>
      </c>
      <c r="L948" s="15">
        <f t="shared" si="42"/>
        <v>-1.6954939878499008E-2</v>
      </c>
    </row>
    <row r="949" spans="4:12" ht="14.4" customHeight="1">
      <c r="D949" s="4">
        <v>43355</v>
      </c>
      <c r="E949" s="5">
        <v>5.7759999999999998</v>
      </c>
      <c r="F949" s="5">
        <f t="shared" si="43"/>
        <v>-1.3513063061602727E-3</v>
      </c>
      <c r="G949" s="3" cm="1">
        <f t="array" ref="G949">SUMPRODUCT(IF(((H949-$F$4:$F$515)/$B$10)&lt;=-1,0,IF(((H949-$F$4:$F$515)/$B$10)&gt;=1,1,(15/16)*(((H949-$F$4:$F$515)/$B$10)-(2/3)*((H949-$F$4:$F$515)/$B$10)^3+(1/5)*((H949-$F$4:$F$515)/$B$10)^5+8/15))))/COUNT($F$4:$F$515)</f>
        <v>0.36567186125344214</v>
      </c>
      <c r="H949" s="5">
        <f t="shared" si="44"/>
        <v>-2.9549398784990549E-3</v>
      </c>
      <c r="K949" s="4">
        <v>0.01</v>
      </c>
      <c r="L949" s="5">
        <f t="shared" si="42"/>
        <v>-1.6954939878499008E-2</v>
      </c>
    </row>
    <row r="950" spans="4:12" ht="14.4" customHeight="1">
      <c r="D950" s="14">
        <v>43356</v>
      </c>
      <c r="E950" s="15">
        <v>5.9539999999999997</v>
      </c>
      <c r="F950" s="15">
        <f t="shared" si="43"/>
        <v>1.3181645749123259E-2</v>
      </c>
      <c r="G950" s="16" cm="1">
        <f t="array" ref="G950">SUMPRODUCT(IF(((H950-$F$4:$F$515)/$B$10)&lt;=-1,0,IF(((H950-$F$4:$F$515)/$B$10)&gt;=1,1,(15/16)*(((H950-$F$4:$F$515)/$B$10)-(2/3)*((H950-$F$4:$F$515)/$B$10)^3+(1/5)*((H950-$F$4:$F$515)/$B$10)^5+8/15))))/COUNT($F$4:$F$515)</f>
        <v>0.37014217039337571</v>
      </c>
      <c r="H950" s="15">
        <f t="shared" si="44"/>
        <v>-2.8549398784990551E-3</v>
      </c>
      <c r="K950" s="14">
        <v>0.01</v>
      </c>
      <c r="L950" s="15">
        <f t="shared" si="42"/>
        <v>-1.6954939878499008E-2</v>
      </c>
    </row>
    <row r="951" spans="4:12" ht="14.4" customHeight="1">
      <c r="D951" s="4">
        <v>43357</v>
      </c>
      <c r="E951" s="5">
        <v>5.85</v>
      </c>
      <c r="F951" s="5">
        <f t="shared" si="43"/>
        <v>-7.6529642285255283E-3</v>
      </c>
      <c r="G951" s="3" cm="1">
        <f t="array" ref="G951">SUMPRODUCT(IF(((H951-$F$4:$F$515)/$B$10)&lt;=-1,0,IF(((H951-$F$4:$F$515)/$B$10)&gt;=1,1,(15/16)*(((H951-$F$4:$F$515)/$B$10)-(2/3)*((H951-$F$4:$F$515)/$B$10)^3+(1/5)*((H951-$F$4:$F$515)/$B$10)^5+8/15))))/COUNT($F$4:$F$515)</f>
        <v>0.37462780039746585</v>
      </c>
      <c r="H951" s="5">
        <f t="shared" si="44"/>
        <v>-2.7549398784990553E-3</v>
      </c>
      <c r="K951" s="4">
        <v>0.01</v>
      </c>
      <c r="L951" s="5">
        <f t="shared" si="42"/>
        <v>-1.6954939878499008E-2</v>
      </c>
    </row>
    <row r="952" spans="4:12" ht="14.4" customHeight="1">
      <c r="D952" s="14">
        <v>43360</v>
      </c>
      <c r="E952" s="15">
        <v>5.8819999999999997</v>
      </c>
      <c r="F952" s="15">
        <f t="shared" si="43"/>
        <v>2.3691540888701196E-3</v>
      </c>
      <c r="G952" s="16" cm="1">
        <f t="array" ref="G952">SUMPRODUCT(IF(((H952-$F$4:$F$515)/$B$10)&lt;=-1,0,IF(((H952-$F$4:$F$515)/$B$10)&gt;=1,1,(15/16)*(((H952-$F$4:$F$515)/$B$10)-(2/3)*((H952-$F$4:$F$515)/$B$10)^3+(1/5)*((H952-$F$4:$F$515)/$B$10)^5+8/15))))/COUNT($F$4:$F$515)</f>
        <v>0.37912480296566065</v>
      </c>
      <c r="H952" s="15">
        <f t="shared" si="44"/>
        <v>-2.6549398784990554E-3</v>
      </c>
      <c r="K952" s="14">
        <v>0.01</v>
      </c>
      <c r="L952" s="15">
        <f t="shared" si="42"/>
        <v>-1.6954939878499008E-2</v>
      </c>
    </row>
    <row r="953" spans="4:12" ht="14.4" customHeight="1">
      <c r="D953" s="4">
        <v>43361</v>
      </c>
      <c r="E953" s="5">
        <v>5.9740000000000002</v>
      </c>
      <c r="F953" s="5">
        <f t="shared" si="43"/>
        <v>6.7401980970589713E-3</v>
      </c>
      <c r="G953" s="3" cm="1">
        <f t="array" ref="G953">SUMPRODUCT(IF(((H953-$F$4:$F$515)/$B$10)&lt;=-1,0,IF(((H953-$F$4:$F$515)/$B$10)&gt;=1,1,(15/16)*(((H953-$F$4:$F$515)/$B$10)-(2/3)*((H953-$F$4:$F$515)/$B$10)^3+(1/5)*((H953-$F$4:$F$515)/$B$10)^5+8/15))))/COUNT($F$4:$F$515)</f>
        <v>0.38362911669324123</v>
      </c>
      <c r="H953" s="5">
        <f t="shared" si="44"/>
        <v>-2.5549398784990556E-3</v>
      </c>
      <c r="K953" s="4">
        <v>0.01</v>
      </c>
      <c r="L953" s="5">
        <f t="shared" si="42"/>
        <v>-1.6954939878499008E-2</v>
      </c>
    </row>
    <row r="954" spans="4:12" ht="14.4" customHeight="1">
      <c r="D954" s="14">
        <v>43362</v>
      </c>
      <c r="E954" s="15">
        <v>6.032</v>
      </c>
      <c r="F954" s="15">
        <f t="shared" si="43"/>
        <v>4.1961145936081478E-3</v>
      </c>
      <c r="G954" s="16" cm="1">
        <f t="array" ref="G954">SUMPRODUCT(IF(((H954-$F$4:$F$515)/$B$10)&lt;=-1,0,IF(((H954-$F$4:$F$515)/$B$10)&gt;=1,1,(15/16)*(((H954-$F$4:$F$515)/$B$10)-(2/3)*((H954-$F$4:$F$515)/$B$10)^3+(1/5)*((H954-$F$4:$F$515)/$B$10)^5+8/15))))/COUNT($F$4:$F$515)</f>
        <v>0.38813798712480851</v>
      </c>
      <c r="H954" s="15">
        <f t="shared" si="44"/>
        <v>-2.4549398784990558E-3</v>
      </c>
      <c r="K954" s="14">
        <v>0.01</v>
      </c>
      <c r="L954" s="15">
        <f t="shared" si="42"/>
        <v>-1.6954939878499008E-2</v>
      </c>
    </row>
    <row r="955" spans="4:12" ht="14.4" customHeight="1">
      <c r="D955" s="4">
        <v>43363</v>
      </c>
      <c r="E955" s="5">
        <v>6.0439999999999996</v>
      </c>
      <c r="F955" s="5">
        <f t="shared" si="43"/>
        <v>8.6312280527012632E-4</v>
      </c>
      <c r="G955" s="3" cm="1">
        <f t="array" ref="G955">SUMPRODUCT(IF(((H955-$F$4:$F$515)/$B$10)&lt;=-1,0,IF(((H955-$F$4:$F$515)/$B$10)&gt;=1,1,(15/16)*(((H955-$F$4:$F$515)/$B$10)-(2/3)*((H955-$F$4:$F$515)/$B$10)^3+(1/5)*((H955-$F$4:$F$515)/$B$10)^5+8/15))))/COUNT($F$4:$F$515)</f>
        <v>0.39264928183105635</v>
      </c>
      <c r="H955" s="5">
        <f t="shared" si="44"/>
        <v>-2.354939878499056E-3</v>
      </c>
      <c r="K955" s="4">
        <v>0.01</v>
      </c>
      <c r="L955" s="5">
        <f t="shared" si="42"/>
        <v>-1.6954939878499008E-2</v>
      </c>
    </row>
    <row r="956" spans="4:12" ht="14.4" customHeight="1">
      <c r="D956" s="14">
        <v>43364</v>
      </c>
      <c r="E956" s="15">
        <v>6.1139999999999999</v>
      </c>
      <c r="F956" s="15">
        <f t="shared" si="43"/>
        <v>5.0009787230822613E-3</v>
      </c>
      <c r="G956" s="16" cm="1">
        <f t="array" ref="G956">SUMPRODUCT(IF(((H956-$F$4:$F$515)/$B$10)&lt;=-1,0,IF(((H956-$F$4:$F$515)/$B$10)&gt;=1,1,(15/16)*(((H956-$F$4:$F$515)/$B$10)-(2/3)*((H956-$F$4:$F$515)/$B$10)^3+(1/5)*((H956-$F$4:$F$515)/$B$10)^5+8/15))))/COUNT($F$4:$F$515)</f>
        <v>0.39716125164477434</v>
      </c>
      <c r="H956" s="15">
        <f t="shared" si="44"/>
        <v>-2.2549398784990561E-3</v>
      </c>
      <c r="K956" s="14">
        <v>0.01</v>
      </c>
      <c r="L956" s="15">
        <f t="shared" si="42"/>
        <v>-1.6954939878499008E-2</v>
      </c>
    </row>
    <row r="957" spans="4:12" ht="14.4" customHeight="1">
      <c r="D957" s="4">
        <v>43367</v>
      </c>
      <c r="E957" s="5">
        <v>6.0659999999999998</v>
      </c>
      <c r="F957" s="5">
        <f t="shared" si="43"/>
        <v>-3.4230284154253181E-3</v>
      </c>
      <c r="G957" s="3" cm="1">
        <f t="array" ref="G957">SUMPRODUCT(IF(((H957-$F$4:$F$515)/$B$10)&lt;=-1,0,IF(((H957-$F$4:$F$515)/$B$10)&gt;=1,1,(15/16)*(((H957-$F$4:$F$515)/$B$10)-(2/3)*((H957-$F$4:$F$515)/$B$10)^3+(1/5)*((H957-$F$4:$F$515)/$B$10)^5+8/15))))/COUNT($F$4:$F$515)</f>
        <v>0.40167224270271978</v>
      </c>
      <c r="H957" s="5">
        <f t="shared" si="44"/>
        <v>-2.1549398784990563E-3</v>
      </c>
      <c r="K957" s="4">
        <v>0.01</v>
      </c>
      <c r="L957" s="5">
        <f t="shared" si="42"/>
        <v>-1.6954939878499008E-2</v>
      </c>
    </row>
    <row r="958" spans="4:12" ht="14.4" customHeight="1">
      <c r="D958" s="14">
        <v>43368</v>
      </c>
      <c r="E958" s="15">
        <v>6.0720000000000001</v>
      </c>
      <c r="F958" s="15">
        <f t="shared" si="43"/>
        <v>4.293569127792453E-4</v>
      </c>
      <c r="G958" s="16" cm="1">
        <f t="array" ref="G958">SUMPRODUCT(IF(((H958-$F$4:$F$515)/$B$10)&lt;=-1,0,IF(((H958-$F$4:$F$515)/$B$10)&gt;=1,1,(15/16)*(((H958-$F$4:$F$515)/$B$10)-(2/3)*((H958-$F$4:$F$515)/$B$10)^3+(1/5)*((H958-$F$4:$F$515)/$B$10)^5+8/15))))/COUNT($F$4:$F$515)</f>
        <v>0.40618058841284083</v>
      </c>
      <c r="H958" s="15">
        <f t="shared" si="44"/>
        <v>-2.0549398784990565E-3</v>
      </c>
      <c r="K958" s="14">
        <v>0.01</v>
      </c>
      <c r="L958" s="15">
        <f t="shared" si="42"/>
        <v>-1.6954939878499008E-2</v>
      </c>
    </row>
    <row r="959" spans="4:12" ht="14.4" customHeight="1">
      <c r="D959" s="4">
        <v>43369</v>
      </c>
      <c r="E959" s="5">
        <v>6.0419999999999998</v>
      </c>
      <c r="F959" s="5">
        <f t="shared" si="43"/>
        <v>-2.1510419501623388E-3</v>
      </c>
      <c r="G959" s="3" cm="1">
        <f t="array" ref="G959">SUMPRODUCT(IF(((H959-$F$4:$F$515)/$B$10)&lt;=-1,0,IF(((H959-$F$4:$F$515)/$B$10)&gt;=1,1,(15/16)*(((H959-$F$4:$F$515)/$B$10)-(2/3)*((H959-$F$4:$F$515)/$B$10)^3+(1/5)*((H959-$F$4:$F$515)/$B$10)^5+8/15))))/COUNT($F$4:$F$515)</f>
        <v>0.41068493215522789</v>
      </c>
      <c r="H959" s="5">
        <f t="shared" si="44"/>
        <v>-1.9549398784990566E-3</v>
      </c>
      <c r="K959" s="4">
        <v>0.01</v>
      </c>
      <c r="L959" s="5">
        <f t="shared" si="42"/>
        <v>-1.6954939878499008E-2</v>
      </c>
    </row>
    <row r="960" spans="4:12" ht="14.4" customHeight="1">
      <c r="D960" s="14">
        <v>43370</v>
      </c>
      <c r="E960" s="15">
        <v>6.0279999999999996</v>
      </c>
      <c r="F960" s="15">
        <f t="shared" si="43"/>
        <v>-1.0074772946674676E-3</v>
      </c>
      <c r="G960" s="16" cm="1">
        <f t="array" ref="G960">SUMPRODUCT(IF(((H960-$F$4:$F$515)/$B$10)&lt;=-1,0,IF(((H960-$F$4:$F$515)/$B$10)&gt;=1,1,(15/16)*(((H960-$F$4:$F$515)/$B$10)-(2/3)*((H960-$F$4:$F$515)/$B$10)^3+(1/5)*((H960-$F$4:$F$515)/$B$10)^5+8/15))))/COUNT($F$4:$F$515)</f>
        <v>0.41518436779057671</v>
      </c>
      <c r="H960" s="15">
        <f t="shared" si="44"/>
        <v>-1.8549398784990566E-3</v>
      </c>
      <c r="K960" s="14">
        <v>0.01</v>
      </c>
      <c r="L960" s="15">
        <f t="shared" si="42"/>
        <v>-1.6954939878499008E-2</v>
      </c>
    </row>
    <row r="961" spans="4:12" ht="14.4" customHeight="1">
      <c r="D961" s="4">
        <v>43371</v>
      </c>
      <c r="E961" s="5">
        <v>5.8440000000000003</v>
      </c>
      <c r="F961" s="5">
        <f t="shared" si="43"/>
        <v>-1.3463036380334968E-2</v>
      </c>
      <c r="G961" s="3" cm="1">
        <f t="array" ref="G961">SUMPRODUCT(IF(((H961-$F$4:$F$515)/$B$10)&lt;=-1,0,IF(((H961-$F$4:$F$515)/$B$10)&gt;=1,1,(15/16)*(((H961-$F$4:$F$515)/$B$10)-(2/3)*((H961-$F$4:$F$515)/$B$10)^3+(1/5)*((H961-$F$4:$F$515)/$B$10)^5+8/15))))/COUNT($F$4:$F$515)</f>
        <v>0.41967892738795659</v>
      </c>
      <c r="H961" s="5">
        <f t="shared" si="44"/>
        <v>-1.7549398784990566E-3</v>
      </c>
      <c r="K961" s="4">
        <v>0.01</v>
      </c>
      <c r="L961" s="5">
        <f t="shared" si="42"/>
        <v>-1.6954939878499008E-2</v>
      </c>
    </row>
    <row r="962" spans="4:12" ht="14.4" customHeight="1">
      <c r="D962" s="14">
        <v>43374</v>
      </c>
      <c r="E962" s="15">
        <v>5.7240000000000002</v>
      </c>
      <c r="F962" s="15">
        <f t="shared" si="43"/>
        <v>-9.0105821745203995E-3</v>
      </c>
      <c r="G962" s="16" cm="1">
        <f t="array" ref="G962">SUMPRODUCT(IF(((H962-$F$4:$F$515)/$B$10)&lt;=-1,0,IF(((H962-$F$4:$F$515)/$B$10)&gt;=1,1,(15/16)*(((H962-$F$4:$F$515)/$B$10)-(2/3)*((H962-$F$4:$F$515)/$B$10)^3+(1/5)*((H962-$F$4:$F$515)/$B$10)^5+8/15))))/COUNT($F$4:$F$515)</f>
        <v>0.42416900149156667</v>
      </c>
      <c r="H962" s="15">
        <f t="shared" si="44"/>
        <v>-1.6549398784990565E-3</v>
      </c>
      <c r="K962" s="14">
        <v>0.01</v>
      </c>
      <c r="L962" s="15">
        <f t="shared" si="42"/>
        <v>-1.6954939878499008E-2</v>
      </c>
    </row>
    <row r="963" spans="4:12" ht="14.4" customHeight="1">
      <c r="D963" s="4">
        <v>43375</v>
      </c>
      <c r="E963" s="5">
        <v>5.69</v>
      </c>
      <c r="F963" s="5">
        <f t="shared" si="43"/>
        <v>-2.5873586926675645E-3</v>
      </c>
      <c r="G963" s="3" cm="1">
        <f t="array" ref="G963">SUMPRODUCT(IF(((H963-$F$4:$F$515)/$B$10)&lt;=-1,0,IF(((H963-$F$4:$F$515)/$B$10)&gt;=1,1,(15/16)*(((H963-$F$4:$F$515)/$B$10)-(2/3)*((H963-$F$4:$F$515)/$B$10)^3+(1/5)*((H963-$F$4:$F$515)/$B$10)^5+8/15))))/COUNT($F$4:$F$515)</f>
        <v>0.42865597357070417</v>
      </c>
      <c r="H963" s="5">
        <f t="shared" si="44"/>
        <v>-1.5549398784990565E-3</v>
      </c>
      <c r="K963" s="4">
        <v>0.01</v>
      </c>
      <c r="L963" s="5">
        <f t="shared" si="42"/>
        <v>-1.6954939878499008E-2</v>
      </c>
    </row>
    <row r="964" spans="4:12" ht="14.4" customHeight="1">
      <c r="D964" s="14">
        <v>43376</v>
      </c>
      <c r="E964" s="15">
        <v>5.726</v>
      </c>
      <c r="F964" s="15">
        <f t="shared" si="43"/>
        <v>2.7390772905085993E-3</v>
      </c>
      <c r="G964" s="16" cm="1">
        <f t="array" ref="G964">SUMPRODUCT(IF(((H964-$F$4:$F$515)/$B$10)&lt;=-1,0,IF(((H964-$F$4:$F$515)/$B$10)&gt;=1,1,(15/16)*(((H964-$F$4:$F$515)/$B$10)-(2/3)*((H964-$F$4:$F$515)/$B$10)^3+(1/5)*((H964-$F$4:$F$515)/$B$10)^5+8/15))))/COUNT($F$4:$F$515)</f>
        <v>0.43314170493497695</v>
      </c>
      <c r="H964" s="15">
        <f t="shared" si="44"/>
        <v>-1.4549398784990564E-3</v>
      </c>
      <c r="K964" s="14">
        <v>0.01</v>
      </c>
      <c r="L964" s="15">
        <f t="shared" ref="L964:L1025" si="45">$B$7</f>
        <v>-1.6954939878499008E-2</v>
      </c>
    </row>
    <row r="965" spans="4:12" ht="14.4" customHeight="1">
      <c r="D965" s="4">
        <v>43377</v>
      </c>
      <c r="E965" s="5">
        <v>5.8380000000000001</v>
      </c>
      <c r="F965" s="5">
        <f t="shared" ref="F965:F1025" si="46">LOG(E965/E964)</f>
        <v>8.4127469664157517E-3</v>
      </c>
      <c r="G965" s="3" cm="1">
        <f t="array" ref="G965">SUMPRODUCT(IF(((H965-$F$4:$F$515)/$B$10)&lt;=-1,0,IF(((H965-$F$4:$F$515)/$B$10)&gt;=1,1,(15/16)*(((H965-$F$4:$F$515)/$B$10)-(2/3)*((H965-$F$4:$F$515)/$B$10)^3+(1/5)*((H965-$F$4:$F$515)/$B$10)^5+8/15))))/COUNT($F$4:$F$515)</f>
        <v>0.43762789664725649</v>
      </c>
      <c r="H965" s="5">
        <f t="shared" ref="H965:H1025" si="47">H964+0.0001</f>
        <v>-1.3549398784990564E-3</v>
      </c>
      <c r="K965" s="4">
        <v>0.01</v>
      </c>
      <c r="L965" s="5">
        <f t="shared" si="45"/>
        <v>-1.6954939878499008E-2</v>
      </c>
    </row>
    <row r="966" spans="4:12" ht="14.4" customHeight="1">
      <c r="D966" s="14">
        <v>43378</v>
      </c>
      <c r="E966" s="15">
        <v>5.78</v>
      </c>
      <c r="F966" s="15">
        <f t="shared" si="46"/>
        <v>-4.3362522314664576E-3</v>
      </c>
      <c r="G966" s="16" cm="1">
        <f t="array" ref="G966">SUMPRODUCT(IF(((H966-$F$4:$F$515)/$B$10)&lt;=-1,0,IF(((H966-$F$4:$F$515)/$B$10)&gt;=1,1,(15/16)*(((H966-$F$4:$F$515)/$B$10)-(2/3)*((H966-$F$4:$F$515)/$B$10)^3+(1/5)*((H966-$F$4:$F$515)/$B$10)^5+8/15))))/COUNT($F$4:$F$515)</f>
        <v>0.4421167077772955</v>
      </c>
      <c r="H966" s="15">
        <f t="shared" si="47"/>
        <v>-1.2549398784990563E-3</v>
      </c>
      <c r="K966" s="14">
        <v>0.01</v>
      </c>
      <c r="L966" s="15">
        <f t="shared" si="45"/>
        <v>-1.6954939878499008E-2</v>
      </c>
    </row>
    <row r="967" spans="4:12" ht="14.4" customHeight="1">
      <c r="D967" s="4">
        <v>43381</v>
      </c>
      <c r="E967" s="5">
        <v>5.7119999999999997</v>
      </c>
      <c r="F967" s="5">
        <f t="shared" si="46"/>
        <v>-5.1396396524111057E-3</v>
      </c>
      <c r="G967" s="3" cm="1">
        <f t="array" ref="G967">SUMPRODUCT(IF(((H967-$F$4:$F$515)/$B$10)&lt;=-1,0,IF(((H967-$F$4:$F$515)/$B$10)&gt;=1,1,(15/16)*(((H967-$F$4:$F$515)/$B$10)-(2/3)*((H967-$F$4:$F$515)/$B$10)^3+(1/5)*((H967-$F$4:$F$515)/$B$10)^5+8/15))))/COUNT($F$4:$F$515)</f>
        <v>0.44661004838595841</v>
      </c>
      <c r="H967" s="5">
        <f t="shared" si="47"/>
        <v>-1.1549398784990563E-3</v>
      </c>
      <c r="K967" s="4">
        <v>0.01</v>
      </c>
      <c r="L967" s="5">
        <f t="shared" si="45"/>
        <v>-1.6954939878499008E-2</v>
      </c>
    </row>
    <row r="968" spans="4:12" ht="14.4" customHeight="1">
      <c r="D968" s="14">
        <v>43382</v>
      </c>
      <c r="E968" s="15">
        <v>5.6840000000000002</v>
      </c>
      <c r="F968" s="15">
        <f t="shared" si="46"/>
        <v>-2.1341295126857821E-3</v>
      </c>
      <c r="G968" s="16" cm="1">
        <f t="array" ref="G968">SUMPRODUCT(IF(((H968-$F$4:$F$515)/$B$10)&lt;=-1,0,IF(((H968-$F$4:$F$515)/$B$10)&gt;=1,1,(15/16)*(((H968-$F$4:$F$515)/$B$10)-(2/3)*((H968-$F$4:$F$515)/$B$10)^3+(1/5)*((H968-$F$4:$F$515)/$B$10)^5+8/15))))/COUNT($F$4:$F$515)</f>
        <v>0.45110927221246766</v>
      </c>
      <c r="H968" s="15">
        <f t="shared" si="47"/>
        <v>-1.0549398784990562E-3</v>
      </c>
      <c r="K968" s="14">
        <v>0.01</v>
      </c>
      <c r="L968" s="15">
        <f t="shared" si="45"/>
        <v>-1.6954939878499008E-2</v>
      </c>
    </row>
    <row r="969" spans="4:12" ht="14.4" customHeight="1">
      <c r="D969" s="4">
        <v>43383</v>
      </c>
      <c r="E969" s="5">
        <v>5.63</v>
      </c>
      <c r="F969" s="5">
        <f t="shared" si="46"/>
        <v>-4.1456744040859429E-3</v>
      </c>
      <c r="G969" s="3" cm="1">
        <f t="array" ref="G969">SUMPRODUCT(IF(((H969-$F$4:$F$515)/$B$10)&lt;=-1,0,IF(((H969-$F$4:$F$515)/$B$10)&gt;=1,1,(15/16)*(((H969-$F$4:$F$515)/$B$10)-(2/3)*((H969-$F$4:$F$515)/$B$10)^3+(1/5)*((H969-$F$4:$F$515)/$B$10)^5+8/15))))/COUNT($F$4:$F$515)</f>
        <v>0.45561572564196634</v>
      </c>
      <c r="H969" s="5">
        <f t="shared" si="47"/>
        <v>-9.5493987849905619E-4</v>
      </c>
      <c r="K969" s="4">
        <v>0.01</v>
      </c>
      <c r="L969" s="5">
        <f t="shared" si="45"/>
        <v>-1.6954939878499008E-2</v>
      </c>
    </row>
    <row r="970" spans="4:12" ht="14.4" customHeight="1">
      <c r="D970" s="14">
        <v>43384</v>
      </c>
      <c r="E970" s="15">
        <v>5.37</v>
      </c>
      <c r="F970" s="15">
        <f t="shared" si="46"/>
        <v>-2.0534109151790606E-2</v>
      </c>
      <c r="G970" s="16" cm="1">
        <f t="array" ref="G970">SUMPRODUCT(IF(((H970-$F$4:$F$515)/$B$10)&lt;=-1,0,IF(((H970-$F$4:$F$515)/$B$10)&gt;=1,1,(15/16)*(((H970-$F$4:$F$515)/$B$10)-(2/3)*((H970-$F$4:$F$515)/$B$10)^3+(1/5)*((H970-$F$4:$F$515)/$B$10)^5+8/15))))/COUNT($F$4:$F$515)</f>
        <v>0.46013126367652618</v>
      </c>
      <c r="H970" s="15">
        <f t="shared" si="47"/>
        <v>-8.5493987849905614E-4</v>
      </c>
      <c r="K970" s="14">
        <v>0.01</v>
      </c>
      <c r="L970" s="15">
        <f t="shared" si="45"/>
        <v>-1.6954939878499008E-2</v>
      </c>
    </row>
    <row r="971" spans="4:12" ht="14.4" customHeight="1">
      <c r="D971" s="4">
        <v>43385</v>
      </c>
      <c r="E971" s="5">
        <v>5.37</v>
      </c>
      <c r="F971" s="5">
        <f t="shared" si="46"/>
        <v>0</v>
      </c>
      <c r="G971" s="3" cm="1">
        <f t="array" ref="G971">SUMPRODUCT(IF(((H971-$F$4:$F$515)/$B$10)&lt;=-1,0,IF(((H971-$F$4:$F$515)/$B$10)&gt;=1,1,(15/16)*(((H971-$F$4:$F$515)/$B$10)-(2/3)*((H971-$F$4:$F$515)/$B$10)^3+(1/5)*((H971-$F$4:$F$515)/$B$10)^5+8/15))))/COUNT($F$4:$F$515)</f>
        <v>0.46465750620104657</v>
      </c>
      <c r="H971" s="5">
        <f t="shared" si="47"/>
        <v>-7.549398784990561E-4</v>
      </c>
      <c r="K971" s="4">
        <v>0.01</v>
      </c>
      <c r="L971" s="5">
        <f t="shared" si="45"/>
        <v>-1.6954939878499008E-2</v>
      </c>
    </row>
    <row r="972" spans="4:12" ht="14.4" customHeight="1">
      <c r="D972" s="14">
        <v>43388</v>
      </c>
      <c r="E972" s="15">
        <v>5.37</v>
      </c>
      <c r="F972" s="15">
        <f t="shared" si="46"/>
        <v>0</v>
      </c>
      <c r="G972" s="16" cm="1">
        <f t="array" ref="G972">SUMPRODUCT(IF(((H972-$F$4:$F$515)/$B$10)&lt;=-1,0,IF(((H972-$F$4:$F$515)/$B$10)&gt;=1,1,(15/16)*(((H972-$F$4:$F$515)/$B$10)-(2/3)*((H972-$F$4:$F$515)/$B$10)^3+(1/5)*((H972-$F$4:$F$515)/$B$10)^5+8/15))))/COUNT($F$4:$F$515)</f>
        <v>0.46919536160963776</v>
      </c>
      <c r="H972" s="15">
        <f t="shared" si="47"/>
        <v>-6.5493987849905605E-4</v>
      </c>
      <c r="K972" s="14">
        <v>0.01</v>
      </c>
      <c r="L972" s="15">
        <f t="shared" si="45"/>
        <v>-1.6954939878499008E-2</v>
      </c>
    </row>
    <row r="973" spans="4:12" ht="14.4" customHeight="1">
      <c r="D973" s="4">
        <v>43389</v>
      </c>
      <c r="E973" s="5">
        <v>5.3860000000000001</v>
      </c>
      <c r="F973" s="5">
        <f t="shared" si="46"/>
        <v>1.292063375936021E-3</v>
      </c>
      <c r="G973" s="3" cm="1">
        <f t="array" ref="G973">SUMPRODUCT(IF(((H973-$F$4:$F$515)/$B$10)&lt;=-1,0,IF(((H973-$F$4:$F$515)/$B$10)&gt;=1,1,(15/16)*(((H973-$F$4:$F$515)/$B$10)-(2/3)*((H973-$F$4:$F$515)/$B$10)^3+(1/5)*((H973-$F$4:$F$515)/$B$10)^5+8/15))))/COUNT($F$4:$F$515)</f>
        <v>0.47374632432256547</v>
      </c>
      <c r="H973" s="5">
        <f t="shared" si="47"/>
        <v>-5.5493987849905601E-4</v>
      </c>
      <c r="K973" s="4">
        <v>0.01</v>
      </c>
      <c r="L973" s="5">
        <f t="shared" si="45"/>
        <v>-1.6954939878499008E-2</v>
      </c>
    </row>
    <row r="974" spans="4:12" ht="14.4" customHeight="1">
      <c r="D974" s="14">
        <v>43390</v>
      </c>
      <c r="E974" s="15">
        <v>5.3979999999999997</v>
      </c>
      <c r="F974" s="15">
        <f t="shared" si="46"/>
        <v>9.6653114500617457E-4</v>
      </c>
      <c r="G974" s="16" cm="1">
        <f t="array" ref="G974">SUMPRODUCT(IF(((H974-$F$4:$F$515)/$B$10)&lt;=-1,0,IF(((H974-$F$4:$F$515)/$B$10)&gt;=1,1,(15/16)*(((H974-$F$4:$F$515)/$B$10)-(2/3)*((H974-$F$4:$F$515)/$B$10)^3+(1/5)*((H974-$F$4:$F$515)/$B$10)^5+8/15))))/COUNT($F$4:$F$515)</f>
        <v>0.47831245502714681</v>
      </c>
      <c r="H974" s="15">
        <f t="shared" si="47"/>
        <v>-4.5493987849905601E-4</v>
      </c>
      <c r="K974" s="14">
        <v>0.01</v>
      </c>
      <c r="L974" s="15">
        <f t="shared" si="45"/>
        <v>-1.6954939878499008E-2</v>
      </c>
    </row>
    <row r="975" spans="4:12" ht="14.4" customHeight="1">
      <c r="D975" s="4">
        <v>43391</v>
      </c>
      <c r="E975" s="5">
        <v>5.2839999999999998</v>
      </c>
      <c r="F975" s="5">
        <f t="shared" si="46"/>
        <v>-9.270071278008208E-3</v>
      </c>
      <c r="G975" s="3" cm="1">
        <f t="array" ref="G975">SUMPRODUCT(IF(((H975-$F$4:$F$515)/$B$10)&lt;=-1,0,IF(((H975-$F$4:$F$515)/$B$10)&gt;=1,1,(15/16)*(((H975-$F$4:$F$515)/$B$10)-(2/3)*((H975-$F$4:$F$515)/$B$10)^3+(1/5)*((H975-$F$4:$F$515)/$B$10)^5+8/15))))/COUNT($F$4:$F$515)</f>
        <v>0.48289603976086493</v>
      </c>
      <c r="H975" s="5">
        <f t="shared" si="47"/>
        <v>-3.5493987849905602E-4</v>
      </c>
      <c r="K975" s="4">
        <v>0.01</v>
      </c>
      <c r="L975" s="5">
        <f t="shared" si="45"/>
        <v>-1.6954939878499008E-2</v>
      </c>
    </row>
    <row r="976" spans="4:12" ht="14.4" customHeight="1">
      <c r="D976" s="14">
        <v>43392</v>
      </c>
      <c r="E976" s="15">
        <v>5.1959999999999997</v>
      </c>
      <c r="F976" s="15">
        <f t="shared" si="46"/>
        <v>-7.2936665414993383E-3</v>
      </c>
      <c r="G976" s="16" cm="1">
        <f t="array" ref="G976">SUMPRODUCT(IF(((H976-$F$4:$F$515)/$B$10)&lt;=-1,0,IF(((H976-$F$4:$F$515)/$B$10)&gt;=1,1,(15/16)*(((H976-$F$4:$F$515)/$B$10)-(2/3)*((H976-$F$4:$F$515)/$B$10)^3+(1/5)*((H976-$F$4:$F$515)/$B$10)^5+8/15))))/COUNT($F$4:$F$515)</f>
        <v>0.4874988566620419</v>
      </c>
      <c r="H976" s="15">
        <f t="shared" si="47"/>
        <v>-2.5493987849905603E-4</v>
      </c>
      <c r="K976" s="14">
        <v>0.01</v>
      </c>
      <c r="L976" s="15">
        <f t="shared" si="45"/>
        <v>-1.6954939878499008E-2</v>
      </c>
    </row>
    <row r="977" spans="4:12" ht="14.4" customHeight="1">
      <c r="D977" s="4">
        <v>43395</v>
      </c>
      <c r="E977" s="5">
        <v>5.1580000000000004</v>
      </c>
      <c r="F977" s="5">
        <f t="shared" si="46"/>
        <v>-3.1878045990715222E-3</v>
      </c>
      <c r="G977" s="3" cm="1">
        <f t="array" ref="G977">SUMPRODUCT(IF(((H977-$F$4:$F$515)/$B$10)&lt;=-1,0,IF(((H977-$F$4:$F$515)/$B$10)&gt;=1,1,(15/16)*(((H977-$F$4:$F$515)/$B$10)-(2/3)*((H977-$F$4:$F$515)/$B$10)^3+(1/5)*((H977-$F$4:$F$515)/$B$10)^5+8/15))))/COUNT($F$4:$F$515)</f>
        <v>0.49212155655704587</v>
      </c>
      <c r="H977" s="5">
        <f t="shared" si="47"/>
        <v>-1.5493987849905604E-4</v>
      </c>
      <c r="K977" s="4">
        <v>0.01</v>
      </c>
      <c r="L977" s="5">
        <f t="shared" si="45"/>
        <v>-1.6954939878499008E-2</v>
      </c>
    </row>
    <row r="978" spans="4:12" ht="14.4" customHeight="1">
      <c r="D978" s="14">
        <v>43396</v>
      </c>
      <c r="E978" s="15">
        <v>5.0179999999999998</v>
      </c>
      <c r="F978" s="15">
        <f t="shared" si="46"/>
        <v>-1.195068082332703E-2</v>
      </c>
      <c r="G978" s="16" cm="1">
        <f t="array" ref="G978">SUMPRODUCT(IF(((H978-$F$4:$F$515)/$B$10)&lt;=-1,0,IF(((H978-$F$4:$F$515)/$B$10)&gt;=1,1,(15/16)*(((H978-$F$4:$F$515)/$B$10)-(2/3)*((H978-$F$4:$F$515)/$B$10)^3+(1/5)*((H978-$F$4:$F$515)/$B$10)^5+8/15))))/COUNT($F$4:$F$515)</f>
        <v>0.49676407383399102</v>
      </c>
      <c r="H978" s="15">
        <f t="shared" si="47"/>
        <v>-5.4939878499056036E-5</v>
      </c>
      <c r="K978" s="14">
        <v>0.01</v>
      </c>
      <c r="L978" s="15">
        <f t="shared" si="45"/>
        <v>-1.6954939878499008E-2</v>
      </c>
    </row>
    <row r="979" spans="4:12" ht="14.4" customHeight="1">
      <c r="D979" s="4">
        <v>43397</v>
      </c>
      <c r="E979" s="5">
        <v>4.9400000000000004</v>
      </c>
      <c r="F979" s="5">
        <f t="shared" si="46"/>
        <v>-6.8037080549447253E-3</v>
      </c>
      <c r="G979" s="3" cm="1">
        <f t="array" ref="G979">SUMPRODUCT(IF(((H979-$F$4:$F$515)/$B$10)&lt;=-1,0,IF(((H979-$F$4:$F$515)/$B$10)&gt;=1,1,(15/16)*(((H979-$F$4:$F$515)/$B$10)-(2/3)*((H979-$F$4:$F$515)/$B$10)^3+(1/5)*((H979-$F$4:$F$515)/$B$10)^5+8/15))))/COUNT($F$4:$F$515)</f>
        <v>0.50142597932790256</v>
      </c>
      <c r="H979" s="5">
        <f t="shared" si="47"/>
        <v>4.5060121500943969E-5</v>
      </c>
      <c r="K979" s="4">
        <v>0.01</v>
      </c>
      <c r="L979" s="5">
        <f t="shared" si="45"/>
        <v>-1.6954939878499008E-2</v>
      </c>
    </row>
    <row r="980" spans="4:12" ht="14.4" customHeight="1">
      <c r="D980" s="14">
        <v>43398</v>
      </c>
      <c r="E980" s="15">
        <v>5.0839999999999996</v>
      </c>
      <c r="F980" s="15">
        <f t="shared" si="46"/>
        <v>1.2478592958323605E-2</v>
      </c>
      <c r="G980" s="16" cm="1">
        <f t="array" ref="G980">SUMPRODUCT(IF(((H980-$F$4:$F$515)/$B$10)&lt;=-1,0,IF(((H980-$F$4:$F$515)/$B$10)&gt;=1,1,(15/16)*(((H980-$F$4:$F$515)/$B$10)-(2/3)*((H980-$F$4:$F$515)/$B$10)^3+(1/5)*((H980-$F$4:$F$515)/$B$10)^5+8/15))))/COUNT($F$4:$F$515)</f>
        <v>0.50610680449061252</v>
      </c>
      <c r="H980" s="15">
        <f t="shared" si="47"/>
        <v>1.4506012150094399E-4</v>
      </c>
      <c r="K980" s="14">
        <v>0.01</v>
      </c>
      <c r="L980" s="15">
        <f t="shared" si="45"/>
        <v>-1.6954939878499008E-2</v>
      </c>
    </row>
    <row r="981" spans="4:12" ht="14.4" customHeight="1">
      <c r="D981" s="4">
        <v>43399</v>
      </c>
      <c r="E981" s="5">
        <v>5.0039999999999996</v>
      </c>
      <c r="F981" s="5">
        <f t="shared" si="46"/>
        <v>-6.8882408605882234E-3</v>
      </c>
      <c r="G981" s="3" cm="1">
        <f t="array" ref="G981">SUMPRODUCT(IF(((H981-$F$4:$F$515)/$B$10)&lt;=-1,0,IF(((H981-$F$4:$F$515)/$B$10)&gt;=1,1,(15/16)*(((H981-$F$4:$F$515)/$B$10)-(2/3)*((H981-$F$4:$F$515)/$B$10)^3+(1/5)*((H981-$F$4:$F$515)/$B$10)^5+8/15))))/COUNT($F$4:$F$515)</f>
        <v>0.51080505765932738</v>
      </c>
      <c r="H981" s="5">
        <f t="shared" si="47"/>
        <v>2.4506012150094398E-4</v>
      </c>
      <c r="K981" s="4">
        <v>0.01</v>
      </c>
      <c r="L981" s="5">
        <f t="shared" si="45"/>
        <v>-1.6954939878499008E-2</v>
      </c>
    </row>
    <row r="982" spans="4:12" ht="14.4" customHeight="1">
      <c r="D982" s="14">
        <v>43402</v>
      </c>
      <c r="E982" s="15">
        <v>5.0579999999999998</v>
      </c>
      <c r="F982" s="15">
        <f t="shared" si="46"/>
        <v>4.6615239870036835E-3</v>
      </c>
      <c r="G982" s="16" cm="1">
        <f t="array" ref="G982">SUMPRODUCT(IF(((H982-$F$4:$F$515)/$B$10)&lt;=-1,0,IF(((H982-$F$4:$F$515)/$B$10)&gt;=1,1,(15/16)*(((H982-$F$4:$F$515)/$B$10)-(2/3)*((H982-$F$4:$F$515)/$B$10)^3+(1/5)*((H982-$F$4:$F$515)/$B$10)^5+8/15))))/COUNT($F$4:$F$515)</f>
        <v>0.51551785486385526</v>
      </c>
      <c r="H982" s="15">
        <f t="shared" si="47"/>
        <v>3.4506012150094397E-4</v>
      </c>
      <c r="K982" s="14">
        <v>0.01</v>
      </c>
      <c r="L982" s="15">
        <f t="shared" si="45"/>
        <v>-1.6954939878499008E-2</v>
      </c>
    </row>
    <row r="983" spans="4:12" ht="14.4" customHeight="1">
      <c r="D983" s="4">
        <v>43403</v>
      </c>
      <c r="E983" s="5">
        <v>5.0419999999999998</v>
      </c>
      <c r="F983" s="5">
        <f t="shared" si="46"/>
        <v>-1.3759836679588322E-3</v>
      </c>
      <c r="G983" s="3" cm="1">
        <f t="array" ref="G983">SUMPRODUCT(IF(((H983-$F$4:$F$515)/$B$10)&lt;=-1,0,IF(((H983-$F$4:$F$515)/$B$10)&gt;=1,1,(15/16)*(((H983-$F$4:$F$515)/$B$10)-(2/3)*((H983-$F$4:$F$515)/$B$10)^3+(1/5)*((H983-$F$4:$F$515)/$B$10)^5+8/15))))/COUNT($F$4:$F$515)</f>
        <v>0.52024215236339499</v>
      </c>
      <c r="H983" s="5">
        <f t="shared" si="47"/>
        <v>4.4506012150094396E-4</v>
      </c>
      <c r="K983" s="4">
        <v>0.01</v>
      </c>
      <c r="L983" s="5">
        <f t="shared" si="45"/>
        <v>-1.6954939878499008E-2</v>
      </c>
    </row>
    <row r="984" spans="4:12" ht="14.4" customHeight="1">
      <c r="D984" s="14">
        <v>43404</v>
      </c>
      <c r="E984" s="15">
        <v>5.1660000000000004</v>
      </c>
      <c r="F984" s="15">
        <f t="shared" si="46"/>
        <v>1.0551560496871332E-2</v>
      </c>
      <c r="G984" s="16" cm="1">
        <f t="array" ref="G984">SUMPRODUCT(IF(((H984-$F$4:$F$515)/$B$10)&lt;=-1,0,IF(((H984-$F$4:$F$515)/$B$10)&gt;=1,1,(15/16)*(((H984-$F$4:$F$515)/$B$10)-(2/3)*((H984-$F$4:$F$515)/$B$10)^3+(1/5)*((H984-$F$4:$F$515)/$B$10)^5+8/15))))/COUNT($F$4:$F$515)</f>
        <v>0.52497508526601677</v>
      </c>
      <c r="H984" s="15">
        <f t="shared" si="47"/>
        <v>5.4506012150094395E-4</v>
      </c>
      <c r="K984" s="14">
        <v>0.01</v>
      </c>
      <c r="L984" s="15">
        <f t="shared" si="45"/>
        <v>-1.6954939878499008E-2</v>
      </c>
    </row>
    <row r="985" spans="4:12" ht="14.4" customHeight="1">
      <c r="D985" s="4">
        <v>43405</v>
      </c>
      <c r="E985" s="5">
        <v>5.17</v>
      </c>
      <c r="F985" s="5">
        <f t="shared" si="46"/>
        <v>3.3614125664404313E-4</v>
      </c>
      <c r="G985" s="3" cm="1">
        <f t="array" ref="G985">SUMPRODUCT(IF(((H985-$F$4:$F$515)/$B$10)&lt;=-1,0,IF(((H985-$F$4:$F$515)/$B$10)&gt;=1,1,(15/16)*(((H985-$F$4:$F$515)/$B$10)-(2/3)*((H985-$F$4:$F$515)/$B$10)^3+(1/5)*((H985-$F$4:$F$515)/$B$10)^5+8/15))))/COUNT($F$4:$F$515)</f>
        <v>0.5297136415336603</v>
      </c>
      <c r="H985" s="5">
        <f t="shared" si="47"/>
        <v>6.45060121500944E-4</v>
      </c>
      <c r="K985" s="4">
        <v>0.01</v>
      </c>
      <c r="L985" s="5">
        <f t="shared" si="45"/>
        <v>-1.6954939878499008E-2</v>
      </c>
    </row>
    <row r="986" spans="4:12" ht="14.4" customHeight="1">
      <c r="D986" s="14">
        <v>43406</v>
      </c>
      <c r="E986" s="15">
        <v>5.28</v>
      </c>
      <c r="F986" s="15">
        <f t="shared" si="46"/>
        <v>9.1433794398698143E-3</v>
      </c>
      <c r="G986" s="16" cm="1">
        <f t="array" ref="G986">SUMPRODUCT(IF(((H986-$F$4:$F$515)/$B$10)&lt;=-1,0,IF(((H986-$F$4:$F$515)/$B$10)&gt;=1,1,(15/16)*(((H986-$F$4:$F$515)/$B$10)-(2/3)*((H986-$F$4:$F$515)/$B$10)^3+(1/5)*((H986-$F$4:$F$515)/$B$10)^5+8/15))))/COUNT($F$4:$F$515)</f>
        <v>0.53445488936758567</v>
      </c>
      <c r="H986" s="15">
        <f t="shared" si="47"/>
        <v>7.4506012150094404E-4</v>
      </c>
      <c r="K986" s="14">
        <v>0.01</v>
      </c>
      <c r="L986" s="15">
        <f t="shared" si="45"/>
        <v>-1.6954939878499008E-2</v>
      </c>
    </row>
    <row r="987" spans="4:12" ht="14.4" customHeight="1">
      <c r="D987" s="4">
        <v>43409</v>
      </c>
      <c r="E987" s="5">
        <v>5.22</v>
      </c>
      <c r="F987" s="5">
        <f t="shared" si="46"/>
        <v>-4.9634195315501461E-3</v>
      </c>
      <c r="G987" s="3" cm="1">
        <f t="array" ref="G987">SUMPRODUCT(IF(((H987-$F$4:$F$515)/$B$10)&lt;=-1,0,IF(((H987-$F$4:$F$515)/$B$10)&gt;=1,1,(15/16)*(((H987-$F$4:$F$515)/$B$10)-(2/3)*((H987-$F$4:$F$515)/$B$10)^3+(1/5)*((H987-$F$4:$F$515)/$B$10)^5+8/15))))/COUNT($F$4:$F$515)</f>
        <v>0.53919592531364491</v>
      </c>
      <c r="H987" s="5">
        <f t="shared" si="47"/>
        <v>8.4506012150094409E-4</v>
      </c>
      <c r="K987" s="4">
        <v>0.01</v>
      </c>
      <c r="L987" s="5">
        <f t="shared" si="45"/>
        <v>-1.6954939878499008E-2</v>
      </c>
    </row>
    <row r="988" spans="4:12" ht="14.4" customHeight="1">
      <c r="D988" s="14">
        <v>43410</v>
      </c>
      <c r="E988" s="15">
        <v>5.194</v>
      </c>
      <c r="F988" s="15">
        <f t="shared" si="46"/>
        <v>-2.1685577089782539E-3</v>
      </c>
      <c r="G988" s="16" cm="1">
        <f t="array" ref="G988">SUMPRODUCT(IF(((H988-$F$4:$F$515)/$B$10)&lt;=-1,0,IF(((H988-$F$4:$F$515)/$B$10)&gt;=1,1,(15/16)*(((H988-$F$4:$F$515)/$B$10)-(2/3)*((H988-$F$4:$F$515)/$B$10)^3+(1/5)*((H988-$F$4:$F$515)/$B$10)^5+8/15))))/COUNT($F$4:$F$515)</f>
        <v>0.54393332403962125</v>
      </c>
      <c r="H988" s="15">
        <f t="shared" si="47"/>
        <v>9.4506012150094413E-4</v>
      </c>
      <c r="K988" s="14">
        <v>0.01</v>
      </c>
      <c r="L988" s="15">
        <f t="shared" si="45"/>
        <v>-1.6954939878499008E-2</v>
      </c>
    </row>
    <row r="989" spans="4:12" ht="14.4" customHeight="1">
      <c r="D989" s="4">
        <v>43411</v>
      </c>
      <c r="E989" s="5">
        <v>5.2839999999999998</v>
      </c>
      <c r="F989" s="5">
        <f t="shared" si="46"/>
        <v>7.4608636492056787E-3</v>
      </c>
      <c r="G989" s="3" cm="1">
        <f t="array" ref="G989">SUMPRODUCT(IF(((H989-$F$4:$F$515)/$B$10)&lt;=-1,0,IF(((H989-$F$4:$F$515)/$B$10)&gt;=1,1,(15/16)*(((H989-$F$4:$F$515)/$B$10)-(2/3)*((H989-$F$4:$F$515)/$B$10)^3+(1/5)*((H989-$F$4:$F$515)/$B$10)^5+8/15))))/COUNT($F$4:$F$515)</f>
        <v>0.54866332902899806</v>
      </c>
      <c r="H989" s="5">
        <f t="shared" si="47"/>
        <v>1.0450601215009441E-3</v>
      </c>
      <c r="K989" s="4">
        <v>0.01</v>
      </c>
      <c r="L989" s="5">
        <f t="shared" si="45"/>
        <v>-1.6954939878499008E-2</v>
      </c>
    </row>
    <row r="990" spans="4:12" ht="14.4" customHeight="1">
      <c r="D990" s="14">
        <v>43412</v>
      </c>
      <c r="E990" s="15">
        <v>5.37</v>
      </c>
      <c r="F990" s="15">
        <f t="shared" si="46"/>
        <v>7.0114767570660695E-3</v>
      </c>
      <c r="G990" s="16" cm="1">
        <f t="array" ref="G990">SUMPRODUCT(IF(((H990-$F$4:$F$515)/$B$10)&lt;=-1,0,IF(((H990-$F$4:$F$515)/$B$10)&gt;=1,1,(15/16)*(((H990-$F$4:$F$515)/$B$10)-(2/3)*((H990-$F$4:$F$515)/$B$10)^3+(1/5)*((H990-$F$4:$F$515)/$B$10)^5+8/15))))/COUNT($F$4:$F$515)</f>
        <v>0.55338208996134519</v>
      </c>
      <c r="H990" s="15">
        <f t="shared" si="47"/>
        <v>1.1450601215009441E-3</v>
      </c>
      <c r="K990" s="14">
        <v>0.01</v>
      </c>
      <c r="L990" s="15">
        <f t="shared" si="45"/>
        <v>-1.6954939878499008E-2</v>
      </c>
    </row>
    <row r="991" spans="4:12" ht="14.4" customHeight="1">
      <c r="D991" s="4">
        <v>43413</v>
      </c>
      <c r="E991" s="5">
        <v>5.282</v>
      </c>
      <c r="F991" s="5">
        <f t="shared" si="46"/>
        <v>-7.1758888286503619E-3</v>
      </c>
      <c r="G991" s="3" cm="1">
        <f t="array" ref="G991">SUMPRODUCT(IF(((H991-$F$4:$F$515)/$B$10)&lt;=-1,0,IF(((H991-$F$4:$F$515)/$B$10)&gt;=1,1,(15/16)*(((H991-$F$4:$F$515)/$B$10)-(2/3)*((H991-$F$4:$F$515)/$B$10)^3+(1/5)*((H991-$F$4:$F$515)/$B$10)^5+8/15))))/COUNT($F$4:$F$515)</f>
        <v>0.55808547703602962</v>
      </c>
      <c r="H991" s="5">
        <f t="shared" si="47"/>
        <v>1.2450601215009442E-3</v>
      </c>
      <c r="K991" s="4">
        <v>0.01</v>
      </c>
      <c r="L991" s="5">
        <f t="shared" si="45"/>
        <v>-1.6954939878499008E-2</v>
      </c>
    </row>
    <row r="992" spans="4:12" ht="14.4" customHeight="1">
      <c r="D992" s="14">
        <v>43416</v>
      </c>
      <c r="E992" s="15">
        <v>5.09</v>
      </c>
      <c r="F992" s="15">
        <f t="shared" si="46"/>
        <v>-1.6080614534146526E-2</v>
      </c>
      <c r="G992" s="16" cm="1">
        <f t="array" ref="G992">SUMPRODUCT(IF(((H992-$F$4:$F$515)/$B$10)&lt;=-1,0,IF(((H992-$F$4:$F$515)/$B$10)&gt;=1,1,(15/16)*(((H992-$F$4:$F$515)/$B$10)-(2/3)*((H992-$F$4:$F$515)/$B$10)^3+(1/5)*((H992-$F$4:$F$515)/$B$10)^5+8/15))))/COUNT($F$4:$F$515)</f>
        <v>0.5627698107632858</v>
      </c>
      <c r="H992" s="15">
        <f t="shared" si="47"/>
        <v>1.3450601215009442E-3</v>
      </c>
      <c r="K992" s="14">
        <v>0.01</v>
      </c>
      <c r="L992" s="15">
        <f t="shared" si="45"/>
        <v>-1.6954939878499008E-2</v>
      </c>
    </row>
    <row r="993" spans="4:12" ht="14.4" customHeight="1">
      <c r="D993" s="4">
        <v>43417</v>
      </c>
      <c r="E993" s="5">
        <v>5.1239999999999997</v>
      </c>
      <c r="F993" s="5">
        <f t="shared" si="46"/>
        <v>2.891338735889949E-3</v>
      </c>
      <c r="G993" s="3" cm="1">
        <f t="array" ref="G993">SUMPRODUCT(IF(((H993-$F$4:$F$515)/$B$10)&lt;=-1,0,IF(((H993-$F$4:$F$515)/$B$10)&gt;=1,1,(15/16)*(((H993-$F$4:$F$515)/$B$10)-(2/3)*((H993-$F$4:$F$515)/$B$10)^3+(1/5)*((H993-$F$4:$F$515)/$B$10)^5+8/15))))/COUNT($F$4:$F$515)</f>
        <v>0.5674317394641416</v>
      </c>
      <c r="H993" s="5">
        <f t="shared" si="47"/>
        <v>1.4450601215009443E-3</v>
      </c>
      <c r="K993" s="4">
        <v>0.01</v>
      </c>
      <c r="L993" s="5">
        <f t="shared" si="45"/>
        <v>-1.6954939878499008E-2</v>
      </c>
    </row>
    <row r="994" spans="4:12" ht="14.4" customHeight="1">
      <c r="D994" s="14">
        <v>43418</v>
      </c>
      <c r="E994" s="15">
        <v>5.0720000000000001</v>
      </c>
      <c r="F994" s="15">
        <f t="shared" si="46"/>
        <v>-4.4298761989723734E-3</v>
      </c>
      <c r="G994" s="16" cm="1">
        <f t="array" ref="G994">SUMPRODUCT(IF(((H994-$F$4:$F$515)/$B$10)&lt;=-1,0,IF(((H994-$F$4:$F$515)/$B$10)&gt;=1,1,(15/16)*(((H994-$F$4:$F$515)/$B$10)-(2/3)*((H994-$F$4:$F$515)/$B$10)^3+(1/5)*((H994-$F$4:$F$515)/$B$10)^5+8/15))))/COUNT($F$4:$F$515)</f>
        <v>0.57206805447086373</v>
      </c>
      <c r="H994" s="15">
        <f t="shared" si="47"/>
        <v>1.5450601215009443E-3</v>
      </c>
      <c r="K994" s="14">
        <v>0.01</v>
      </c>
      <c r="L994" s="15">
        <f t="shared" si="45"/>
        <v>-1.6954939878499008E-2</v>
      </c>
    </row>
    <row r="995" spans="4:12" ht="14.4" customHeight="1">
      <c r="D995" s="4">
        <v>43419</v>
      </c>
      <c r="E995" s="5">
        <v>4.968</v>
      </c>
      <c r="F995" s="5">
        <f t="shared" si="46"/>
        <v>-8.9976577051524911E-3</v>
      </c>
      <c r="G995" s="3" cm="1">
        <f t="array" ref="G995">SUMPRODUCT(IF(((H995-$F$4:$F$515)/$B$10)&lt;=-1,0,IF(((H995-$F$4:$F$515)/$B$10)&gt;=1,1,(15/16)*(((H995-$F$4:$F$515)/$B$10)-(2/3)*((H995-$F$4:$F$515)/$B$10)^3+(1/5)*((H995-$F$4:$F$515)/$B$10)^5+8/15))))/COUNT($F$4:$F$515)</f>
        <v>0.57667518645912852</v>
      </c>
      <c r="H995" s="5">
        <f t="shared" si="47"/>
        <v>1.6450601215009443E-3</v>
      </c>
      <c r="K995" s="4">
        <v>0.01</v>
      </c>
      <c r="L995" s="5">
        <f t="shared" si="45"/>
        <v>-1.6954939878499008E-2</v>
      </c>
    </row>
    <row r="996" spans="4:12" ht="14.4" customHeight="1">
      <c r="D996" s="14">
        <v>43420</v>
      </c>
      <c r="E996" s="15">
        <v>4.9210000000000003</v>
      </c>
      <c r="F996" s="15">
        <f t="shared" si="46"/>
        <v>-4.1282221344429567E-3</v>
      </c>
      <c r="G996" s="16" cm="1">
        <f t="array" ref="G996">SUMPRODUCT(IF(((H996-$F$4:$F$515)/$B$10)&lt;=-1,0,IF(((H996-$F$4:$F$515)/$B$10)&gt;=1,1,(15/16)*(((H996-$F$4:$F$515)/$B$10)-(2/3)*((H996-$F$4:$F$515)/$B$10)^3+(1/5)*((H996-$F$4:$F$515)/$B$10)^5+8/15))))/COUNT($F$4:$F$515)</f>
        <v>0.58124935024009061</v>
      </c>
      <c r="H996" s="15">
        <f t="shared" si="47"/>
        <v>1.7450601215009444E-3</v>
      </c>
      <c r="K996" s="14">
        <v>0.01</v>
      </c>
      <c r="L996" s="15">
        <f t="shared" si="45"/>
        <v>-1.6954939878499008E-2</v>
      </c>
    </row>
    <row r="997" spans="4:12" ht="14.4" customHeight="1">
      <c r="D997" s="4">
        <v>43423</v>
      </c>
      <c r="E997" s="5">
        <v>4.9240000000000004</v>
      </c>
      <c r="F997" s="5">
        <f t="shared" si="46"/>
        <v>2.6467922519791373E-4</v>
      </c>
      <c r="G997" s="3" cm="1">
        <f t="array" ref="G997">SUMPRODUCT(IF(((H997-$F$4:$F$515)/$B$10)&lt;=-1,0,IF(((H997-$F$4:$F$515)/$B$10)&gt;=1,1,(15/16)*(((H997-$F$4:$F$515)/$B$10)-(2/3)*((H997-$F$4:$F$515)/$B$10)^3+(1/5)*((H997-$F$4:$F$515)/$B$10)^5+8/15))))/COUNT($F$4:$F$515)</f>
        <v>0.58578760937802288</v>
      </c>
      <c r="H997" s="5">
        <f t="shared" si="47"/>
        <v>1.8450601215009444E-3</v>
      </c>
      <c r="K997" s="4">
        <v>0.01</v>
      </c>
      <c r="L997" s="5">
        <f t="shared" si="45"/>
        <v>-1.6954939878499008E-2</v>
      </c>
    </row>
    <row r="998" spans="4:12" ht="14.4" customHeight="1">
      <c r="D998" s="14">
        <v>43424</v>
      </c>
      <c r="E998" s="15">
        <v>4.7770000000000001</v>
      </c>
      <c r="F998" s="15">
        <f t="shared" si="46"/>
        <v>-1.3162802975924917E-2</v>
      </c>
      <c r="G998" s="16" cm="1">
        <f t="array" ref="G998">SUMPRODUCT(IF(((H998-$F$4:$F$515)/$B$10)&lt;=-1,0,IF(((H998-$F$4:$F$515)/$B$10)&gt;=1,1,(15/16)*(((H998-$F$4:$F$515)/$B$10)-(2/3)*((H998-$F$4:$F$515)/$B$10)^3+(1/5)*((H998-$F$4:$F$515)/$B$10)^5+8/15))))/COUNT($F$4:$F$515)</f>
        <v>0.59028773067946128</v>
      </c>
      <c r="H998" s="15">
        <f t="shared" si="47"/>
        <v>1.9450601215009445E-3</v>
      </c>
      <c r="K998" s="14">
        <v>0.01</v>
      </c>
      <c r="L998" s="15">
        <f t="shared" si="45"/>
        <v>-1.6954939878499008E-2</v>
      </c>
    </row>
    <row r="999" spans="4:12" ht="14.4" customHeight="1">
      <c r="D999" s="4">
        <v>43425</v>
      </c>
      <c r="E999" s="5">
        <v>4.8499999999999996</v>
      </c>
      <c r="F999" s="5">
        <f t="shared" si="46"/>
        <v>6.5864973189097781E-3</v>
      </c>
      <c r="G999" s="3" cm="1">
        <f t="array" ref="G999">SUMPRODUCT(IF(((H999-$F$4:$F$515)/$B$10)&lt;=-1,0,IF(((H999-$F$4:$F$515)/$B$10)&gt;=1,1,(15/16)*(((H999-$F$4:$F$515)/$B$10)-(2/3)*((H999-$F$4:$F$515)/$B$10)^3+(1/5)*((H999-$F$4:$F$515)/$B$10)^5+8/15))))/COUNT($F$4:$F$515)</f>
        <v>0.59474792854262748</v>
      </c>
      <c r="H999" s="5">
        <f t="shared" si="47"/>
        <v>2.0450601215009443E-3</v>
      </c>
      <c r="K999" s="4">
        <v>0.01</v>
      </c>
      <c r="L999" s="5">
        <f t="shared" si="45"/>
        <v>-1.6954939878499008E-2</v>
      </c>
    </row>
    <row r="1000" spans="4:12" ht="14.4" customHeight="1">
      <c r="D1000" s="14">
        <v>43426</v>
      </c>
      <c r="E1000" s="15">
        <v>4.7969999999999997</v>
      </c>
      <c r="F1000" s="15">
        <f t="shared" si="46"/>
        <v>-4.772020136366511E-3</v>
      </c>
      <c r="G1000" s="16" cm="1">
        <f t="array" ref="G1000">SUMPRODUCT(IF(((H1000-$F$4:$F$515)/$B$10)&lt;=-1,0,IF(((H1000-$F$4:$F$515)/$B$10)&gt;=1,1,(15/16)*(((H1000-$F$4:$F$515)/$B$10)-(2/3)*((H1000-$F$4:$F$515)/$B$10)^3+(1/5)*((H1000-$F$4:$F$515)/$B$10)^5+8/15))))/COUNT($F$4:$F$515)</f>
        <v>0.59916688250089123</v>
      </c>
      <c r="H1000" s="15">
        <f t="shared" si="47"/>
        <v>2.1450601215009441E-3</v>
      </c>
      <c r="K1000" s="14">
        <v>0.01</v>
      </c>
      <c r="L1000" s="15">
        <f t="shared" si="45"/>
        <v>-1.6954939878499008E-2</v>
      </c>
    </row>
    <row r="1001" spans="4:12" ht="14.4" customHeight="1">
      <c r="D1001" s="4">
        <v>43427</v>
      </c>
      <c r="E1001" s="5">
        <v>4.8479999999999999</v>
      </c>
      <c r="F1001" s="5">
        <f t="shared" si="46"/>
        <v>4.5928926923326239E-3</v>
      </c>
      <c r="G1001" s="3" cm="1">
        <f t="array" ref="G1001">SUMPRODUCT(IF(((H1001-$F$4:$F$515)/$B$10)&lt;=-1,0,IF(((H1001-$F$4:$F$515)/$B$10)&gt;=1,1,(15/16)*(((H1001-$F$4:$F$515)/$B$10)-(2/3)*((H1001-$F$4:$F$515)/$B$10)^3+(1/5)*((H1001-$F$4:$F$515)/$B$10)^5+8/15))))/COUNT($F$4:$F$515)</f>
        <v>0.60354370170077121</v>
      </c>
      <c r="H1001" s="5">
        <f t="shared" si="47"/>
        <v>2.245060121500944E-3</v>
      </c>
      <c r="K1001" s="4">
        <v>0.01</v>
      </c>
      <c r="L1001" s="5">
        <f t="shared" si="45"/>
        <v>-1.6954939878499008E-2</v>
      </c>
    </row>
    <row r="1002" spans="4:12" ht="14.4" customHeight="1">
      <c r="D1002" s="14">
        <v>43430</v>
      </c>
      <c r="E1002" s="15">
        <v>4.9889999999999999</v>
      </c>
      <c r="F1002" s="15">
        <f t="shared" si="46"/>
        <v>1.2450892780951919E-2</v>
      </c>
      <c r="G1002" s="16" cm="1">
        <f t="array" ref="G1002">SUMPRODUCT(IF(((H1002-$F$4:$F$515)/$B$10)&lt;=-1,0,IF(((H1002-$F$4:$F$515)/$B$10)&gt;=1,1,(15/16)*(((H1002-$F$4:$F$515)/$B$10)-(2/3)*((H1002-$F$4:$F$515)/$B$10)^3+(1/5)*((H1002-$F$4:$F$515)/$B$10)^5+8/15))))/COUNT($F$4:$F$515)</f>
        <v>0.6078771057654756</v>
      </c>
      <c r="H1002" s="15">
        <f t="shared" si="47"/>
        <v>2.3450601215009438E-3</v>
      </c>
      <c r="K1002" s="14">
        <v>0.01</v>
      </c>
      <c r="L1002" s="15">
        <f t="shared" si="45"/>
        <v>-1.6954939878499008E-2</v>
      </c>
    </row>
    <row r="1003" spans="4:12" ht="14.4" customHeight="1">
      <c r="D1003" s="4">
        <v>43431</v>
      </c>
      <c r="E1003" s="5">
        <v>4.9870000000000001</v>
      </c>
      <c r="F1003" s="5">
        <f t="shared" si="46"/>
        <v>-1.7413572081864282E-4</v>
      </c>
      <c r="G1003" s="3" cm="1">
        <f t="array" ref="G1003">SUMPRODUCT(IF(((H1003-$F$4:$F$515)/$B$10)&lt;=-1,0,IF(((H1003-$F$4:$F$515)/$B$10)&gt;=1,1,(15/16)*(((H1003-$F$4:$F$515)/$B$10)-(2/3)*((H1003-$F$4:$F$515)/$B$10)^3+(1/5)*((H1003-$F$4:$F$515)/$B$10)^5+8/15))))/COUNT($F$4:$F$515)</f>
        <v>0.61216500945484809</v>
      </c>
      <c r="H1003" s="5">
        <f t="shared" si="47"/>
        <v>2.4450601215009436E-3</v>
      </c>
      <c r="K1003" s="4">
        <v>0.01</v>
      </c>
      <c r="L1003" s="5">
        <f t="shared" si="45"/>
        <v>-1.6954939878499008E-2</v>
      </c>
    </row>
    <row r="1004" spans="4:12" ht="14.4" customHeight="1">
      <c r="D1004" s="14">
        <v>43432</v>
      </c>
      <c r="E1004" s="15">
        <v>4.8840000000000003</v>
      </c>
      <c r="F1004" s="15">
        <f t="shared" si="46"/>
        <v>-9.0637129455181514E-3</v>
      </c>
      <c r="G1004" s="16" cm="1">
        <f t="array" ref="G1004">SUMPRODUCT(IF(((H1004-$F$4:$F$515)/$B$10)&lt;=-1,0,IF(((H1004-$F$4:$F$515)/$B$10)&gt;=1,1,(15/16)*(((H1004-$F$4:$F$515)/$B$10)-(2/3)*((H1004-$F$4:$F$515)/$B$10)^3+(1/5)*((H1004-$F$4:$F$515)/$B$10)^5+8/15))))/COUNT($F$4:$F$515)</f>
        <v>0.6164045780109374</v>
      </c>
      <c r="H1004" s="15">
        <f t="shared" si="47"/>
        <v>2.5450601215009435E-3</v>
      </c>
      <c r="K1004" s="14">
        <v>0.01</v>
      </c>
      <c r="L1004" s="15">
        <f t="shared" si="45"/>
        <v>-1.6954939878499008E-2</v>
      </c>
    </row>
    <row r="1005" spans="4:12" ht="14.4" customHeight="1">
      <c r="D1005" s="4">
        <v>43433</v>
      </c>
      <c r="E1005" s="5">
        <v>4.9450000000000003</v>
      </c>
      <c r="F1005" s="5">
        <f t="shared" si="46"/>
        <v>5.3906406603533115E-3</v>
      </c>
      <c r="G1005" s="3" cm="1">
        <f t="array" ref="G1005">SUMPRODUCT(IF(((H1005-$F$4:$F$515)/$B$10)&lt;=-1,0,IF(((H1005-$F$4:$F$515)/$B$10)&gt;=1,1,(15/16)*(((H1005-$F$4:$F$515)/$B$10)-(2/3)*((H1005-$F$4:$F$515)/$B$10)^3+(1/5)*((H1005-$F$4:$F$515)/$B$10)^5+8/15))))/COUNT($F$4:$F$515)</f>
        <v>0.62059248989231908</v>
      </c>
      <c r="H1005" s="5">
        <f t="shared" si="47"/>
        <v>2.6450601215009433E-3</v>
      </c>
      <c r="K1005" s="4">
        <v>0.01</v>
      </c>
      <c r="L1005" s="5">
        <f t="shared" si="45"/>
        <v>-1.6954939878499008E-2</v>
      </c>
    </row>
    <row r="1006" spans="4:12" ht="14.4" customHeight="1">
      <c r="D1006" s="14">
        <v>43434</v>
      </c>
      <c r="E1006" s="15">
        <v>4.88</v>
      </c>
      <c r="F1006" s="15">
        <f t="shared" si="46"/>
        <v>-5.7464739304876238E-3</v>
      </c>
      <c r="G1006" s="16" cm="1">
        <f t="array" ref="G1006">SUMPRODUCT(IF(((H1006-$F$4:$F$515)/$B$10)&lt;=-1,0,IF(((H1006-$F$4:$F$515)/$B$10)&gt;=1,1,(15/16)*(((H1006-$F$4:$F$515)/$B$10)-(2/3)*((H1006-$F$4:$F$515)/$B$10)^3+(1/5)*((H1006-$F$4:$F$515)/$B$10)^5+8/15))))/COUNT($F$4:$F$515)</f>
        <v>0.62472610255276018</v>
      </c>
      <c r="H1006" s="15">
        <f t="shared" si="47"/>
        <v>2.7450601215009431E-3</v>
      </c>
      <c r="K1006" s="14">
        <v>0.01</v>
      </c>
      <c r="L1006" s="15">
        <f t="shared" si="45"/>
        <v>-1.6954939878499008E-2</v>
      </c>
    </row>
    <row r="1007" spans="4:12" ht="14.4" customHeight="1">
      <c r="D1007" s="4">
        <v>43437</v>
      </c>
      <c r="E1007" s="5">
        <v>5.0060000000000002</v>
      </c>
      <c r="F1007" s="5">
        <f t="shared" si="46"/>
        <v>1.1071023269493869E-2</v>
      </c>
      <c r="G1007" s="3" cm="1">
        <f t="array" ref="G1007">SUMPRODUCT(IF(((H1007-$F$4:$F$515)/$B$10)&lt;=-1,0,IF(((H1007-$F$4:$F$515)/$B$10)&gt;=1,1,(15/16)*(((H1007-$F$4:$F$515)/$B$10)-(2/3)*((H1007-$F$4:$F$515)/$B$10)^3+(1/5)*((H1007-$F$4:$F$515)/$B$10)^5+8/15))))/COUNT($F$4:$F$515)</f>
        <v>0.62880387535743032</v>
      </c>
      <c r="H1007" s="5">
        <f t="shared" si="47"/>
        <v>2.8450601215009429E-3</v>
      </c>
      <c r="K1007" s="4">
        <v>0.01</v>
      </c>
      <c r="L1007" s="5">
        <f t="shared" si="45"/>
        <v>-1.6954939878499008E-2</v>
      </c>
    </row>
    <row r="1008" spans="4:12" ht="14.4" customHeight="1">
      <c r="D1008" s="14">
        <v>43438</v>
      </c>
      <c r="E1008" s="15">
        <v>4.8810000000000002</v>
      </c>
      <c r="F1008" s="15">
        <f t="shared" si="46"/>
        <v>-1.0982037615683206E-2</v>
      </c>
      <c r="G1008" s="16" cm="1">
        <f t="array" ref="G1008">SUMPRODUCT(IF(((H1008-$F$4:$F$515)/$B$10)&lt;=-1,0,IF(((H1008-$F$4:$F$515)/$B$10)&gt;=1,1,(15/16)*(((H1008-$F$4:$F$515)/$B$10)-(2/3)*((H1008-$F$4:$F$515)/$B$10)^3+(1/5)*((H1008-$F$4:$F$515)/$B$10)^5+8/15))))/COUNT($F$4:$F$515)</f>
        <v>0.63282561478801325</v>
      </c>
      <c r="H1008" s="15">
        <f t="shared" si="47"/>
        <v>2.9450601215009428E-3</v>
      </c>
      <c r="K1008" s="14">
        <v>0.01</v>
      </c>
      <c r="L1008" s="15">
        <f t="shared" si="45"/>
        <v>-1.6954939878499008E-2</v>
      </c>
    </row>
    <row r="1009" spans="4:12" ht="14.4" customHeight="1">
      <c r="D1009" s="4">
        <v>43439</v>
      </c>
      <c r="E1009" s="5">
        <v>4.774</v>
      </c>
      <c r="F1009" s="5">
        <f t="shared" si="46"/>
        <v>-9.6263929857854733E-3</v>
      </c>
      <c r="G1009" s="3" cm="1">
        <f t="array" ref="G1009">SUMPRODUCT(IF(((H1009-$F$4:$F$515)/$B$10)&lt;=-1,0,IF(((H1009-$F$4:$F$515)/$B$10)&gt;=1,1,(15/16)*(((H1009-$F$4:$F$515)/$B$10)-(2/3)*((H1009-$F$4:$F$515)/$B$10)^3+(1/5)*((H1009-$F$4:$F$515)/$B$10)^5+8/15))))/COUNT($F$4:$F$515)</f>
        <v>0.63679161245710159</v>
      </c>
      <c r="H1009" s="5">
        <f t="shared" si="47"/>
        <v>3.0450601215009426E-3</v>
      </c>
      <c r="K1009" s="4">
        <v>0.01</v>
      </c>
      <c r="L1009" s="5">
        <f t="shared" si="45"/>
        <v>-1.6954939878499008E-2</v>
      </c>
    </row>
    <row r="1010" spans="4:12" ht="14.4" customHeight="1">
      <c r="D1010" s="14">
        <v>43440</v>
      </c>
      <c r="E1010" s="15">
        <v>4.516</v>
      </c>
      <c r="F1010" s="15">
        <f t="shared" si="46"/>
        <v>-2.4128481417805481E-2</v>
      </c>
      <c r="G1010" s="16" cm="1">
        <f t="array" ref="G1010">SUMPRODUCT(IF(((H1010-$F$4:$F$515)/$B$10)&lt;=-1,0,IF(((H1010-$F$4:$F$515)/$B$10)&gt;=1,1,(15/16)*(((H1010-$F$4:$F$515)/$B$10)-(2/3)*((H1010-$F$4:$F$515)/$B$10)^3+(1/5)*((H1010-$F$4:$F$515)/$B$10)^5+8/15))))/COUNT($F$4:$F$515)</f>
        <v>0.64070256423229799</v>
      </c>
      <c r="H1010" s="15">
        <f t="shared" si="47"/>
        <v>3.1450601215009424E-3</v>
      </c>
      <c r="K1010" s="14">
        <v>0.01</v>
      </c>
      <c r="L1010" s="15">
        <f t="shared" si="45"/>
        <v>-1.6954939878499008E-2</v>
      </c>
    </row>
    <row r="1011" spans="4:12" ht="14.4" customHeight="1">
      <c r="D1011" s="4">
        <v>43441</v>
      </c>
      <c r="E1011" s="5">
        <v>4.55</v>
      </c>
      <c r="F1011" s="5">
        <f t="shared" si="46"/>
        <v>3.2574634041821334E-3</v>
      </c>
      <c r="G1011" s="3" cm="1">
        <f t="array" ref="G1011">SUMPRODUCT(IF(((H1011-$F$4:$F$515)/$B$10)&lt;=-1,0,IF(((H1011-$F$4:$F$515)/$B$10)&gt;=1,1,(15/16)*(((H1011-$F$4:$F$515)/$B$10)-(2/3)*((H1011-$F$4:$F$515)/$B$10)^3+(1/5)*((H1011-$F$4:$F$515)/$B$10)^5+8/15))))/COUNT($F$4:$F$515)</f>
        <v>0.64455995697167934</v>
      </c>
      <c r="H1011" s="5">
        <f t="shared" si="47"/>
        <v>3.2450601215009423E-3</v>
      </c>
      <c r="K1011" s="4">
        <v>0.01</v>
      </c>
      <c r="L1011" s="5">
        <f t="shared" si="45"/>
        <v>-1.6954939878499008E-2</v>
      </c>
    </row>
    <row r="1012" spans="4:12" ht="14.4" customHeight="1">
      <c r="D1012" s="14">
        <v>43444</v>
      </c>
      <c r="E1012" s="15">
        <v>4.4400000000000004</v>
      </c>
      <c r="F1012" s="15">
        <f t="shared" si="46"/>
        <v>-1.0628426542492542E-2</v>
      </c>
      <c r="G1012" s="16" cm="1">
        <f t="array" ref="G1012">SUMPRODUCT(IF(((H1012-$F$4:$F$515)/$B$10)&lt;=-1,0,IF(((H1012-$F$4:$F$515)/$B$10)&gt;=1,1,(15/16)*(((H1012-$F$4:$F$515)/$B$10)-(2/3)*((H1012-$F$4:$F$515)/$B$10)^3+(1/5)*((H1012-$F$4:$F$515)/$B$10)^5+8/15))))/COUNT($F$4:$F$515)</f>
        <v>0.64836554984726591</v>
      </c>
      <c r="H1012" s="15">
        <f t="shared" si="47"/>
        <v>3.3450601215009421E-3</v>
      </c>
      <c r="K1012" s="14">
        <v>0.01</v>
      </c>
      <c r="L1012" s="15">
        <f t="shared" si="45"/>
        <v>-1.6954939878499008E-2</v>
      </c>
    </row>
    <row r="1013" spans="4:12" ht="14.4" customHeight="1">
      <c r="D1013" s="4">
        <v>43445</v>
      </c>
      <c r="E1013" s="5">
        <v>4.5270000000000001</v>
      </c>
      <c r="F1013" s="5">
        <f t="shared" si="46"/>
        <v>8.4275243806324323E-3</v>
      </c>
      <c r="G1013" s="3" cm="1">
        <f t="array" ref="G1013">SUMPRODUCT(IF(((H1013-$F$4:$F$515)/$B$10)&lt;=-1,0,IF(((H1013-$F$4:$F$515)/$B$10)&gt;=1,1,(15/16)*(((H1013-$F$4:$F$515)/$B$10)-(2/3)*((H1013-$F$4:$F$515)/$B$10)^3+(1/5)*((H1013-$F$4:$F$515)/$B$10)^5+8/15))))/COUNT($F$4:$F$515)</f>
        <v>0.65212150953098313</v>
      </c>
      <c r="H1013" s="5">
        <f t="shared" si="47"/>
        <v>3.4450601215009419E-3</v>
      </c>
      <c r="K1013" s="4">
        <v>0.01</v>
      </c>
      <c r="L1013" s="5">
        <f t="shared" si="45"/>
        <v>-1.6954939878499008E-2</v>
      </c>
    </row>
    <row r="1014" spans="4:12" ht="14.4" customHeight="1">
      <c r="D1014" s="14">
        <v>43446</v>
      </c>
      <c r="E1014" s="15">
        <v>4.6459999999999999</v>
      </c>
      <c r="F1014" s="15">
        <f t="shared" si="46"/>
        <v>1.1268710968964315E-2</v>
      </c>
      <c r="G1014" s="16" cm="1">
        <f t="array" ref="G1014">SUMPRODUCT(IF(((H1014-$F$4:$F$515)/$B$10)&lt;=-1,0,IF(((H1014-$F$4:$F$515)/$B$10)&gt;=1,1,(15/16)*(((H1014-$F$4:$F$515)/$B$10)-(2/3)*((H1014-$F$4:$F$515)/$B$10)^3+(1/5)*((H1014-$F$4:$F$515)/$B$10)^5+8/15))))/COUNT($F$4:$F$515)</f>
        <v>0.65583043230082805</v>
      </c>
      <c r="H1014" s="15">
        <f t="shared" si="47"/>
        <v>3.5450601215009417E-3</v>
      </c>
      <c r="K1014" s="14">
        <v>0.01</v>
      </c>
      <c r="L1014" s="15">
        <f t="shared" si="45"/>
        <v>-1.6954939878499008E-2</v>
      </c>
    </row>
    <row r="1015" spans="4:12" ht="14.4" customHeight="1">
      <c r="D1015" s="4">
        <v>43447</v>
      </c>
      <c r="E1015" s="5">
        <v>4.63</v>
      </c>
      <c r="F1015" s="5">
        <f t="shared" si="46"/>
        <v>-1.4982144462635308E-3</v>
      </c>
      <c r="G1015" s="3" cm="1">
        <f t="array" ref="G1015">SUMPRODUCT(IF(((H1015-$F$4:$F$515)/$B$10)&lt;=-1,0,IF(((H1015-$F$4:$F$515)/$B$10)&gt;=1,1,(15/16)*(((H1015-$F$4:$F$515)/$B$10)-(2/3)*((H1015-$F$4:$F$515)/$B$10)^3+(1/5)*((H1015-$F$4:$F$515)/$B$10)^5+8/15))))/COUNT($F$4:$F$515)</f>
        <v>0.65949530995634631</v>
      </c>
      <c r="H1015" s="5">
        <f t="shared" si="47"/>
        <v>3.6450601215009416E-3</v>
      </c>
      <c r="K1015" s="4">
        <v>0.01</v>
      </c>
      <c r="L1015" s="5">
        <f t="shared" si="45"/>
        <v>-1.6954939878499008E-2</v>
      </c>
    </row>
    <row r="1016" spans="4:12" ht="14.4" customHeight="1">
      <c r="D1016" s="14">
        <v>43448</v>
      </c>
      <c r="E1016" s="15">
        <v>4.5469999999999997</v>
      </c>
      <c r="F1016" s="15">
        <f t="shared" si="46"/>
        <v>-7.8560368128449565E-3</v>
      </c>
      <c r="G1016" s="16" cm="1">
        <f t="array" ref="G1016">SUMPRODUCT(IF(((H1016-$F$4:$F$515)/$B$10)&lt;=-1,0,IF(((H1016-$F$4:$F$515)/$B$10)&gt;=1,1,(15/16)*(((H1016-$F$4:$F$515)/$B$10)-(2/3)*((H1016-$F$4:$F$515)/$B$10)^3+(1/5)*((H1016-$F$4:$F$515)/$B$10)^5+8/15))))/COUNT($F$4:$F$515)</f>
        <v>0.66311966035687442</v>
      </c>
      <c r="H1016" s="15">
        <f t="shared" si="47"/>
        <v>3.7450601215009414E-3</v>
      </c>
      <c r="K1016" s="14">
        <v>0.01</v>
      </c>
      <c r="L1016" s="15">
        <f t="shared" si="45"/>
        <v>-1.6954939878499008E-2</v>
      </c>
    </row>
    <row r="1017" spans="4:12" ht="14.4" customHeight="1">
      <c r="D1017" s="4">
        <v>43451</v>
      </c>
      <c r="E1017" s="5">
        <v>4.4329999999999998</v>
      </c>
      <c r="F1017" s="5">
        <f t="shared" si="46"/>
        <v>-1.1027222905773678E-2</v>
      </c>
      <c r="G1017" s="3" cm="1">
        <f t="array" ref="G1017">SUMPRODUCT(IF(((H1017-$F$4:$F$515)/$B$10)&lt;=-1,0,IF(((H1017-$F$4:$F$515)/$B$10)&gt;=1,1,(15/16)*(((H1017-$F$4:$F$515)/$B$10)-(2/3)*((H1017-$F$4:$F$515)/$B$10)^3+(1/5)*((H1017-$F$4:$F$515)/$B$10)^5+8/15))))/COUNT($F$4:$F$515)</f>
        <v>0.66670695555751947</v>
      </c>
      <c r="H1017" s="5">
        <f t="shared" si="47"/>
        <v>3.8450601215009412E-3</v>
      </c>
      <c r="K1017" s="4">
        <v>0.01</v>
      </c>
      <c r="L1017" s="5">
        <f t="shared" si="45"/>
        <v>-1.6954939878499008E-2</v>
      </c>
    </row>
    <row r="1018" spans="4:12" ht="14.4" customHeight="1">
      <c r="D1018" s="14">
        <v>43452</v>
      </c>
      <c r="E1018" s="15">
        <v>4.4530000000000003</v>
      </c>
      <c r="F1018" s="15">
        <f t="shared" si="46"/>
        <v>1.9549638318885247E-3</v>
      </c>
      <c r="G1018" s="16" cm="1">
        <f t="array" ref="G1018">SUMPRODUCT(IF(((H1018-$F$4:$F$515)/$B$10)&lt;=-1,0,IF(((H1018-$F$4:$F$515)/$B$10)&gt;=1,1,(15/16)*(((H1018-$F$4:$F$515)/$B$10)-(2/3)*((H1018-$F$4:$F$515)/$B$10)^3+(1/5)*((H1018-$F$4:$F$515)/$B$10)^5+8/15))))/COUNT($F$4:$F$515)</f>
        <v>0.67025940859036026</v>
      </c>
      <c r="H1018" s="15">
        <f t="shared" si="47"/>
        <v>3.9450601215009415E-3</v>
      </c>
      <c r="K1018" s="14">
        <v>0.01</v>
      </c>
      <c r="L1018" s="15">
        <f t="shared" si="45"/>
        <v>-1.6954939878499008E-2</v>
      </c>
    </row>
    <row r="1019" spans="4:12" ht="14.4" customHeight="1">
      <c r="D1019" s="4">
        <v>43453</v>
      </c>
      <c r="E1019" s="5">
        <v>4.1710000000000003</v>
      </c>
      <c r="F1019" s="5">
        <f t="shared" si="46"/>
        <v>-2.8412505285391569E-2</v>
      </c>
      <c r="G1019" s="3" cm="1">
        <f t="array" ref="G1019">SUMPRODUCT(IF(((H1019-$F$4:$F$515)/$B$10)&lt;=-1,0,IF(((H1019-$F$4:$F$515)/$B$10)&gt;=1,1,(15/16)*(((H1019-$F$4:$F$515)/$B$10)-(2/3)*((H1019-$F$4:$F$515)/$B$10)^3+(1/5)*((H1019-$F$4:$F$515)/$B$10)^5+8/15))))/COUNT($F$4:$F$515)</f>
        <v>0.67377887377019086</v>
      </c>
      <c r="H1019" s="5">
        <f t="shared" si="47"/>
        <v>4.0450601215009417E-3</v>
      </c>
      <c r="K1019" s="4">
        <v>0.01</v>
      </c>
      <c r="L1019" s="5">
        <f t="shared" si="45"/>
        <v>-1.6954939878499008E-2</v>
      </c>
    </row>
    <row r="1020" spans="4:12" ht="14.4" customHeight="1">
      <c r="D1020" s="14">
        <v>43454</v>
      </c>
      <c r="E1020" s="15">
        <v>4.0510000000000002</v>
      </c>
      <c r="F1020" s="15">
        <f t="shared" si="46"/>
        <v>-1.2677946662243141E-2</v>
      </c>
      <c r="G1020" s="16" cm="1">
        <f t="array" ref="G1020">SUMPRODUCT(IF(((H1020-$F$4:$F$515)/$B$10)&lt;=-1,0,IF(((H1020-$F$4:$F$515)/$B$10)&gt;=1,1,(15/16)*(((H1020-$F$4:$F$515)/$B$10)-(2/3)*((H1020-$F$4:$F$515)/$B$10)^3+(1/5)*((H1020-$F$4:$F$515)/$B$10)^5+8/15))))/COUNT($F$4:$F$515)</f>
        <v>0.67726765887670715</v>
      </c>
      <c r="H1020" s="15">
        <f t="shared" si="47"/>
        <v>4.145060121500942E-3</v>
      </c>
      <c r="K1020" s="14">
        <v>0.01</v>
      </c>
      <c r="L1020" s="15">
        <f t="shared" si="45"/>
        <v>-1.6954939878499008E-2</v>
      </c>
    </row>
    <row r="1021" spans="4:12" ht="14.4" customHeight="1">
      <c r="D1021" s="4">
        <v>43455</v>
      </c>
      <c r="E1021" s="5">
        <v>4.0449999999999999</v>
      </c>
      <c r="F1021" s="5">
        <f t="shared" si="46"/>
        <v>-6.4371723529716958E-4</v>
      </c>
      <c r="G1021" s="3" cm="1">
        <f t="array" ref="G1021">SUMPRODUCT(IF(((H1021-$F$4:$F$515)/$B$10)&lt;=-1,0,IF(((H1021-$F$4:$F$515)/$B$10)&gt;=1,1,(15/16)*(((H1021-$F$4:$F$515)/$B$10)-(2/3)*((H1021-$F$4:$F$515)/$B$10)^3+(1/5)*((H1021-$F$4:$F$515)/$B$10)^5+8/15))))/COUNT($F$4:$F$515)</f>
        <v>0.68072897296600521</v>
      </c>
      <c r="H1021" s="5">
        <f t="shared" si="47"/>
        <v>4.2450601215009423E-3</v>
      </c>
      <c r="K1021" s="4">
        <v>0.01</v>
      </c>
      <c r="L1021" s="5">
        <f t="shared" si="45"/>
        <v>-1.6954939878499008E-2</v>
      </c>
    </row>
    <row r="1022" spans="4:12" ht="14.4" customHeight="1">
      <c r="D1022" s="14">
        <v>43458</v>
      </c>
      <c r="E1022" s="15">
        <v>4.01</v>
      </c>
      <c r="F1022" s="15">
        <f t="shared" si="46"/>
        <v>-3.7741533281088042E-3</v>
      </c>
      <c r="G1022" s="16" cm="1">
        <f t="array" ref="G1022">SUMPRODUCT(IF(((H1022-$F$4:$F$515)/$B$10)&lt;=-1,0,IF(((H1022-$F$4:$F$515)/$B$10)&gt;=1,1,(15/16)*(((H1022-$F$4:$F$515)/$B$10)-(2/3)*((H1022-$F$4:$F$515)/$B$10)^3+(1/5)*((H1022-$F$4:$F$515)/$B$10)^5+8/15))))/COUNT($F$4:$F$515)</f>
        <v>0.6841658763262447</v>
      </c>
      <c r="H1022" s="15">
        <f t="shared" si="47"/>
        <v>4.3450601215009425E-3</v>
      </c>
      <c r="K1022" s="14">
        <v>0.01</v>
      </c>
      <c r="L1022" s="15">
        <f t="shared" si="45"/>
        <v>-1.6954939878499008E-2</v>
      </c>
    </row>
    <row r="1023" spans="4:12" ht="14.4" customHeight="1">
      <c r="D1023" s="4">
        <v>43461</v>
      </c>
      <c r="E1023" s="5">
        <v>3.9380000000000002</v>
      </c>
      <c r="F1023" s="5">
        <f t="shared" si="46"/>
        <v>-7.8686608180828389E-3</v>
      </c>
      <c r="G1023" s="3" cm="1">
        <f t="array" ref="G1023">SUMPRODUCT(IF(((H1023-$F$4:$F$515)/$B$10)&lt;=-1,0,IF(((H1023-$F$4:$F$515)/$B$10)&gt;=1,1,(15/16)*(((H1023-$F$4:$F$515)/$B$10)-(2/3)*((H1023-$F$4:$F$515)/$B$10)^3+(1/5)*((H1023-$F$4:$F$515)/$B$10)^5+8/15))))/COUNT($F$4:$F$515)</f>
        <v>0.68758100959749924</v>
      </c>
      <c r="H1023" s="5">
        <f t="shared" si="47"/>
        <v>4.4450601215009428E-3</v>
      </c>
      <c r="K1023" s="4">
        <v>0.01</v>
      </c>
      <c r="L1023" s="5">
        <f t="shared" si="45"/>
        <v>-1.6954939878499008E-2</v>
      </c>
    </row>
    <row r="1024" spans="4:12" ht="14.4" customHeight="1">
      <c r="D1024" s="14">
        <v>43462</v>
      </c>
      <c r="E1024" s="15">
        <v>4.0880000000000001</v>
      </c>
      <c r="F1024" s="15">
        <f t="shared" si="46"/>
        <v>1.6235175324556868E-2</v>
      </c>
      <c r="G1024" s="16" cm="1">
        <f t="array" ref="G1024">SUMPRODUCT(IF(((H1024-$F$4:$F$515)/$B$10)&lt;=-1,0,IF(((H1024-$F$4:$F$515)/$B$10)&gt;=1,1,(15/16)*(((H1024-$F$4:$F$515)/$B$10)-(2/3)*((H1024-$F$4:$F$515)/$B$10)^3+(1/5)*((H1024-$F$4:$F$515)/$B$10)^5+8/15))))/COUNT($F$4:$F$515)</f>
        <v>0.69097698903352334</v>
      </c>
      <c r="H1024" s="15">
        <f t="shared" si="47"/>
        <v>4.5450601215009431E-3</v>
      </c>
      <c r="K1024" s="14">
        <v>0.01</v>
      </c>
      <c r="L1024" s="15">
        <f t="shared" si="45"/>
        <v>-1.6954939878499008E-2</v>
      </c>
    </row>
    <row r="1025" spans="4:12" ht="14.4" customHeight="1">
      <c r="D1025" s="4">
        <v>43465</v>
      </c>
      <c r="E1025" s="5">
        <v>4.1189999999999998</v>
      </c>
      <c r="F1025" s="5">
        <f t="shared" si="46"/>
        <v>3.280904829761234E-3</v>
      </c>
      <c r="G1025" s="3" cm="1">
        <f t="array" ref="G1025">SUMPRODUCT(IF(((H1025-$F$4:$F$515)/$B$10)&lt;=-1,0,IF(((H1025-$F$4:$F$515)/$B$10)&gt;=1,1,(15/16)*(((H1025-$F$4:$F$515)/$B$10)-(2/3)*((H1025-$F$4:$F$515)/$B$10)^3+(1/5)*((H1025-$F$4:$F$515)/$B$10)^5+8/15))))/COUNT($F$4:$F$515)</f>
        <v>0.69435641486013022</v>
      </c>
      <c r="H1025" s="5">
        <f t="shared" si="47"/>
        <v>4.6450601215009433E-3</v>
      </c>
      <c r="K1025" s="4">
        <v>0.01</v>
      </c>
      <c r="L1025" s="5">
        <f t="shared" si="45"/>
        <v>-1.6954939878499008E-2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1C24-6189-4879-95C0-6C758353F397}">
  <dimension ref="B3:N10"/>
  <sheetViews>
    <sheetView tabSelected="1" zoomScale="81" workbookViewId="0">
      <selection activeCell="E10" sqref="E10"/>
    </sheetView>
  </sheetViews>
  <sheetFormatPr baseColWidth="10" defaultColWidth="15.44140625" defaultRowHeight="14.4"/>
  <cols>
    <col min="1" max="1" width="15.44140625" style="7"/>
    <col min="2" max="4" width="15.44140625" style="6"/>
    <col min="5" max="5" width="15.44140625" style="8"/>
    <col min="6" max="14" width="15.44140625" style="6"/>
    <col min="15" max="16384" width="15.44140625" style="7"/>
  </cols>
  <sheetData>
    <row r="3" spans="2:3">
      <c r="B3" s="22" t="s">
        <v>9</v>
      </c>
      <c r="C3" s="9">
        <f>Estimation_1516!B4</f>
        <v>0.05</v>
      </c>
    </row>
    <row r="4" spans="2:3">
      <c r="B4" s="23" t="s">
        <v>6</v>
      </c>
      <c r="C4" s="10">
        <f>Estimation_1516!B7</f>
        <v>-1.6954939878499008E-2</v>
      </c>
    </row>
    <row r="6" spans="2:3">
      <c r="B6" s="24" t="s">
        <v>10</v>
      </c>
      <c r="C6" s="11">
        <f>COUNTIFS(Estimation_1516!$D$4:$D$1025,"&gt;="&amp;DATE(2017,1,1),Estimation_1516!$D$4:$D$1025,"&lt;="&amp;DATE(2018,12,31))</f>
        <v>510</v>
      </c>
    </row>
    <row r="7" spans="2:3">
      <c r="B7" s="25" t="s">
        <v>11</v>
      </c>
      <c r="C7" s="12">
        <f>COUNTIFS(Estimation_1516!$D$4:$D$1025,"&gt;="&amp;DATE(2017,1,1),Estimation_1516!$D$4:$D$1025,"&lt;="&amp;DATE(2018,12,31),Estimation_1516!$F$4:$F$1025,"&lt;"&amp;$C$4)</f>
        <v>8</v>
      </c>
    </row>
    <row r="9" spans="2:3">
      <c r="B9" s="26" t="s">
        <v>12</v>
      </c>
      <c r="C9" s="13">
        <f>C7/C6</f>
        <v>1.5686274509803921E-2</v>
      </c>
    </row>
    <row r="10" spans="2:3">
      <c r="B10" s="26" t="s">
        <v>13</v>
      </c>
      <c r="C10" s="13">
        <f>C7*100/C6</f>
        <v>1.5686274509803921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Estimation_1516</vt:lpstr>
      <vt:lpstr>Backtest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SAGOT Emile</dc:creator>
  <cp:lastModifiedBy>SAGOT Emile</cp:lastModifiedBy>
  <dcterms:created xsi:type="dcterms:W3CDTF">2025-12-20T11:23:29Z</dcterms:created>
  <dcterms:modified xsi:type="dcterms:W3CDTF">2025-12-26T17:35:01Z</dcterms:modified>
</cp:coreProperties>
</file>