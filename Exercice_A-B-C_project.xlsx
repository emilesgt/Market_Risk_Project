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e\Desktop\cours\ESILV\A4\S1\SPECIALIZATION_IF\Market risk\PROJET_MR\"/>
    </mc:Choice>
  </mc:AlternateContent>
  <xr:revisionPtr revIDLastSave="0" documentId="13_ncr:1_{B458CC2E-C8AF-41F5-9693-A5B2EA01D8AA}" xr6:coauthVersionLast="47" xr6:coauthVersionMax="47" xr10:uidLastSave="{00000000-0000-0000-0000-000000000000}"/>
  <bookViews>
    <workbookView xWindow="-108" yWindow="-108" windowWidth="23256" windowHeight="12456" xr2:uid="{8A879255-FBC0-43FF-9FFC-26C254E6F58F}"/>
  </bookViews>
  <sheets>
    <sheet name="Estimation_1516" sheetId="1" r:id="rId1"/>
    <sheet name="Backtest" sheetId="2" r:id="rId2"/>
    <sheet name="Part B" sheetId="3" r:id="rId3"/>
    <sheet name="Part 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4" l="1"/>
  <c r="L3" i="4" s="1"/>
  <c r="L6" i="4" s="1"/>
  <c r="S3" i="4"/>
  <c r="S6" i="4" s="1"/>
  <c r="B4" i="4"/>
  <c r="B5" i="4"/>
  <c r="B6" i="4"/>
  <c r="B7" i="4"/>
  <c r="B8" i="4"/>
  <c r="B9" i="4"/>
  <c r="B10" i="4"/>
  <c r="D3" i="4" s="1" a="1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3" i="4"/>
  <c r="F1025" i="1"/>
  <c r="F1024" i="1"/>
  <c r="F1023" i="1"/>
  <c r="F1022" i="1"/>
  <c r="F1021" i="1"/>
  <c r="D1021" i="3" s="1"/>
  <c r="F1020" i="1"/>
  <c r="F1019" i="1"/>
  <c r="F1018" i="1"/>
  <c r="F1017" i="1"/>
  <c r="F1016" i="1"/>
  <c r="F1015" i="1"/>
  <c r="F1014" i="1"/>
  <c r="F1013" i="1"/>
  <c r="D1013" i="3" s="1"/>
  <c r="F1012" i="1"/>
  <c r="F1011" i="1"/>
  <c r="F1010" i="1"/>
  <c r="D1010" i="3" s="1"/>
  <c r="F1009" i="1"/>
  <c r="F1008" i="1"/>
  <c r="F1007" i="1"/>
  <c r="F1006" i="1"/>
  <c r="F1005" i="1"/>
  <c r="D1005" i="3" s="1"/>
  <c r="F1004" i="1"/>
  <c r="F1003" i="1"/>
  <c r="F1002" i="1"/>
  <c r="F1001" i="1"/>
  <c r="F1000" i="1"/>
  <c r="F999" i="1"/>
  <c r="F998" i="1"/>
  <c r="F997" i="1"/>
  <c r="F996" i="1"/>
  <c r="F995" i="1"/>
  <c r="F994" i="1"/>
  <c r="D994" i="3" s="1"/>
  <c r="F993" i="1"/>
  <c r="F992" i="1"/>
  <c r="F991" i="1"/>
  <c r="F990" i="1"/>
  <c r="F989" i="1"/>
  <c r="D989" i="3" s="1"/>
  <c r="F988" i="1"/>
  <c r="F987" i="1"/>
  <c r="F986" i="1"/>
  <c r="D986" i="3" s="1"/>
  <c r="F985" i="1"/>
  <c r="F984" i="1"/>
  <c r="F983" i="1"/>
  <c r="F982" i="1"/>
  <c r="F981" i="1"/>
  <c r="D981" i="3" s="1"/>
  <c r="F980" i="1"/>
  <c r="F979" i="1"/>
  <c r="F978" i="1"/>
  <c r="F977" i="1"/>
  <c r="F976" i="1"/>
  <c r="F975" i="1"/>
  <c r="F974" i="1"/>
  <c r="F973" i="1"/>
  <c r="D973" i="3" s="1"/>
  <c r="F972" i="1"/>
  <c r="F971" i="1"/>
  <c r="F970" i="1"/>
  <c r="D970" i="3" s="1"/>
  <c r="F969" i="1"/>
  <c r="F968" i="1"/>
  <c r="F967" i="1"/>
  <c r="F966" i="1"/>
  <c r="F965" i="1"/>
  <c r="D965" i="3" s="1"/>
  <c r="F964" i="1"/>
  <c r="F963" i="1"/>
  <c r="F962" i="1"/>
  <c r="D962" i="3" s="1"/>
  <c r="F961" i="1"/>
  <c r="F960" i="1"/>
  <c r="F959" i="1"/>
  <c r="F958" i="1"/>
  <c r="F957" i="1"/>
  <c r="D957" i="3" s="1"/>
  <c r="F956" i="1"/>
  <c r="F955" i="1"/>
  <c r="F954" i="1"/>
  <c r="D954" i="3" s="1"/>
  <c r="F953" i="1"/>
  <c r="F952" i="1"/>
  <c r="F951" i="1"/>
  <c r="F950" i="1"/>
  <c r="F949" i="1"/>
  <c r="D949" i="3" s="1"/>
  <c r="F948" i="1"/>
  <c r="F947" i="1"/>
  <c r="F946" i="1"/>
  <c r="D946" i="3" s="1"/>
  <c r="F945" i="1"/>
  <c r="F944" i="1"/>
  <c r="F943" i="1"/>
  <c r="F942" i="1"/>
  <c r="F941" i="1"/>
  <c r="D941" i="3" s="1"/>
  <c r="F940" i="1"/>
  <c r="F939" i="1"/>
  <c r="F938" i="1"/>
  <c r="F937" i="1"/>
  <c r="F936" i="1"/>
  <c r="F935" i="1"/>
  <c r="F934" i="1"/>
  <c r="F933" i="1"/>
  <c r="F932" i="1"/>
  <c r="F931" i="1"/>
  <c r="F930" i="1"/>
  <c r="D930" i="3" s="1"/>
  <c r="F929" i="1"/>
  <c r="F928" i="1"/>
  <c r="F927" i="1"/>
  <c r="F926" i="1"/>
  <c r="F925" i="1"/>
  <c r="F924" i="1"/>
  <c r="F923" i="1"/>
  <c r="F922" i="1"/>
  <c r="D922" i="3" s="1"/>
  <c r="F921" i="1"/>
  <c r="F920" i="1"/>
  <c r="F919" i="1"/>
  <c r="F918" i="1"/>
  <c r="F917" i="1"/>
  <c r="D917" i="3" s="1"/>
  <c r="F916" i="1"/>
  <c r="F915" i="1"/>
  <c r="F914" i="1"/>
  <c r="D914" i="3" s="1"/>
  <c r="F913" i="1"/>
  <c r="F912" i="1"/>
  <c r="F911" i="1"/>
  <c r="F910" i="1"/>
  <c r="F909" i="1"/>
  <c r="F908" i="1"/>
  <c r="F907" i="1"/>
  <c r="F906" i="1"/>
  <c r="D906" i="3" s="1"/>
  <c r="F905" i="1"/>
  <c r="F904" i="1"/>
  <c r="F903" i="1"/>
  <c r="F902" i="1"/>
  <c r="F901" i="1"/>
  <c r="D901" i="3" s="1"/>
  <c r="F900" i="1"/>
  <c r="F899" i="1"/>
  <c r="F898" i="1"/>
  <c r="F897" i="1"/>
  <c r="F896" i="1"/>
  <c r="F895" i="1"/>
  <c r="F894" i="1"/>
  <c r="F893" i="1"/>
  <c r="F892" i="1"/>
  <c r="F891" i="1"/>
  <c r="F890" i="1"/>
  <c r="D890" i="3" s="1"/>
  <c r="F889" i="1"/>
  <c r="F888" i="1"/>
  <c r="F887" i="1"/>
  <c r="F886" i="1"/>
  <c r="F885" i="1"/>
  <c r="F884" i="1"/>
  <c r="F883" i="1"/>
  <c r="F882" i="1"/>
  <c r="D882" i="3" s="1"/>
  <c r="F881" i="1"/>
  <c r="F880" i="1"/>
  <c r="F879" i="1"/>
  <c r="F878" i="1"/>
  <c r="F877" i="1"/>
  <c r="D877" i="3" s="1"/>
  <c r="F876" i="1"/>
  <c r="F875" i="1"/>
  <c r="F874" i="1"/>
  <c r="D874" i="3" s="1"/>
  <c r="F873" i="1"/>
  <c r="F872" i="1"/>
  <c r="F871" i="1"/>
  <c r="F870" i="1"/>
  <c r="F869" i="1"/>
  <c r="D869" i="3" s="1"/>
  <c r="F868" i="1"/>
  <c r="F867" i="1"/>
  <c r="F866" i="1"/>
  <c r="D866" i="3" s="1"/>
  <c r="F865" i="1"/>
  <c r="F864" i="1"/>
  <c r="F863" i="1"/>
  <c r="F862" i="1"/>
  <c r="F861" i="1"/>
  <c r="D861" i="3" s="1"/>
  <c r="F860" i="1"/>
  <c r="F859" i="1"/>
  <c r="F858" i="1"/>
  <c r="F857" i="1"/>
  <c r="F856" i="1"/>
  <c r="F855" i="1"/>
  <c r="F854" i="1"/>
  <c r="F853" i="1"/>
  <c r="D853" i="3" s="1"/>
  <c r="F852" i="1"/>
  <c r="F851" i="1"/>
  <c r="F850" i="1"/>
  <c r="D850" i="3" s="1"/>
  <c r="F849" i="1"/>
  <c r="F848" i="1"/>
  <c r="F847" i="1"/>
  <c r="F846" i="1"/>
  <c r="F845" i="1"/>
  <c r="F844" i="1"/>
  <c r="F843" i="1"/>
  <c r="F842" i="1"/>
  <c r="D842" i="3" s="1"/>
  <c r="F841" i="1"/>
  <c r="F840" i="1"/>
  <c r="F839" i="1"/>
  <c r="F838" i="1"/>
  <c r="F837" i="1"/>
  <c r="D837" i="3" s="1"/>
  <c r="F836" i="1"/>
  <c r="F835" i="1"/>
  <c r="F834" i="1"/>
  <c r="D834" i="3" s="1"/>
  <c r="F833" i="1"/>
  <c r="F832" i="1"/>
  <c r="F831" i="1"/>
  <c r="F830" i="1"/>
  <c r="F829" i="1"/>
  <c r="D829" i="3" s="1"/>
  <c r="F828" i="1"/>
  <c r="F827" i="1"/>
  <c r="F826" i="1"/>
  <c r="D826" i="3" s="1"/>
  <c r="F825" i="1"/>
  <c r="F824" i="1"/>
  <c r="F823" i="1"/>
  <c r="F822" i="1"/>
  <c r="F821" i="1"/>
  <c r="D821" i="3" s="1"/>
  <c r="F820" i="1"/>
  <c r="F819" i="1"/>
  <c r="F818" i="1"/>
  <c r="F817" i="1"/>
  <c r="F816" i="1"/>
  <c r="F815" i="1"/>
  <c r="F814" i="1"/>
  <c r="F813" i="1"/>
  <c r="F812" i="1"/>
  <c r="F811" i="1"/>
  <c r="F810" i="1"/>
  <c r="D810" i="3" s="1"/>
  <c r="F809" i="1"/>
  <c r="F808" i="1"/>
  <c r="F807" i="1"/>
  <c r="F806" i="1"/>
  <c r="F805" i="1"/>
  <c r="D805" i="3" s="1"/>
  <c r="F804" i="1"/>
  <c r="F803" i="1"/>
  <c r="F802" i="1"/>
  <c r="F801" i="1"/>
  <c r="F800" i="1"/>
  <c r="F799" i="1"/>
  <c r="F798" i="1"/>
  <c r="F797" i="1"/>
  <c r="D797" i="3" s="1"/>
  <c r="F796" i="1"/>
  <c r="F795" i="1"/>
  <c r="F794" i="1"/>
  <c r="D794" i="3" s="1"/>
  <c r="F793" i="1"/>
  <c r="F792" i="1"/>
  <c r="F791" i="1"/>
  <c r="F790" i="1"/>
  <c r="F789" i="1"/>
  <c r="D789" i="3" s="1"/>
  <c r="F788" i="1"/>
  <c r="F787" i="1"/>
  <c r="F786" i="1"/>
  <c r="D786" i="3" s="1"/>
  <c r="F785" i="1"/>
  <c r="F784" i="1"/>
  <c r="F783" i="1"/>
  <c r="F782" i="1"/>
  <c r="F781" i="1"/>
  <c r="D781" i="3" s="1"/>
  <c r="F780" i="1"/>
  <c r="F779" i="1"/>
  <c r="F778" i="1"/>
  <c r="D778" i="3" s="1"/>
  <c r="F777" i="1"/>
  <c r="F776" i="1"/>
  <c r="F775" i="1"/>
  <c r="F774" i="1"/>
  <c r="F773" i="1"/>
  <c r="F772" i="1"/>
  <c r="F771" i="1"/>
  <c r="F770" i="1"/>
  <c r="D770" i="3" s="1"/>
  <c r="F769" i="1"/>
  <c r="F768" i="1"/>
  <c r="F767" i="1"/>
  <c r="F766" i="1"/>
  <c r="F765" i="1"/>
  <c r="D765" i="3" s="1"/>
  <c r="F764" i="1"/>
  <c r="F763" i="1"/>
  <c r="F762" i="1"/>
  <c r="F761" i="1"/>
  <c r="F760" i="1"/>
  <c r="F759" i="1"/>
  <c r="F758" i="1"/>
  <c r="F757" i="1"/>
  <c r="D757" i="3" s="1"/>
  <c r="F756" i="1"/>
  <c r="F755" i="1"/>
  <c r="F754" i="1"/>
  <c r="D754" i="3" s="1"/>
  <c r="F753" i="1"/>
  <c r="F752" i="1"/>
  <c r="F751" i="1"/>
  <c r="F750" i="1"/>
  <c r="F749" i="1"/>
  <c r="D749" i="3" s="1"/>
  <c r="F748" i="1"/>
  <c r="F747" i="1"/>
  <c r="F746" i="1"/>
  <c r="D746" i="3" s="1"/>
  <c r="F745" i="1"/>
  <c r="F744" i="1"/>
  <c r="F743" i="1"/>
  <c r="F742" i="1"/>
  <c r="F741" i="1"/>
  <c r="D741" i="3" s="1"/>
  <c r="F740" i="1"/>
  <c r="F739" i="1"/>
  <c r="F738" i="1"/>
  <c r="F737" i="1"/>
  <c r="F736" i="1"/>
  <c r="F735" i="1"/>
  <c r="F734" i="1"/>
  <c r="F733" i="1"/>
  <c r="D733" i="3" s="1"/>
  <c r="F732" i="1"/>
  <c r="F731" i="1"/>
  <c r="F730" i="1"/>
  <c r="D730" i="3" s="1"/>
  <c r="F729" i="1"/>
  <c r="F728" i="1"/>
  <c r="F727" i="1"/>
  <c r="F726" i="1"/>
  <c r="F725" i="1"/>
  <c r="D725" i="3" s="1"/>
  <c r="F724" i="1"/>
  <c r="F723" i="1"/>
  <c r="F722" i="1"/>
  <c r="F721" i="1"/>
  <c r="F720" i="1"/>
  <c r="F719" i="1"/>
  <c r="F718" i="1"/>
  <c r="F717" i="1"/>
  <c r="D717" i="3" s="1"/>
  <c r="F716" i="1"/>
  <c r="F715" i="1"/>
  <c r="F714" i="1"/>
  <c r="D714" i="3" s="1"/>
  <c r="F713" i="1"/>
  <c r="F712" i="1"/>
  <c r="F711" i="1"/>
  <c r="F710" i="1"/>
  <c r="F709" i="1"/>
  <c r="D709" i="3" s="1"/>
  <c r="F708" i="1"/>
  <c r="F707" i="1"/>
  <c r="F706" i="1"/>
  <c r="D706" i="3" s="1"/>
  <c r="F705" i="1"/>
  <c r="F704" i="1"/>
  <c r="F703" i="1"/>
  <c r="F702" i="1"/>
  <c r="F701" i="1"/>
  <c r="D701" i="3" s="1"/>
  <c r="F700" i="1"/>
  <c r="F699" i="1"/>
  <c r="F698" i="1"/>
  <c r="D698" i="3" s="1"/>
  <c r="F697" i="1"/>
  <c r="F696" i="1"/>
  <c r="F695" i="1"/>
  <c r="F694" i="1"/>
  <c r="F693" i="1"/>
  <c r="D693" i="3" s="1"/>
  <c r="F692" i="1"/>
  <c r="F691" i="1"/>
  <c r="F690" i="1"/>
  <c r="D690" i="3" s="1"/>
  <c r="F689" i="1"/>
  <c r="F688" i="1"/>
  <c r="F687" i="1"/>
  <c r="F686" i="1"/>
  <c r="F685" i="1"/>
  <c r="D685" i="3" s="1"/>
  <c r="F684" i="1"/>
  <c r="F683" i="1"/>
  <c r="F682" i="1"/>
  <c r="F681" i="1"/>
  <c r="F680" i="1"/>
  <c r="F679" i="1"/>
  <c r="F678" i="1"/>
  <c r="F677" i="1"/>
  <c r="F676" i="1"/>
  <c r="F675" i="1"/>
  <c r="F674" i="1"/>
  <c r="D674" i="3" s="1"/>
  <c r="F673" i="1"/>
  <c r="F672" i="1"/>
  <c r="F671" i="1"/>
  <c r="F670" i="1"/>
  <c r="F669" i="1"/>
  <c r="F668" i="1"/>
  <c r="F667" i="1"/>
  <c r="F666" i="1"/>
  <c r="D666" i="3" s="1"/>
  <c r="F665" i="1"/>
  <c r="F664" i="1"/>
  <c r="F663" i="1"/>
  <c r="F662" i="1"/>
  <c r="F661" i="1"/>
  <c r="D661" i="3" s="1"/>
  <c r="F660" i="1"/>
  <c r="F659" i="1"/>
  <c r="F658" i="1"/>
  <c r="D658" i="3" s="1"/>
  <c r="F657" i="1"/>
  <c r="F656" i="1"/>
  <c r="F655" i="1"/>
  <c r="F654" i="1"/>
  <c r="F653" i="1"/>
  <c r="F652" i="1"/>
  <c r="F651" i="1"/>
  <c r="F650" i="1"/>
  <c r="D650" i="3" s="1"/>
  <c r="F649" i="1"/>
  <c r="F648" i="1"/>
  <c r="F647" i="1"/>
  <c r="F646" i="1"/>
  <c r="F645" i="1"/>
  <c r="D645" i="3" s="1"/>
  <c r="F644" i="1"/>
  <c r="F643" i="1"/>
  <c r="F642" i="1"/>
  <c r="F641" i="1"/>
  <c r="F640" i="1"/>
  <c r="F639" i="1"/>
  <c r="F638" i="1"/>
  <c r="F637" i="1"/>
  <c r="F636" i="1"/>
  <c r="F635" i="1"/>
  <c r="F634" i="1"/>
  <c r="D634" i="3" s="1"/>
  <c r="F633" i="1"/>
  <c r="F632" i="1"/>
  <c r="F631" i="1"/>
  <c r="F630" i="1"/>
  <c r="F629" i="1"/>
  <c r="F628" i="1"/>
  <c r="F627" i="1"/>
  <c r="F626" i="1"/>
  <c r="D626" i="3" s="1"/>
  <c r="F625" i="1"/>
  <c r="F624" i="1"/>
  <c r="F623" i="1"/>
  <c r="F622" i="1"/>
  <c r="F621" i="1"/>
  <c r="D621" i="3" s="1"/>
  <c r="F620" i="1"/>
  <c r="F619" i="1"/>
  <c r="F618" i="1"/>
  <c r="D618" i="3" s="1"/>
  <c r="F617" i="1"/>
  <c r="F616" i="1"/>
  <c r="F615" i="1"/>
  <c r="F614" i="1"/>
  <c r="F613" i="1"/>
  <c r="D613" i="3" s="1"/>
  <c r="F612" i="1"/>
  <c r="F611" i="1"/>
  <c r="F610" i="1"/>
  <c r="D610" i="3" s="1"/>
  <c r="F609" i="1"/>
  <c r="F608" i="1"/>
  <c r="F607" i="1"/>
  <c r="F606" i="1"/>
  <c r="F605" i="1"/>
  <c r="D605" i="3" s="1"/>
  <c r="F604" i="1"/>
  <c r="F603" i="1"/>
  <c r="F602" i="1"/>
  <c r="F601" i="1"/>
  <c r="F600" i="1"/>
  <c r="F599" i="1"/>
  <c r="F598" i="1"/>
  <c r="F597" i="1"/>
  <c r="D597" i="3" s="1"/>
  <c r="F596" i="1"/>
  <c r="F595" i="1"/>
  <c r="F594" i="1"/>
  <c r="D594" i="3" s="1"/>
  <c r="F593" i="1"/>
  <c r="F592" i="1"/>
  <c r="F591" i="1"/>
  <c r="F590" i="1"/>
  <c r="F589" i="1"/>
  <c r="D589" i="3" s="1"/>
  <c r="F588" i="1"/>
  <c r="F587" i="1"/>
  <c r="F586" i="1"/>
  <c r="F585" i="1"/>
  <c r="F584" i="1"/>
  <c r="F583" i="1"/>
  <c r="F582" i="1"/>
  <c r="F581" i="1"/>
  <c r="D581" i="3" s="1"/>
  <c r="F580" i="1"/>
  <c r="F579" i="1"/>
  <c r="F578" i="1"/>
  <c r="D578" i="3" s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D565" i="3" s="1"/>
  <c r="F564" i="1"/>
  <c r="F563" i="1"/>
  <c r="F562" i="1"/>
  <c r="D562" i="3" s="1"/>
  <c r="F561" i="1"/>
  <c r="F560" i="1"/>
  <c r="F559" i="1"/>
  <c r="F558" i="1"/>
  <c r="F557" i="1"/>
  <c r="D557" i="3" s="1"/>
  <c r="F556" i="1"/>
  <c r="F555" i="1"/>
  <c r="F554" i="1"/>
  <c r="D554" i="3" s="1"/>
  <c r="F553" i="1"/>
  <c r="F552" i="1"/>
  <c r="F551" i="1"/>
  <c r="F550" i="1"/>
  <c r="F549" i="1"/>
  <c r="D549" i="3" s="1"/>
  <c r="F548" i="1"/>
  <c r="F547" i="1"/>
  <c r="F546" i="1"/>
  <c r="D546" i="3" s="1"/>
  <c r="F545" i="1"/>
  <c r="F544" i="1"/>
  <c r="F543" i="1"/>
  <c r="F542" i="1"/>
  <c r="F541" i="1"/>
  <c r="D541" i="3" s="1"/>
  <c r="F540" i="1"/>
  <c r="F539" i="1"/>
  <c r="F538" i="1"/>
  <c r="F537" i="1"/>
  <c r="F536" i="1"/>
  <c r="F535" i="1"/>
  <c r="F534" i="1"/>
  <c r="F533" i="1"/>
  <c r="F532" i="1"/>
  <c r="F531" i="1"/>
  <c r="F530" i="1"/>
  <c r="D530" i="3" s="1"/>
  <c r="F529" i="1"/>
  <c r="F528" i="1"/>
  <c r="F527" i="1"/>
  <c r="F526" i="1"/>
  <c r="F525" i="1"/>
  <c r="D525" i="3" s="1"/>
  <c r="F524" i="1"/>
  <c r="F523" i="1"/>
  <c r="F522" i="1"/>
  <c r="F521" i="1"/>
  <c r="F520" i="1"/>
  <c r="F519" i="1"/>
  <c r="F518" i="1"/>
  <c r="F517" i="1"/>
  <c r="D517" i="3" s="1"/>
  <c r="F516" i="1"/>
  <c r="F515" i="1"/>
  <c r="F514" i="1"/>
  <c r="D514" i="3" s="1"/>
  <c r="F513" i="1"/>
  <c r="F512" i="1"/>
  <c r="F511" i="1"/>
  <c r="F510" i="1"/>
  <c r="F509" i="1"/>
  <c r="D509" i="3" s="1"/>
  <c r="F508" i="1"/>
  <c r="F507" i="1"/>
  <c r="F506" i="1"/>
  <c r="D506" i="3" s="1"/>
  <c r="F505" i="1"/>
  <c r="F504" i="1"/>
  <c r="F503" i="1"/>
  <c r="F502" i="1"/>
  <c r="F501" i="1"/>
  <c r="D501" i="3" s="1"/>
  <c r="F500" i="1"/>
  <c r="F499" i="1"/>
  <c r="F498" i="1"/>
  <c r="F497" i="1"/>
  <c r="F496" i="1"/>
  <c r="F495" i="1"/>
  <c r="F494" i="1"/>
  <c r="F493" i="1"/>
  <c r="D493" i="3" s="1"/>
  <c r="F492" i="1"/>
  <c r="F491" i="1"/>
  <c r="F490" i="1"/>
  <c r="D490" i="3" s="1"/>
  <c r="F489" i="1"/>
  <c r="F488" i="1"/>
  <c r="F487" i="1"/>
  <c r="F486" i="1"/>
  <c r="F485" i="1"/>
  <c r="D485" i="3" s="1"/>
  <c r="F484" i="1"/>
  <c r="F483" i="1"/>
  <c r="F482" i="1"/>
  <c r="D482" i="3" s="1"/>
  <c r="F481" i="1"/>
  <c r="F480" i="1"/>
  <c r="F479" i="1"/>
  <c r="F478" i="1"/>
  <c r="F477" i="1"/>
  <c r="D477" i="3" s="1"/>
  <c r="F476" i="1"/>
  <c r="F475" i="1"/>
  <c r="F474" i="1"/>
  <c r="F473" i="1"/>
  <c r="F472" i="1"/>
  <c r="F471" i="1"/>
  <c r="F470" i="1"/>
  <c r="F469" i="1"/>
  <c r="D469" i="3" s="1"/>
  <c r="F468" i="1"/>
  <c r="F467" i="1"/>
  <c r="F466" i="1"/>
  <c r="D466" i="3" s="1"/>
  <c r="F465" i="1"/>
  <c r="F464" i="1"/>
  <c r="F463" i="1"/>
  <c r="F462" i="1"/>
  <c r="F461" i="1"/>
  <c r="F460" i="1"/>
  <c r="F459" i="1"/>
  <c r="F458" i="1"/>
  <c r="D458" i="3" s="1"/>
  <c r="F457" i="1"/>
  <c r="F456" i="1"/>
  <c r="F455" i="1"/>
  <c r="F454" i="1"/>
  <c r="F453" i="1"/>
  <c r="D453" i="3" s="1"/>
  <c r="F452" i="1"/>
  <c r="F451" i="1"/>
  <c r="F450" i="1"/>
  <c r="D450" i="3" s="1"/>
  <c r="F449" i="1"/>
  <c r="F448" i="1"/>
  <c r="F447" i="1"/>
  <c r="F446" i="1"/>
  <c r="F445" i="1"/>
  <c r="D445" i="3" s="1"/>
  <c r="F444" i="1"/>
  <c r="F443" i="1"/>
  <c r="F442" i="1"/>
  <c r="D442" i="3" s="1"/>
  <c r="F441" i="1"/>
  <c r="F440" i="1"/>
  <c r="F439" i="1"/>
  <c r="F438" i="1"/>
  <c r="F437" i="1"/>
  <c r="F436" i="1"/>
  <c r="F435" i="1"/>
  <c r="F434" i="1"/>
  <c r="D434" i="3" s="1"/>
  <c r="F433" i="1"/>
  <c r="F432" i="1"/>
  <c r="F431" i="1"/>
  <c r="F430" i="1"/>
  <c r="F429" i="1"/>
  <c r="D429" i="3" s="1"/>
  <c r="F428" i="1"/>
  <c r="F427" i="1"/>
  <c r="F426" i="1"/>
  <c r="F425" i="1"/>
  <c r="F424" i="1"/>
  <c r="F423" i="1"/>
  <c r="F422" i="1"/>
  <c r="F421" i="1"/>
  <c r="D421" i="3" s="1"/>
  <c r="F420" i="1"/>
  <c r="F419" i="1"/>
  <c r="F418" i="1"/>
  <c r="D418" i="3" s="1"/>
  <c r="F417" i="1"/>
  <c r="F416" i="1"/>
  <c r="F415" i="1"/>
  <c r="F414" i="1"/>
  <c r="F413" i="1"/>
  <c r="D413" i="3" s="1"/>
  <c r="F412" i="1"/>
  <c r="F411" i="1"/>
  <c r="F410" i="1"/>
  <c r="F409" i="1"/>
  <c r="F408" i="1"/>
  <c r="F407" i="1"/>
  <c r="F406" i="1"/>
  <c r="F405" i="1"/>
  <c r="D405" i="3" s="1"/>
  <c r="F404" i="1"/>
  <c r="F403" i="1"/>
  <c r="F402" i="1"/>
  <c r="F401" i="1"/>
  <c r="F400" i="1"/>
  <c r="F399" i="1"/>
  <c r="F398" i="1"/>
  <c r="F397" i="1"/>
  <c r="D397" i="3" s="1"/>
  <c r="F396" i="1"/>
  <c r="F395" i="1"/>
  <c r="F394" i="1"/>
  <c r="D394" i="3" s="1"/>
  <c r="F393" i="1"/>
  <c r="F392" i="1"/>
  <c r="F391" i="1"/>
  <c r="F390" i="1"/>
  <c r="F389" i="1"/>
  <c r="F388" i="1"/>
  <c r="F387" i="1"/>
  <c r="F386" i="1"/>
  <c r="D386" i="3" s="1"/>
  <c r="F385" i="1"/>
  <c r="F384" i="1"/>
  <c r="F383" i="1"/>
  <c r="F382" i="1"/>
  <c r="F381" i="1"/>
  <c r="F380" i="1"/>
  <c r="F379" i="1"/>
  <c r="F378" i="1"/>
  <c r="D378" i="3" s="1"/>
  <c r="F377" i="1"/>
  <c r="F376" i="1"/>
  <c r="F375" i="1"/>
  <c r="F374" i="1"/>
  <c r="F373" i="1"/>
  <c r="F372" i="1"/>
  <c r="F371" i="1"/>
  <c r="F370" i="1"/>
  <c r="D370" i="3" s="1"/>
  <c r="F369" i="1"/>
  <c r="F368" i="1"/>
  <c r="F367" i="1"/>
  <c r="F366" i="1"/>
  <c r="F365" i="1"/>
  <c r="D365" i="3" s="1"/>
  <c r="F364" i="1"/>
  <c r="F363" i="1"/>
  <c r="F362" i="1"/>
  <c r="D362" i="3" s="1"/>
  <c r="F361" i="1"/>
  <c r="F360" i="1"/>
  <c r="F359" i="1"/>
  <c r="F358" i="1"/>
  <c r="F357" i="1"/>
  <c r="F356" i="1"/>
  <c r="F355" i="1"/>
  <c r="F354" i="1"/>
  <c r="D354" i="3" s="1"/>
  <c r="F353" i="1"/>
  <c r="F352" i="1"/>
  <c r="F351" i="1"/>
  <c r="F350" i="1"/>
  <c r="F349" i="1"/>
  <c r="F348" i="1"/>
  <c r="F347" i="1"/>
  <c r="F346" i="1"/>
  <c r="D346" i="3" s="1"/>
  <c r="F345" i="1"/>
  <c r="F344" i="1"/>
  <c r="F343" i="1"/>
  <c r="F342" i="1"/>
  <c r="F341" i="1"/>
  <c r="F340" i="1"/>
  <c r="F339" i="1"/>
  <c r="F338" i="1"/>
  <c r="D338" i="3" s="1"/>
  <c r="F337" i="1"/>
  <c r="F336" i="1"/>
  <c r="F335" i="1"/>
  <c r="F334" i="1"/>
  <c r="F333" i="1"/>
  <c r="D333" i="3" s="1"/>
  <c r="F332" i="1"/>
  <c r="F331" i="1"/>
  <c r="F330" i="1"/>
  <c r="D330" i="3" s="1"/>
  <c r="F329" i="1"/>
  <c r="F328" i="1"/>
  <c r="F327" i="1"/>
  <c r="F326" i="1"/>
  <c r="F325" i="1"/>
  <c r="D325" i="3" s="1"/>
  <c r="F324" i="1"/>
  <c r="F323" i="1"/>
  <c r="F322" i="1"/>
  <c r="D322" i="3" s="1"/>
  <c r="F321" i="1"/>
  <c r="F320" i="1"/>
  <c r="F319" i="1"/>
  <c r="F318" i="1"/>
  <c r="F317" i="1"/>
  <c r="F316" i="1"/>
  <c r="F315" i="1"/>
  <c r="F314" i="1"/>
  <c r="D314" i="3" s="1"/>
  <c r="F313" i="1"/>
  <c r="F312" i="1"/>
  <c r="F311" i="1"/>
  <c r="F310" i="1"/>
  <c r="F309" i="1"/>
  <c r="D309" i="3" s="1"/>
  <c r="F308" i="1"/>
  <c r="F307" i="1"/>
  <c r="F306" i="1"/>
  <c r="F305" i="1"/>
  <c r="F304" i="1"/>
  <c r="F303" i="1"/>
  <c r="F302" i="1"/>
  <c r="F301" i="1"/>
  <c r="D301" i="3" s="1"/>
  <c r="F300" i="1"/>
  <c r="F299" i="1"/>
  <c r="F298" i="1"/>
  <c r="D298" i="3" s="1"/>
  <c r="F297" i="1"/>
  <c r="F296" i="1"/>
  <c r="F295" i="1"/>
  <c r="F294" i="1"/>
  <c r="F293" i="1"/>
  <c r="D293" i="3" s="1"/>
  <c r="F292" i="1"/>
  <c r="F291" i="1"/>
  <c r="F290" i="1"/>
  <c r="D290" i="3" s="1"/>
  <c r="F289" i="1"/>
  <c r="F288" i="1"/>
  <c r="F287" i="1"/>
  <c r="F286" i="1"/>
  <c r="F285" i="1"/>
  <c r="F284" i="1"/>
  <c r="F283" i="1"/>
  <c r="F282" i="1"/>
  <c r="D282" i="3" s="1"/>
  <c r="F281" i="1"/>
  <c r="F280" i="1"/>
  <c r="F279" i="1"/>
  <c r="F278" i="1"/>
  <c r="F277" i="1"/>
  <c r="D277" i="3" s="1"/>
  <c r="F276" i="1"/>
  <c r="F275" i="1"/>
  <c r="F274" i="1"/>
  <c r="D274" i="3" s="1"/>
  <c r="F273" i="1"/>
  <c r="F272" i="1"/>
  <c r="F271" i="1"/>
  <c r="F270" i="1"/>
  <c r="F269" i="1"/>
  <c r="D269" i="3" s="1"/>
  <c r="F268" i="1"/>
  <c r="F267" i="1"/>
  <c r="F266" i="1"/>
  <c r="F265" i="1"/>
  <c r="F264" i="1"/>
  <c r="F263" i="1"/>
  <c r="F262" i="1"/>
  <c r="F261" i="1"/>
  <c r="D261" i="3" s="1"/>
  <c r="F260" i="1"/>
  <c r="F259" i="1"/>
  <c r="F258" i="1"/>
  <c r="D258" i="3" s="1"/>
  <c r="F257" i="1"/>
  <c r="F256" i="1"/>
  <c r="F255" i="1"/>
  <c r="F254" i="1"/>
  <c r="F253" i="1"/>
  <c r="D253" i="3" s="1"/>
  <c r="F252" i="1"/>
  <c r="F251" i="1"/>
  <c r="F250" i="1"/>
  <c r="D250" i="3" s="1"/>
  <c r="F249" i="1"/>
  <c r="F248" i="1"/>
  <c r="F247" i="1"/>
  <c r="F246" i="1"/>
  <c r="F245" i="1"/>
  <c r="D245" i="3" s="1"/>
  <c r="F244" i="1"/>
  <c r="F243" i="1"/>
  <c r="F242" i="1"/>
  <c r="D242" i="3" s="1"/>
  <c r="F241" i="1"/>
  <c r="F240" i="1"/>
  <c r="F239" i="1"/>
  <c r="F238" i="1"/>
  <c r="F237" i="1"/>
  <c r="F236" i="1"/>
  <c r="F235" i="1"/>
  <c r="F234" i="1"/>
  <c r="D234" i="3" s="1"/>
  <c r="F233" i="1"/>
  <c r="F232" i="1"/>
  <c r="F231" i="1"/>
  <c r="F230" i="1"/>
  <c r="F229" i="1"/>
  <c r="D229" i="3" s="1"/>
  <c r="F228" i="1"/>
  <c r="F227" i="1"/>
  <c r="F226" i="1"/>
  <c r="F225" i="1"/>
  <c r="F224" i="1"/>
  <c r="F223" i="1"/>
  <c r="F222" i="1"/>
  <c r="F221" i="1"/>
  <c r="D221" i="3" s="1"/>
  <c r="F220" i="1"/>
  <c r="F219" i="1"/>
  <c r="F218" i="1"/>
  <c r="D218" i="3" s="1"/>
  <c r="F217" i="1"/>
  <c r="F216" i="1"/>
  <c r="F215" i="1"/>
  <c r="F214" i="1"/>
  <c r="F213" i="1"/>
  <c r="D213" i="3" s="1"/>
  <c r="F212" i="1"/>
  <c r="F211" i="1"/>
  <c r="F210" i="1"/>
  <c r="D210" i="3" s="1"/>
  <c r="F209" i="1"/>
  <c r="F208" i="1"/>
  <c r="F207" i="1"/>
  <c r="F206" i="1"/>
  <c r="F205" i="1"/>
  <c r="D205" i="3" s="1"/>
  <c r="F204" i="1"/>
  <c r="F203" i="1"/>
  <c r="F202" i="1"/>
  <c r="D202" i="3" s="1"/>
  <c r="F201" i="1"/>
  <c r="F200" i="1"/>
  <c r="F199" i="1"/>
  <c r="F198" i="1"/>
  <c r="F197" i="1"/>
  <c r="F196" i="1"/>
  <c r="F195" i="1"/>
  <c r="F194" i="1"/>
  <c r="D194" i="3" s="1"/>
  <c r="F193" i="1"/>
  <c r="F192" i="1"/>
  <c r="F191" i="1"/>
  <c r="F190" i="1"/>
  <c r="F189" i="1"/>
  <c r="D189" i="3" s="1"/>
  <c r="F188" i="1"/>
  <c r="F187" i="1"/>
  <c r="F186" i="1"/>
  <c r="F185" i="1"/>
  <c r="F184" i="1"/>
  <c r="F183" i="1"/>
  <c r="F182" i="1"/>
  <c r="F181" i="1"/>
  <c r="D181" i="3" s="1"/>
  <c r="F180" i="1"/>
  <c r="F179" i="1"/>
  <c r="F178" i="1"/>
  <c r="D178" i="3" s="1"/>
  <c r="F177" i="1"/>
  <c r="F176" i="1"/>
  <c r="F175" i="1"/>
  <c r="F174" i="1"/>
  <c r="F173" i="1"/>
  <c r="D173" i="3" s="1"/>
  <c r="F172" i="1"/>
  <c r="F171" i="1"/>
  <c r="F170" i="1"/>
  <c r="D170" i="3" s="1"/>
  <c r="F169" i="1"/>
  <c r="F168" i="1"/>
  <c r="F167" i="1"/>
  <c r="F166" i="1"/>
  <c r="F165" i="1"/>
  <c r="F164" i="1"/>
  <c r="F163" i="1"/>
  <c r="F162" i="1"/>
  <c r="D162" i="3" s="1"/>
  <c r="F161" i="1"/>
  <c r="F160" i="1"/>
  <c r="F159" i="1"/>
  <c r="F158" i="1"/>
  <c r="F157" i="1"/>
  <c r="D157" i="3" s="1"/>
  <c r="F156" i="1"/>
  <c r="F155" i="1"/>
  <c r="F154" i="1"/>
  <c r="D154" i="3" s="1"/>
  <c r="F153" i="1"/>
  <c r="F152" i="1"/>
  <c r="F151" i="1"/>
  <c r="F150" i="1"/>
  <c r="F149" i="1"/>
  <c r="F148" i="1"/>
  <c r="F147" i="1"/>
  <c r="F146" i="1"/>
  <c r="D146" i="3" s="1"/>
  <c r="F145" i="1"/>
  <c r="F144" i="1"/>
  <c r="F143" i="1"/>
  <c r="F142" i="1"/>
  <c r="F141" i="1"/>
  <c r="F140" i="1"/>
  <c r="F139" i="1"/>
  <c r="F138" i="1"/>
  <c r="D138" i="3" s="1"/>
  <c r="F137" i="1"/>
  <c r="F136" i="1"/>
  <c r="F135" i="1"/>
  <c r="F134" i="1"/>
  <c r="F133" i="1"/>
  <c r="D133" i="3" s="1"/>
  <c r="F132" i="1"/>
  <c r="F131" i="1"/>
  <c r="F130" i="1"/>
  <c r="D130" i="3" s="1"/>
  <c r="F129" i="1"/>
  <c r="F128" i="1"/>
  <c r="F127" i="1"/>
  <c r="F126" i="1"/>
  <c r="F125" i="1"/>
  <c r="D125" i="3" s="1"/>
  <c r="F124" i="1"/>
  <c r="F123" i="1"/>
  <c r="F122" i="1"/>
  <c r="F121" i="1"/>
  <c r="F120" i="1"/>
  <c r="F119" i="1"/>
  <c r="F118" i="1"/>
  <c r="F117" i="1"/>
  <c r="D117" i="3" s="1"/>
  <c r="F116" i="1"/>
  <c r="F115" i="1"/>
  <c r="F114" i="1"/>
  <c r="D114" i="3" s="1"/>
  <c r="F113" i="1"/>
  <c r="F112" i="1"/>
  <c r="F111" i="1"/>
  <c r="F110" i="1"/>
  <c r="F109" i="1"/>
  <c r="D109" i="3" s="1"/>
  <c r="F108" i="1"/>
  <c r="F107" i="1"/>
  <c r="F106" i="1"/>
  <c r="F105" i="1"/>
  <c r="F104" i="1"/>
  <c r="F103" i="1"/>
  <c r="F102" i="1"/>
  <c r="F101" i="1"/>
  <c r="D101" i="3" s="1"/>
  <c r="F100" i="1"/>
  <c r="F99" i="1"/>
  <c r="F98" i="1"/>
  <c r="D98" i="3" s="1"/>
  <c r="F97" i="1"/>
  <c r="F96" i="1"/>
  <c r="F95" i="1"/>
  <c r="F94" i="1"/>
  <c r="F93" i="1"/>
  <c r="D93" i="3" s="1"/>
  <c r="F92" i="1"/>
  <c r="F91" i="1"/>
  <c r="F90" i="1"/>
  <c r="D90" i="3" s="1"/>
  <c r="F89" i="1"/>
  <c r="F88" i="1"/>
  <c r="F87" i="1"/>
  <c r="F86" i="1"/>
  <c r="F85" i="1"/>
  <c r="D85" i="3" s="1"/>
  <c r="F84" i="1"/>
  <c r="F83" i="1"/>
  <c r="F82" i="1"/>
  <c r="D82" i="3" s="1"/>
  <c r="F81" i="1"/>
  <c r="F80" i="1"/>
  <c r="F79" i="1"/>
  <c r="F78" i="1"/>
  <c r="F77" i="1"/>
  <c r="D77" i="3" s="1"/>
  <c r="F76" i="1"/>
  <c r="F75" i="1"/>
  <c r="F74" i="1"/>
  <c r="F73" i="1"/>
  <c r="F72" i="1"/>
  <c r="F71" i="1"/>
  <c r="F70" i="1"/>
  <c r="F69" i="1"/>
  <c r="D69" i="3" s="1"/>
  <c r="F68" i="1"/>
  <c r="F67" i="1"/>
  <c r="F66" i="1"/>
  <c r="F65" i="1"/>
  <c r="F64" i="1"/>
  <c r="F63" i="1"/>
  <c r="F62" i="1"/>
  <c r="F61" i="1"/>
  <c r="D61" i="3" s="1"/>
  <c r="F60" i="1"/>
  <c r="F59" i="1"/>
  <c r="F58" i="1"/>
  <c r="D58" i="3" s="1"/>
  <c r="F57" i="1"/>
  <c r="F56" i="1"/>
  <c r="F55" i="1"/>
  <c r="F54" i="1"/>
  <c r="F53" i="1"/>
  <c r="D53" i="3" s="1"/>
  <c r="F52" i="1"/>
  <c r="F51" i="1"/>
  <c r="F50" i="1"/>
  <c r="D50" i="3" s="1"/>
  <c r="F49" i="1"/>
  <c r="F48" i="1"/>
  <c r="F47" i="1"/>
  <c r="F46" i="1"/>
  <c r="F45" i="1"/>
  <c r="F44" i="1"/>
  <c r="F43" i="1"/>
  <c r="F42" i="1"/>
  <c r="D42" i="3" s="1"/>
  <c r="F41" i="1"/>
  <c r="F40" i="1"/>
  <c r="F39" i="1"/>
  <c r="F38" i="1"/>
  <c r="F37" i="1"/>
  <c r="D37" i="3" s="1"/>
  <c r="F36" i="1"/>
  <c r="F35" i="1"/>
  <c r="F34" i="1"/>
  <c r="F33" i="1"/>
  <c r="F32" i="1"/>
  <c r="F31" i="1"/>
  <c r="F30" i="1"/>
  <c r="F29" i="1"/>
  <c r="D29" i="3" s="1"/>
  <c r="F28" i="1"/>
  <c r="F27" i="1"/>
  <c r="F26" i="1"/>
  <c r="D26" i="3" s="1"/>
  <c r="F25" i="1"/>
  <c r="F24" i="1"/>
  <c r="F23" i="1"/>
  <c r="F22" i="1"/>
  <c r="F21" i="1"/>
  <c r="D21" i="3" s="1"/>
  <c r="F20" i="1"/>
  <c r="F19" i="1"/>
  <c r="F18" i="1"/>
  <c r="D18" i="3" s="1"/>
  <c r="F17" i="1"/>
  <c r="F16" i="1"/>
  <c r="F15" i="1"/>
  <c r="F14" i="1"/>
  <c r="F13" i="1"/>
  <c r="D13" i="3" s="1"/>
  <c r="F12" i="1"/>
  <c r="F11" i="1"/>
  <c r="F10" i="1"/>
  <c r="D10" i="3" s="1"/>
  <c r="F9" i="1"/>
  <c r="F8" i="1"/>
  <c r="F7" i="1"/>
  <c r="F6" i="1"/>
  <c r="F5" i="1"/>
  <c r="D5" i="3" s="1"/>
  <c r="F4" i="1"/>
  <c r="D4" i="3" s="1"/>
  <c r="D1002" i="3"/>
  <c r="D938" i="3"/>
  <c r="D898" i="3"/>
  <c r="D858" i="3"/>
  <c r="D818" i="3"/>
  <c r="D762" i="3"/>
  <c r="D738" i="3"/>
  <c r="D682" i="3"/>
  <c r="D642" i="3"/>
  <c r="D602" i="3"/>
  <c r="D570" i="3"/>
  <c r="D522" i="3"/>
  <c r="D498" i="3"/>
  <c r="D474" i="3"/>
  <c r="D461" i="3"/>
  <c r="D437" i="3"/>
  <c r="D426" i="3"/>
  <c r="D402" i="3"/>
  <c r="D381" i="3"/>
  <c r="D357" i="3"/>
  <c r="D341" i="3"/>
  <c r="D317" i="3"/>
  <c r="D306" i="3"/>
  <c r="D285" i="3"/>
  <c r="D266" i="3"/>
  <c r="D237" i="3"/>
  <c r="D226" i="3"/>
  <c r="D197" i="3"/>
  <c r="D186" i="3"/>
  <c r="D165" i="3"/>
  <c r="D149" i="3"/>
  <c r="D122" i="3"/>
  <c r="D106" i="3"/>
  <c r="D66" i="3"/>
  <c r="D45" i="3"/>
  <c r="D34" i="3"/>
  <c r="D8" i="3"/>
  <c r="D12" i="3"/>
  <c r="D16" i="3"/>
  <c r="D28" i="3"/>
  <c r="D32" i="3"/>
  <c r="D36" i="3"/>
  <c r="D40" i="3"/>
  <c r="D44" i="3"/>
  <c r="D48" i="3"/>
  <c r="D60" i="3"/>
  <c r="D64" i="3"/>
  <c r="D68" i="3"/>
  <c r="D72" i="3"/>
  <c r="D76" i="3"/>
  <c r="D80" i="3"/>
  <c r="D92" i="3"/>
  <c r="D96" i="3"/>
  <c r="D100" i="3"/>
  <c r="D104" i="3"/>
  <c r="D108" i="3"/>
  <c r="D112" i="3"/>
  <c r="D124" i="3"/>
  <c r="D128" i="3"/>
  <c r="D132" i="3"/>
  <c r="D136" i="3"/>
  <c r="D140" i="3"/>
  <c r="D144" i="3"/>
  <c r="D156" i="3"/>
  <c r="D160" i="3"/>
  <c r="D164" i="3"/>
  <c r="D168" i="3"/>
  <c r="D172" i="3"/>
  <c r="D176" i="3"/>
  <c r="D188" i="3"/>
  <c r="D192" i="3"/>
  <c r="D196" i="3"/>
  <c r="D200" i="3"/>
  <c r="D204" i="3"/>
  <c r="D208" i="3"/>
  <c r="D220" i="3"/>
  <c r="D224" i="3"/>
  <c r="D228" i="3"/>
  <c r="D232" i="3"/>
  <c r="D236" i="3"/>
  <c r="D240" i="3"/>
  <c r="D252" i="3"/>
  <c r="D256" i="3"/>
  <c r="D260" i="3"/>
  <c r="D264" i="3"/>
  <c r="D268" i="3"/>
  <c r="D272" i="3"/>
  <c r="D284" i="3"/>
  <c r="D288" i="3"/>
  <c r="D292" i="3"/>
  <c r="D296" i="3"/>
  <c r="D300" i="3"/>
  <c r="D304" i="3"/>
  <c r="D316" i="3"/>
  <c r="D320" i="3"/>
  <c r="D324" i="3"/>
  <c r="D328" i="3"/>
  <c r="D332" i="3"/>
  <c r="D336" i="3"/>
  <c r="D348" i="3"/>
  <c r="D352" i="3"/>
  <c r="D356" i="3"/>
  <c r="D360" i="3"/>
  <c r="D364" i="3"/>
  <c r="D368" i="3"/>
  <c r="D380" i="3"/>
  <c r="D384" i="3"/>
  <c r="D388" i="3"/>
  <c r="D392" i="3"/>
  <c r="D396" i="3"/>
  <c r="D400" i="3"/>
  <c r="D412" i="3"/>
  <c r="D416" i="3"/>
  <c r="D420" i="3"/>
  <c r="D424" i="3"/>
  <c r="D428" i="3"/>
  <c r="D432" i="3"/>
  <c r="D444" i="3"/>
  <c r="D448" i="3"/>
  <c r="D452" i="3"/>
  <c r="D456" i="3"/>
  <c r="D460" i="3"/>
  <c r="D464" i="3"/>
  <c r="D476" i="3"/>
  <c r="D480" i="3"/>
  <c r="D484" i="3"/>
  <c r="D488" i="3"/>
  <c r="D492" i="3"/>
  <c r="D496" i="3"/>
  <c r="D508" i="3"/>
  <c r="D512" i="3"/>
  <c r="D516" i="3"/>
  <c r="D520" i="3"/>
  <c r="D524" i="3"/>
  <c r="D528" i="3"/>
  <c r="D540" i="3"/>
  <c r="D544" i="3"/>
  <c r="D548" i="3"/>
  <c r="D552" i="3"/>
  <c r="D556" i="3"/>
  <c r="D560" i="3"/>
  <c r="D572" i="3"/>
  <c r="D576" i="3"/>
  <c r="D580" i="3"/>
  <c r="D584" i="3"/>
  <c r="D588" i="3"/>
  <c r="D592" i="3"/>
  <c r="D604" i="3"/>
  <c r="D608" i="3"/>
  <c r="D612" i="3"/>
  <c r="D616" i="3"/>
  <c r="D620" i="3"/>
  <c r="D624" i="3"/>
  <c r="D636" i="3"/>
  <c r="D640" i="3"/>
  <c r="D644" i="3"/>
  <c r="D648" i="3"/>
  <c r="D652" i="3"/>
  <c r="D656" i="3"/>
  <c r="D668" i="3"/>
  <c r="D672" i="3"/>
  <c r="D676" i="3"/>
  <c r="D680" i="3"/>
  <c r="D684" i="3"/>
  <c r="D688" i="3"/>
  <c r="D700" i="3"/>
  <c r="D704" i="3"/>
  <c r="D708" i="3"/>
  <c r="D712" i="3"/>
  <c r="D716" i="3"/>
  <c r="D720" i="3"/>
  <c r="D732" i="3"/>
  <c r="D736" i="3"/>
  <c r="D740" i="3"/>
  <c r="D744" i="3"/>
  <c r="D748" i="3"/>
  <c r="D752" i="3"/>
  <c r="D764" i="3"/>
  <c r="D768" i="3"/>
  <c r="D772" i="3"/>
  <c r="D776" i="3"/>
  <c r="D780" i="3"/>
  <c r="D784" i="3"/>
  <c r="D796" i="3"/>
  <c r="D800" i="3"/>
  <c r="D804" i="3"/>
  <c r="D808" i="3"/>
  <c r="D812" i="3"/>
  <c r="D816" i="3"/>
  <c r="D828" i="3"/>
  <c r="D832" i="3"/>
  <c r="D836" i="3"/>
  <c r="D840" i="3"/>
  <c r="D844" i="3"/>
  <c r="D848" i="3"/>
  <c r="D860" i="3"/>
  <c r="D864" i="3"/>
  <c r="D868" i="3"/>
  <c r="D872" i="3"/>
  <c r="D876" i="3"/>
  <c r="D880" i="3"/>
  <c r="D892" i="3"/>
  <c r="D896" i="3"/>
  <c r="D900" i="3"/>
  <c r="D904" i="3"/>
  <c r="D908" i="3"/>
  <c r="D912" i="3"/>
  <c r="D924" i="3"/>
  <c r="D928" i="3"/>
  <c r="D932" i="3"/>
  <c r="D936" i="3"/>
  <c r="D940" i="3"/>
  <c r="D944" i="3"/>
  <c r="D956" i="3"/>
  <c r="D960" i="3"/>
  <c r="D964" i="3"/>
  <c r="D968" i="3"/>
  <c r="D972" i="3"/>
  <c r="D976" i="3"/>
  <c r="D988" i="3"/>
  <c r="D992" i="3"/>
  <c r="D996" i="3"/>
  <c r="D997" i="3"/>
  <c r="D1000" i="3"/>
  <c r="D1004" i="3"/>
  <c r="D1008" i="3"/>
  <c r="D1020" i="3"/>
  <c r="D1024" i="3"/>
  <c r="D11" i="3"/>
  <c r="D19" i="3"/>
  <c r="D27" i="3"/>
  <c r="D35" i="3"/>
  <c r="D43" i="3"/>
  <c r="D51" i="3"/>
  <c r="D59" i="3"/>
  <c r="D67" i="3"/>
  <c r="D75" i="3"/>
  <c r="D83" i="3"/>
  <c r="D91" i="3"/>
  <c r="D99" i="3"/>
  <c r="D107" i="3"/>
  <c r="D115" i="3"/>
  <c r="D123" i="3"/>
  <c r="D131" i="3"/>
  <c r="D139" i="3"/>
  <c r="D147" i="3"/>
  <c r="D155" i="3"/>
  <c r="D163" i="3"/>
  <c r="D171" i="3"/>
  <c r="D179" i="3"/>
  <c r="D187" i="3"/>
  <c r="D195" i="3"/>
  <c r="D203" i="3"/>
  <c r="D211" i="3"/>
  <c r="D219" i="3"/>
  <c r="D227" i="3"/>
  <c r="D235" i="3"/>
  <c r="D243" i="3"/>
  <c r="D251" i="3"/>
  <c r="D259" i="3"/>
  <c r="D267" i="3"/>
  <c r="D275" i="3"/>
  <c r="D283" i="3"/>
  <c r="D291" i="3"/>
  <c r="D299" i="3"/>
  <c r="D307" i="3"/>
  <c r="D315" i="3"/>
  <c r="D323" i="3"/>
  <c r="D331" i="3"/>
  <c r="D339" i="3"/>
  <c r="D347" i="3"/>
  <c r="D355" i="3"/>
  <c r="D363" i="3"/>
  <c r="D371" i="3"/>
  <c r="D379" i="3"/>
  <c r="D387" i="3"/>
  <c r="D395" i="3"/>
  <c r="D403" i="3"/>
  <c r="D411" i="3"/>
  <c r="D419" i="3"/>
  <c r="D427" i="3"/>
  <c r="D435" i="3"/>
  <c r="D443" i="3"/>
  <c r="D451" i="3"/>
  <c r="D459" i="3"/>
  <c r="D467" i="3"/>
  <c r="D475" i="3"/>
  <c r="D483" i="3"/>
  <c r="D491" i="3"/>
  <c r="D499" i="3"/>
  <c r="D507" i="3"/>
  <c r="D515" i="3"/>
  <c r="D523" i="3"/>
  <c r="D531" i="3"/>
  <c r="D539" i="3"/>
  <c r="D547" i="3"/>
  <c r="D555" i="3"/>
  <c r="D563" i="3"/>
  <c r="D571" i="3"/>
  <c r="D579" i="3"/>
  <c r="D587" i="3"/>
  <c r="D595" i="3"/>
  <c r="D603" i="3"/>
  <c r="D611" i="3"/>
  <c r="D619" i="3"/>
  <c r="D627" i="3"/>
  <c r="D635" i="3"/>
  <c r="D643" i="3"/>
  <c r="D651" i="3"/>
  <c r="D659" i="3"/>
  <c r="D667" i="3"/>
  <c r="D675" i="3"/>
  <c r="D683" i="3"/>
  <c r="D691" i="3"/>
  <c r="D699" i="3"/>
  <c r="D707" i="3"/>
  <c r="D715" i="3"/>
  <c r="D723" i="3"/>
  <c r="D731" i="3"/>
  <c r="D739" i="3"/>
  <c r="D747" i="3"/>
  <c r="D755" i="3"/>
  <c r="D763" i="3"/>
  <c r="D771" i="3"/>
  <c r="D779" i="3"/>
  <c r="D787" i="3"/>
  <c r="D795" i="3"/>
  <c r="D803" i="3"/>
  <c r="D811" i="3"/>
  <c r="D819" i="3"/>
  <c r="D827" i="3"/>
  <c r="D835" i="3"/>
  <c r="D843" i="3"/>
  <c r="D851" i="3"/>
  <c r="D859" i="3"/>
  <c r="D867" i="3"/>
  <c r="D875" i="3"/>
  <c r="D883" i="3"/>
  <c r="D891" i="3"/>
  <c r="D899" i="3"/>
  <c r="D907" i="3"/>
  <c r="D915" i="3"/>
  <c r="D923" i="3"/>
  <c r="D931" i="3"/>
  <c r="D939" i="3"/>
  <c r="D947" i="3"/>
  <c r="D955" i="3"/>
  <c r="D963" i="3"/>
  <c r="D971" i="3"/>
  <c r="D979" i="3"/>
  <c r="D987" i="3"/>
  <c r="D995" i="3"/>
  <c r="D1003" i="3"/>
  <c r="D1011" i="3"/>
  <c r="D1019" i="3"/>
  <c r="D2" i="3"/>
  <c r="D6" i="3"/>
  <c r="D7" i="3"/>
  <c r="D9" i="3"/>
  <c r="D14" i="3"/>
  <c r="D15" i="3"/>
  <c r="D17" i="3"/>
  <c r="D20" i="3"/>
  <c r="D22" i="3"/>
  <c r="D23" i="3"/>
  <c r="D24" i="3"/>
  <c r="D25" i="3"/>
  <c r="D30" i="3"/>
  <c r="D31" i="3"/>
  <c r="D33" i="3"/>
  <c r="D38" i="3"/>
  <c r="D39" i="3"/>
  <c r="D41" i="3"/>
  <c r="D46" i="3"/>
  <c r="D47" i="3"/>
  <c r="D49" i="3"/>
  <c r="D52" i="3"/>
  <c r="D54" i="3"/>
  <c r="D55" i="3"/>
  <c r="D56" i="3"/>
  <c r="D57" i="3"/>
  <c r="D62" i="3"/>
  <c r="D63" i="3"/>
  <c r="D65" i="3"/>
  <c r="D70" i="3"/>
  <c r="D71" i="3"/>
  <c r="D73" i="3"/>
  <c r="D74" i="3"/>
  <c r="D78" i="3"/>
  <c r="D79" i="3"/>
  <c r="D81" i="3"/>
  <c r="D84" i="3"/>
  <c r="D86" i="3"/>
  <c r="D87" i="3"/>
  <c r="D88" i="3"/>
  <c r="D89" i="3"/>
  <c r="D94" i="3"/>
  <c r="D95" i="3"/>
  <c r="D97" i="3"/>
  <c r="D102" i="3"/>
  <c r="D103" i="3"/>
  <c r="D105" i="3"/>
  <c r="D110" i="3"/>
  <c r="D111" i="3"/>
  <c r="D113" i="3"/>
  <c r="D116" i="3"/>
  <c r="D118" i="3"/>
  <c r="D119" i="3"/>
  <c r="D120" i="3"/>
  <c r="D121" i="3"/>
  <c r="D126" i="3"/>
  <c r="D127" i="3"/>
  <c r="D129" i="3"/>
  <c r="D134" i="3"/>
  <c r="D135" i="3"/>
  <c r="D137" i="3"/>
  <c r="D141" i="3"/>
  <c r="D142" i="3"/>
  <c r="D143" i="3"/>
  <c r="D145" i="3"/>
  <c r="D148" i="3"/>
  <c r="D150" i="3"/>
  <c r="D151" i="3"/>
  <c r="D152" i="3"/>
  <c r="D153" i="3"/>
  <c r="D158" i="3"/>
  <c r="D159" i="3"/>
  <c r="D161" i="3"/>
  <c r="D166" i="3"/>
  <c r="D167" i="3"/>
  <c r="D169" i="3"/>
  <c r="D174" i="3"/>
  <c r="D175" i="3"/>
  <c r="D177" i="3"/>
  <c r="D180" i="3"/>
  <c r="D182" i="3"/>
  <c r="D183" i="3"/>
  <c r="D184" i="3"/>
  <c r="D185" i="3"/>
  <c r="D190" i="3"/>
  <c r="D191" i="3"/>
  <c r="D193" i="3"/>
  <c r="D198" i="3"/>
  <c r="D199" i="3"/>
  <c r="D201" i="3"/>
  <c r="D206" i="3"/>
  <c r="D207" i="3"/>
  <c r="D209" i="3"/>
  <c r="D212" i="3"/>
  <c r="D214" i="3"/>
  <c r="D215" i="3"/>
  <c r="D216" i="3"/>
  <c r="D217" i="3"/>
  <c r="D222" i="3"/>
  <c r="D223" i="3"/>
  <c r="D225" i="3"/>
  <c r="D230" i="3"/>
  <c r="D231" i="3"/>
  <c r="D233" i="3"/>
  <c r="D238" i="3"/>
  <c r="D239" i="3"/>
  <c r="D241" i="3"/>
  <c r="D244" i="3"/>
  <c r="D246" i="3"/>
  <c r="D247" i="3"/>
  <c r="D248" i="3"/>
  <c r="D249" i="3"/>
  <c r="D254" i="3"/>
  <c r="D255" i="3"/>
  <c r="D257" i="3"/>
  <c r="D262" i="3"/>
  <c r="D263" i="3"/>
  <c r="D265" i="3"/>
  <c r="D270" i="3"/>
  <c r="D271" i="3"/>
  <c r="D273" i="3"/>
  <c r="D276" i="3"/>
  <c r="D278" i="3"/>
  <c r="D279" i="3"/>
  <c r="D280" i="3"/>
  <c r="D281" i="3"/>
  <c r="D286" i="3"/>
  <c r="D287" i="3"/>
  <c r="D289" i="3"/>
  <c r="D294" i="3"/>
  <c r="D295" i="3"/>
  <c r="D297" i="3"/>
  <c r="D302" i="3"/>
  <c r="D303" i="3"/>
  <c r="D305" i="3"/>
  <c r="D308" i="3"/>
  <c r="D310" i="3"/>
  <c r="D311" i="3"/>
  <c r="D312" i="3"/>
  <c r="D313" i="3"/>
  <c r="D318" i="3"/>
  <c r="D319" i="3"/>
  <c r="D321" i="3"/>
  <c r="D326" i="3"/>
  <c r="D327" i="3"/>
  <c r="D329" i="3"/>
  <c r="D334" i="3"/>
  <c r="D335" i="3"/>
  <c r="D337" i="3"/>
  <c r="D340" i="3"/>
  <c r="D342" i="3"/>
  <c r="D343" i="3"/>
  <c r="D344" i="3"/>
  <c r="D345" i="3"/>
  <c r="D349" i="3"/>
  <c r="D350" i="3"/>
  <c r="D351" i="3"/>
  <c r="D353" i="3"/>
  <c r="D358" i="3"/>
  <c r="D359" i="3"/>
  <c r="D361" i="3"/>
  <c r="D366" i="3"/>
  <c r="D367" i="3"/>
  <c r="D369" i="3"/>
  <c r="D372" i="3"/>
  <c r="D373" i="3"/>
  <c r="D374" i="3"/>
  <c r="D375" i="3"/>
  <c r="D376" i="3"/>
  <c r="D377" i="3"/>
  <c r="D382" i="3"/>
  <c r="D383" i="3"/>
  <c r="D385" i="3"/>
  <c r="D389" i="3"/>
  <c r="D390" i="3"/>
  <c r="D391" i="3"/>
  <c r="D393" i="3"/>
  <c r="D398" i="3"/>
  <c r="D399" i="3"/>
  <c r="D401" i="3"/>
  <c r="D404" i="3"/>
  <c r="D406" i="3"/>
  <c r="D407" i="3"/>
  <c r="D408" i="3"/>
  <c r="D409" i="3"/>
  <c r="D410" i="3"/>
  <c r="D414" i="3"/>
  <c r="D415" i="3"/>
  <c r="D417" i="3"/>
  <c r="D422" i="3"/>
  <c r="D423" i="3"/>
  <c r="D425" i="3"/>
  <c r="D430" i="3"/>
  <c r="D431" i="3"/>
  <c r="D433" i="3"/>
  <c r="D436" i="3"/>
  <c r="D438" i="3"/>
  <c r="D439" i="3"/>
  <c r="D440" i="3"/>
  <c r="D441" i="3"/>
  <c r="D446" i="3"/>
  <c r="D447" i="3"/>
  <c r="D449" i="3"/>
  <c r="D454" i="3"/>
  <c r="D455" i="3"/>
  <c r="D457" i="3"/>
  <c r="D462" i="3"/>
  <c r="D463" i="3"/>
  <c r="D465" i="3"/>
  <c r="D468" i="3"/>
  <c r="D470" i="3"/>
  <c r="D471" i="3"/>
  <c r="D472" i="3"/>
  <c r="D473" i="3"/>
  <c r="D478" i="3"/>
  <c r="D479" i="3"/>
  <c r="D481" i="3"/>
  <c r="D486" i="3"/>
  <c r="D487" i="3"/>
  <c r="D489" i="3"/>
  <c r="D494" i="3"/>
  <c r="D495" i="3"/>
  <c r="D497" i="3"/>
  <c r="D500" i="3"/>
  <c r="D502" i="3"/>
  <c r="D503" i="3"/>
  <c r="D504" i="3"/>
  <c r="D505" i="3"/>
  <c r="D510" i="3"/>
  <c r="D511" i="3"/>
  <c r="D513" i="3"/>
  <c r="D518" i="3"/>
  <c r="D519" i="3"/>
  <c r="D521" i="3"/>
  <c r="D526" i="3"/>
  <c r="D527" i="3"/>
  <c r="D529" i="3"/>
  <c r="D532" i="3"/>
  <c r="D533" i="3"/>
  <c r="D534" i="3"/>
  <c r="D535" i="3"/>
  <c r="D536" i="3"/>
  <c r="D537" i="3"/>
  <c r="D538" i="3"/>
  <c r="D542" i="3"/>
  <c r="D543" i="3"/>
  <c r="D545" i="3"/>
  <c r="D550" i="3"/>
  <c r="D551" i="3"/>
  <c r="D553" i="3"/>
  <c r="D558" i="3"/>
  <c r="D559" i="3"/>
  <c r="D561" i="3"/>
  <c r="D564" i="3"/>
  <c r="D566" i="3"/>
  <c r="D567" i="3"/>
  <c r="D568" i="3"/>
  <c r="D569" i="3"/>
  <c r="D573" i="3"/>
  <c r="D574" i="3"/>
  <c r="D575" i="3"/>
  <c r="D577" i="3"/>
  <c r="D582" i="3"/>
  <c r="D583" i="3"/>
  <c r="D585" i="3"/>
  <c r="D586" i="3"/>
  <c r="D590" i="3"/>
  <c r="D591" i="3"/>
  <c r="D593" i="3"/>
  <c r="D596" i="3"/>
  <c r="D598" i="3"/>
  <c r="D599" i="3"/>
  <c r="D600" i="3"/>
  <c r="D601" i="3"/>
  <c r="D606" i="3"/>
  <c r="D607" i="3"/>
  <c r="D609" i="3"/>
  <c r="D614" i="3"/>
  <c r="D615" i="3"/>
  <c r="D617" i="3"/>
  <c r="D622" i="3"/>
  <c r="D623" i="3"/>
  <c r="D625" i="3"/>
  <c r="D628" i="3"/>
  <c r="D629" i="3"/>
  <c r="D630" i="3"/>
  <c r="D631" i="3"/>
  <c r="D632" i="3"/>
  <c r="D633" i="3"/>
  <c r="D637" i="3"/>
  <c r="D638" i="3"/>
  <c r="D639" i="3"/>
  <c r="D641" i="3"/>
  <c r="D646" i="3"/>
  <c r="D647" i="3"/>
  <c r="D649" i="3"/>
  <c r="D653" i="3"/>
  <c r="D654" i="3"/>
  <c r="D655" i="3"/>
  <c r="D657" i="3"/>
  <c r="D660" i="3"/>
  <c r="D662" i="3"/>
  <c r="D663" i="3"/>
  <c r="D664" i="3"/>
  <c r="D665" i="3"/>
  <c r="D669" i="3"/>
  <c r="D670" i="3"/>
  <c r="D671" i="3"/>
  <c r="D673" i="3"/>
  <c r="D677" i="3"/>
  <c r="D678" i="3"/>
  <c r="D679" i="3"/>
  <c r="D681" i="3"/>
  <c r="D686" i="3"/>
  <c r="D687" i="3"/>
  <c r="D689" i="3"/>
  <c r="D692" i="3"/>
  <c r="D694" i="3"/>
  <c r="D695" i="3"/>
  <c r="D696" i="3"/>
  <c r="D697" i="3"/>
  <c r="D702" i="3"/>
  <c r="D703" i="3"/>
  <c r="D705" i="3"/>
  <c r="D710" i="3"/>
  <c r="D711" i="3"/>
  <c r="D713" i="3"/>
  <c r="D718" i="3"/>
  <c r="D719" i="3"/>
  <c r="D721" i="3"/>
  <c r="D722" i="3"/>
  <c r="D724" i="3"/>
  <c r="D726" i="3"/>
  <c r="D727" i="3"/>
  <c r="D728" i="3"/>
  <c r="D729" i="3"/>
  <c r="D734" i="3"/>
  <c r="D735" i="3"/>
  <c r="D737" i="3"/>
  <c r="D742" i="3"/>
  <c r="D743" i="3"/>
  <c r="D745" i="3"/>
  <c r="D750" i="3"/>
  <c r="D751" i="3"/>
  <c r="D753" i="3"/>
  <c r="D756" i="3"/>
  <c r="D758" i="3"/>
  <c r="D759" i="3"/>
  <c r="D760" i="3"/>
  <c r="D761" i="3"/>
  <c r="D766" i="3"/>
  <c r="D767" i="3"/>
  <c r="D769" i="3"/>
  <c r="D773" i="3"/>
  <c r="D774" i="3"/>
  <c r="D775" i="3"/>
  <c r="D777" i="3"/>
  <c r="D782" i="3"/>
  <c r="D783" i="3"/>
  <c r="D785" i="3"/>
  <c r="D788" i="3"/>
  <c r="D790" i="3"/>
  <c r="D791" i="3"/>
  <c r="D792" i="3"/>
  <c r="D793" i="3"/>
  <c r="D798" i="3"/>
  <c r="D799" i="3"/>
  <c r="D801" i="3"/>
  <c r="D802" i="3"/>
  <c r="D806" i="3"/>
  <c r="D807" i="3"/>
  <c r="D809" i="3"/>
  <c r="D813" i="3"/>
  <c r="D814" i="3"/>
  <c r="D815" i="3"/>
  <c r="D817" i="3"/>
  <c r="D820" i="3"/>
  <c r="D822" i="3"/>
  <c r="D823" i="3"/>
  <c r="D824" i="3"/>
  <c r="D825" i="3"/>
  <c r="D830" i="3"/>
  <c r="D831" i="3"/>
  <c r="D833" i="3"/>
  <c r="D838" i="3"/>
  <c r="D839" i="3"/>
  <c r="D841" i="3"/>
  <c r="D845" i="3"/>
  <c r="D846" i="3"/>
  <c r="D847" i="3"/>
  <c r="D849" i="3"/>
  <c r="D852" i="3"/>
  <c r="D854" i="3"/>
  <c r="D855" i="3"/>
  <c r="D856" i="3"/>
  <c r="D857" i="3"/>
  <c r="D862" i="3"/>
  <c r="D863" i="3"/>
  <c r="D865" i="3"/>
  <c r="D870" i="3"/>
  <c r="D871" i="3"/>
  <c r="D873" i="3"/>
  <c r="D878" i="3"/>
  <c r="D879" i="3"/>
  <c r="D881" i="3"/>
  <c r="D884" i="3"/>
  <c r="D885" i="3"/>
  <c r="D886" i="3"/>
  <c r="D887" i="3"/>
  <c r="D888" i="3"/>
  <c r="D889" i="3"/>
  <c r="D893" i="3"/>
  <c r="D894" i="3"/>
  <c r="D895" i="3"/>
  <c r="D897" i="3"/>
  <c r="D902" i="3"/>
  <c r="D903" i="3"/>
  <c r="D905" i="3"/>
  <c r="D909" i="3"/>
  <c r="D910" i="3"/>
  <c r="D911" i="3"/>
  <c r="D913" i="3"/>
  <c r="D916" i="3"/>
  <c r="D918" i="3"/>
  <c r="D919" i="3"/>
  <c r="D920" i="3"/>
  <c r="D921" i="3"/>
  <c r="D925" i="3"/>
  <c r="D926" i="3"/>
  <c r="D927" i="3"/>
  <c r="D929" i="3"/>
  <c r="D933" i="3"/>
  <c r="D934" i="3"/>
  <c r="D935" i="3"/>
  <c r="D937" i="3"/>
  <c r="D942" i="3"/>
  <c r="D943" i="3"/>
  <c r="D945" i="3"/>
  <c r="D948" i="3"/>
  <c r="D950" i="3"/>
  <c r="D951" i="3"/>
  <c r="D952" i="3"/>
  <c r="D953" i="3"/>
  <c r="D958" i="3"/>
  <c r="D959" i="3"/>
  <c r="D961" i="3"/>
  <c r="D966" i="3"/>
  <c r="D967" i="3"/>
  <c r="D969" i="3"/>
  <c r="D974" i="3"/>
  <c r="D975" i="3"/>
  <c r="D977" i="3"/>
  <c r="D978" i="3"/>
  <c r="D980" i="3"/>
  <c r="D982" i="3"/>
  <c r="D983" i="3"/>
  <c r="D984" i="3"/>
  <c r="D985" i="3"/>
  <c r="D990" i="3"/>
  <c r="D991" i="3"/>
  <c r="D993" i="3"/>
  <c r="D998" i="3"/>
  <c r="D999" i="3"/>
  <c r="D1001" i="3"/>
  <c r="D1006" i="3"/>
  <c r="D1007" i="3"/>
  <c r="D1009" i="3"/>
  <c r="D1012" i="3"/>
  <c r="D1014" i="3"/>
  <c r="D1015" i="3"/>
  <c r="D1016" i="3"/>
  <c r="D1017" i="3"/>
  <c r="D1018" i="3"/>
  <c r="D1022" i="3"/>
  <c r="D1023" i="3"/>
  <c r="D1025" i="3"/>
  <c r="B1" i="3"/>
  <c r="C6" i="2"/>
  <c r="C3" i="2"/>
  <c r="S4" i="4" l="1"/>
  <c r="S5" i="4"/>
  <c r="L4" i="4"/>
  <c r="L5" i="4"/>
  <c r="D3" i="4"/>
  <c r="F3" i="4" s="1" a="1"/>
  <c r="I3" i="4" a="1"/>
  <c r="B10" i="1"/>
  <c r="H3" i="1" s="1"/>
  <c r="G3" i="1" l="1" a="1"/>
  <c r="G3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H1003" i="1" s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H1016" i="1" s="1"/>
  <c r="H1017" i="1" s="1"/>
  <c r="H1018" i="1" s="1"/>
  <c r="H1019" i="1" s="1"/>
  <c r="H1020" i="1" s="1"/>
  <c r="H1021" i="1" s="1"/>
  <c r="H1022" i="1" s="1"/>
  <c r="H1023" i="1" s="1"/>
  <c r="H1024" i="1" s="1"/>
  <c r="H1025" i="1" s="1"/>
  <c r="I3" i="4"/>
  <c r="S9" i="4"/>
  <c r="S8" i="4"/>
  <c r="S7" i="4"/>
  <c r="S11" i="4" s="1"/>
  <c r="F3" i="4"/>
  <c r="G3" i="4" s="1"/>
  <c r="G4" i="4"/>
  <c r="G12" i="4"/>
  <c r="G20" i="4"/>
  <c r="G28" i="4"/>
  <c r="G36" i="4"/>
  <c r="G44" i="4"/>
  <c r="G52" i="4"/>
  <c r="G60" i="4"/>
  <c r="G68" i="4"/>
  <c r="G76" i="4"/>
  <c r="G84" i="4"/>
  <c r="G92" i="4"/>
  <c r="G100" i="4"/>
  <c r="G108" i="4"/>
  <c r="G116" i="4"/>
  <c r="G124" i="4"/>
  <c r="G132" i="4"/>
  <c r="G140" i="4"/>
  <c r="G148" i="4"/>
  <c r="G156" i="4"/>
  <c r="G164" i="4"/>
  <c r="G172" i="4"/>
  <c r="G180" i="4"/>
  <c r="G188" i="4"/>
  <c r="G196" i="4"/>
  <c r="G204" i="4"/>
  <c r="G212" i="4"/>
  <c r="G220" i="4"/>
  <c r="G228" i="4"/>
  <c r="G236" i="4"/>
  <c r="G244" i="4"/>
  <c r="G252" i="4"/>
  <c r="G260" i="4"/>
  <c r="G268" i="4"/>
  <c r="G276" i="4"/>
  <c r="G284" i="4"/>
  <c r="G292" i="4"/>
  <c r="G300" i="4"/>
  <c r="G308" i="4"/>
  <c r="G316" i="4"/>
  <c r="G324" i="4"/>
  <c r="G332" i="4"/>
  <c r="G340" i="4"/>
  <c r="G348" i="4"/>
  <c r="G356" i="4"/>
  <c r="G364" i="4"/>
  <c r="G372" i="4"/>
  <c r="G380" i="4"/>
  <c r="G388" i="4"/>
  <c r="G396" i="4"/>
  <c r="G404" i="4"/>
  <c r="G412" i="4"/>
  <c r="G420" i="4"/>
  <c r="G5" i="4"/>
  <c r="G13" i="4"/>
  <c r="G21" i="4"/>
  <c r="G29" i="4"/>
  <c r="G37" i="4"/>
  <c r="G45" i="4"/>
  <c r="G53" i="4"/>
  <c r="G61" i="4"/>
  <c r="G69" i="4"/>
  <c r="G77" i="4"/>
  <c r="G85" i="4"/>
  <c r="G93" i="4"/>
  <c r="G101" i="4"/>
  <c r="G109" i="4"/>
  <c r="G117" i="4"/>
  <c r="G125" i="4"/>
  <c r="G133" i="4"/>
  <c r="G141" i="4"/>
  <c r="G149" i="4"/>
  <c r="G157" i="4"/>
  <c r="G165" i="4"/>
  <c r="G173" i="4"/>
  <c r="G181" i="4"/>
  <c r="G189" i="4"/>
  <c r="G197" i="4"/>
  <c r="G205" i="4"/>
  <c r="G213" i="4"/>
  <c r="G221" i="4"/>
  <c r="G229" i="4"/>
  <c r="G237" i="4"/>
  <c r="G245" i="4"/>
  <c r="G253" i="4"/>
  <c r="G261" i="4"/>
  <c r="G269" i="4"/>
  <c r="G277" i="4"/>
  <c r="G285" i="4"/>
  <c r="G293" i="4"/>
  <c r="G301" i="4"/>
  <c r="G309" i="4"/>
  <c r="G317" i="4"/>
  <c r="G325" i="4"/>
  <c r="G333" i="4"/>
  <c r="G341" i="4"/>
  <c r="G349" i="4"/>
  <c r="G357" i="4"/>
  <c r="G365" i="4"/>
  <c r="G373" i="4"/>
  <c r="G381" i="4"/>
  <c r="G389" i="4"/>
  <c r="G397" i="4"/>
  <c r="G405" i="4"/>
  <c r="G413" i="4"/>
  <c r="G421" i="4"/>
  <c r="G429" i="4"/>
  <c r="G437" i="4"/>
  <c r="G445" i="4"/>
  <c r="G453" i="4"/>
  <c r="G461" i="4"/>
  <c r="G469" i="4"/>
  <c r="G477" i="4"/>
  <c r="G485" i="4"/>
  <c r="G493" i="4"/>
  <c r="G501" i="4"/>
  <c r="G509" i="4"/>
  <c r="G517" i="4"/>
  <c r="G369" i="4"/>
  <c r="G203" i="4"/>
  <c r="G307" i="4"/>
  <c r="G347" i="4"/>
  <c r="G387" i="4"/>
  <c r="G419" i="4"/>
  <c r="G451" i="4"/>
  <c r="G491" i="4"/>
  <c r="G6" i="4"/>
  <c r="G14" i="4"/>
  <c r="G22" i="4"/>
  <c r="G30" i="4"/>
  <c r="G38" i="4"/>
  <c r="G46" i="4"/>
  <c r="G54" i="4"/>
  <c r="G62" i="4"/>
  <c r="G70" i="4"/>
  <c r="G78" i="4"/>
  <c r="G86" i="4"/>
  <c r="G94" i="4"/>
  <c r="G102" i="4"/>
  <c r="G110" i="4"/>
  <c r="G118" i="4"/>
  <c r="G126" i="4"/>
  <c r="G134" i="4"/>
  <c r="G142" i="4"/>
  <c r="G150" i="4"/>
  <c r="G158" i="4"/>
  <c r="G166" i="4"/>
  <c r="G174" i="4"/>
  <c r="G182" i="4"/>
  <c r="G190" i="4"/>
  <c r="G198" i="4"/>
  <c r="G206" i="4"/>
  <c r="G214" i="4"/>
  <c r="G222" i="4"/>
  <c r="G230" i="4"/>
  <c r="G238" i="4"/>
  <c r="G246" i="4"/>
  <c r="G254" i="4"/>
  <c r="G262" i="4"/>
  <c r="G270" i="4"/>
  <c r="G278" i="4"/>
  <c r="G286" i="4"/>
  <c r="G294" i="4"/>
  <c r="G302" i="4"/>
  <c r="G310" i="4"/>
  <c r="G318" i="4"/>
  <c r="G326" i="4"/>
  <c r="G334" i="4"/>
  <c r="G342" i="4"/>
  <c r="G350" i="4"/>
  <c r="G358" i="4"/>
  <c r="G366" i="4"/>
  <c r="G374" i="4"/>
  <c r="G382" i="4"/>
  <c r="G390" i="4"/>
  <c r="G398" i="4"/>
  <c r="G406" i="4"/>
  <c r="G414" i="4"/>
  <c r="G422" i="4"/>
  <c r="G430" i="4"/>
  <c r="L9" i="4" s="1"/>
  <c r="G438" i="4"/>
  <c r="G446" i="4"/>
  <c r="G454" i="4"/>
  <c r="G462" i="4"/>
  <c r="G470" i="4"/>
  <c r="G478" i="4"/>
  <c r="G486" i="4"/>
  <c r="G494" i="4"/>
  <c r="G502" i="4"/>
  <c r="G510" i="4"/>
  <c r="G518" i="4"/>
  <c r="G289" i="4"/>
  <c r="G195" i="4"/>
  <c r="G243" i="4"/>
  <c r="G275" i="4"/>
  <c r="G283" i="4"/>
  <c r="G315" i="4"/>
  <c r="G331" i="4"/>
  <c r="G363" i="4"/>
  <c r="G395" i="4"/>
  <c r="G427" i="4"/>
  <c r="G467" i="4"/>
  <c r="G499" i="4"/>
  <c r="L7" i="4" s="1"/>
  <c r="G452" i="4"/>
  <c r="G7" i="4"/>
  <c r="G15" i="4"/>
  <c r="G23" i="4"/>
  <c r="G31" i="4"/>
  <c r="G39" i="4"/>
  <c r="G47" i="4"/>
  <c r="G55" i="4"/>
  <c r="G63" i="4"/>
  <c r="G71" i="4"/>
  <c r="G79" i="4"/>
  <c r="G87" i="4"/>
  <c r="G95" i="4"/>
  <c r="G103" i="4"/>
  <c r="G111" i="4"/>
  <c r="G119" i="4"/>
  <c r="G127" i="4"/>
  <c r="G135" i="4"/>
  <c r="G143" i="4"/>
  <c r="G151" i="4"/>
  <c r="G159" i="4"/>
  <c r="G167" i="4"/>
  <c r="G175" i="4"/>
  <c r="G183" i="4"/>
  <c r="G191" i="4"/>
  <c r="G199" i="4"/>
  <c r="G207" i="4"/>
  <c r="G215" i="4"/>
  <c r="G223" i="4"/>
  <c r="G231" i="4"/>
  <c r="G239" i="4"/>
  <c r="G247" i="4"/>
  <c r="G255" i="4"/>
  <c r="G263" i="4"/>
  <c r="G271" i="4"/>
  <c r="G279" i="4"/>
  <c r="G287" i="4"/>
  <c r="G295" i="4"/>
  <c r="G303" i="4"/>
  <c r="G311" i="4"/>
  <c r="G319" i="4"/>
  <c r="G327" i="4"/>
  <c r="G335" i="4"/>
  <c r="G343" i="4"/>
  <c r="G351" i="4"/>
  <c r="G359" i="4"/>
  <c r="G367" i="4"/>
  <c r="G375" i="4"/>
  <c r="G383" i="4"/>
  <c r="G391" i="4"/>
  <c r="G399" i="4"/>
  <c r="G407" i="4"/>
  <c r="G415" i="4"/>
  <c r="G423" i="4"/>
  <c r="G431" i="4"/>
  <c r="G439" i="4"/>
  <c r="G447" i="4"/>
  <c r="G455" i="4"/>
  <c r="G463" i="4"/>
  <c r="G471" i="4"/>
  <c r="G479" i="4"/>
  <c r="G487" i="4"/>
  <c r="G495" i="4"/>
  <c r="G503" i="4"/>
  <c r="G511" i="4"/>
  <c r="G519" i="4"/>
  <c r="G273" i="4"/>
  <c r="G179" i="4"/>
  <c r="G227" i="4"/>
  <c r="G251" i="4"/>
  <c r="G299" i="4"/>
  <c r="G339" i="4"/>
  <c r="G355" i="4"/>
  <c r="G379" i="4"/>
  <c r="G411" i="4"/>
  <c r="G435" i="4"/>
  <c r="G475" i="4"/>
  <c r="G507" i="4"/>
  <c r="G436" i="4"/>
  <c r="G476" i="4"/>
  <c r="L8" i="4" s="1"/>
  <c r="G492" i="4"/>
  <c r="G508" i="4"/>
  <c r="G8" i="4"/>
  <c r="G16" i="4"/>
  <c r="G24" i="4"/>
  <c r="G32" i="4"/>
  <c r="G40" i="4"/>
  <c r="G48" i="4"/>
  <c r="G56" i="4"/>
  <c r="G64" i="4"/>
  <c r="G72" i="4"/>
  <c r="G80" i="4"/>
  <c r="G88" i="4"/>
  <c r="G96" i="4"/>
  <c r="G104" i="4"/>
  <c r="G112" i="4"/>
  <c r="G120" i="4"/>
  <c r="G128" i="4"/>
  <c r="G136" i="4"/>
  <c r="G144" i="4"/>
  <c r="G152" i="4"/>
  <c r="G160" i="4"/>
  <c r="G168" i="4"/>
  <c r="G176" i="4"/>
  <c r="G184" i="4"/>
  <c r="G192" i="4"/>
  <c r="G200" i="4"/>
  <c r="G208" i="4"/>
  <c r="G216" i="4"/>
  <c r="G224" i="4"/>
  <c r="G232" i="4"/>
  <c r="G240" i="4"/>
  <c r="G248" i="4"/>
  <c r="G256" i="4"/>
  <c r="G264" i="4"/>
  <c r="G272" i="4"/>
  <c r="G280" i="4"/>
  <c r="G288" i="4"/>
  <c r="G296" i="4"/>
  <c r="G304" i="4"/>
  <c r="G312" i="4"/>
  <c r="G320" i="4"/>
  <c r="G328" i="4"/>
  <c r="G336" i="4"/>
  <c r="G344" i="4"/>
  <c r="G352" i="4"/>
  <c r="G360" i="4"/>
  <c r="G368" i="4"/>
  <c r="G376" i="4"/>
  <c r="G384" i="4"/>
  <c r="G392" i="4"/>
  <c r="G400" i="4"/>
  <c r="G408" i="4"/>
  <c r="G416" i="4"/>
  <c r="G424" i="4"/>
  <c r="G432" i="4"/>
  <c r="G440" i="4"/>
  <c r="G448" i="4"/>
  <c r="G456" i="4"/>
  <c r="G464" i="4"/>
  <c r="G472" i="4"/>
  <c r="G480" i="4"/>
  <c r="G488" i="4"/>
  <c r="G496" i="4"/>
  <c r="G504" i="4"/>
  <c r="G512" i="4"/>
  <c r="G520" i="4"/>
  <c r="G265" i="4"/>
  <c r="G187" i="4"/>
  <c r="G219" i="4"/>
  <c r="G235" i="4"/>
  <c r="G259" i="4"/>
  <c r="G267" i="4"/>
  <c r="G291" i="4"/>
  <c r="G323" i="4"/>
  <c r="G371" i="4"/>
  <c r="G403" i="4"/>
  <c r="G443" i="4"/>
  <c r="G459" i="4"/>
  <c r="G483" i="4"/>
  <c r="G515" i="4"/>
  <c r="G428" i="4"/>
  <c r="G460" i="4"/>
  <c r="G468" i="4"/>
  <c r="G484" i="4"/>
  <c r="G500" i="4"/>
  <c r="G516" i="4"/>
  <c r="G9" i="4"/>
  <c r="G17" i="4"/>
  <c r="G25" i="4"/>
  <c r="G33" i="4"/>
  <c r="G41" i="4"/>
  <c r="G49" i="4"/>
  <c r="G57" i="4"/>
  <c r="G65" i="4"/>
  <c r="G73" i="4"/>
  <c r="G81" i="4"/>
  <c r="G89" i="4"/>
  <c r="G97" i="4"/>
  <c r="G105" i="4"/>
  <c r="G113" i="4"/>
  <c r="G121" i="4"/>
  <c r="G129" i="4"/>
  <c r="G137" i="4"/>
  <c r="G145" i="4"/>
  <c r="G153" i="4"/>
  <c r="G161" i="4"/>
  <c r="G169" i="4"/>
  <c r="G177" i="4"/>
  <c r="G185" i="4"/>
  <c r="G193" i="4"/>
  <c r="G201" i="4"/>
  <c r="G209" i="4"/>
  <c r="G217" i="4"/>
  <c r="G225" i="4"/>
  <c r="G233" i="4"/>
  <c r="G241" i="4"/>
  <c r="G249" i="4"/>
  <c r="G257" i="4"/>
  <c r="G281" i="4"/>
  <c r="G297" i="4"/>
  <c r="G305" i="4"/>
  <c r="G313" i="4"/>
  <c r="G321" i="4"/>
  <c r="G329" i="4"/>
  <c r="G337" i="4"/>
  <c r="G345" i="4"/>
  <c r="G353" i="4"/>
  <c r="G361" i="4"/>
  <c r="G377" i="4"/>
  <c r="G385" i="4"/>
  <c r="G393" i="4"/>
  <c r="G401" i="4"/>
  <c r="G409" i="4"/>
  <c r="G417" i="4"/>
  <c r="G425" i="4"/>
  <c r="G433" i="4"/>
  <c r="G441" i="4"/>
  <c r="G449" i="4"/>
  <c r="G457" i="4"/>
  <c r="G465" i="4"/>
  <c r="G473" i="4"/>
  <c r="G481" i="4"/>
  <c r="G489" i="4"/>
  <c r="G497" i="4"/>
  <c r="G505" i="4"/>
  <c r="G513" i="4"/>
  <c r="G521" i="4"/>
  <c r="G211" i="4"/>
  <c r="G444" i="4"/>
  <c r="G10" i="4"/>
  <c r="G18" i="4"/>
  <c r="G26" i="4"/>
  <c r="G34" i="4"/>
  <c r="G42" i="4"/>
  <c r="G50" i="4"/>
  <c r="G58" i="4"/>
  <c r="G66" i="4"/>
  <c r="G74" i="4"/>
  <c r="G82" i="4"/>
  <c r="G90" i="4"/>
  <c r="G98" i="4"/>
  <c r="G106" i="4"/>
  <c r="G114" i="4"/>
  <c r="G122" i="4"/>
  <c r="G130" i="4"/>
  <c r="G138" i="4"/>
  <c r="G146" i="4"/>
  <c r="G154" i="4"/>
  <c r="G162" i="4"/>
  <c r="G170" i="4"/>
  <c r="G178" i="4"/>
  <c r="G186" i="4"/>
  <c r="G194" i="4"/>
  <c r="G202" i="4"/>
  <c r="G210" i="4"/>
  <c r="G218" i="4"/>
  <c r="G226" i="4"/>
  <c r="G234" i="4"/>
  <c r="G242" i="4"/>
  <c r="G250" i="4"/>
  <c r="G258" i="4"/>
  <c r="G266" i="4"/>
  <c r="G274" i="4"/>
  <c r="G282" i="4"/>
  <c r="G290" i="4"/>
  <c r="G298" i="4"/>
  <c r="G306" i="4"/>
  <c r="G314" i="4"/>
  <c r="G322" i="4"/>
  <c r="G330" i="4"/>
  <c r="G338" i="4"/>
  <c r="G346" i="4"/>
  <c r="G354" i="4"/>
  <c r="G362" i="4"/>
  <c r="G370" i="4"/>
  <c r="G378" i="4"/>
  <c r="G386" i="4"/>
  <c r="G394" i="4"/>
  <c r="G402" i="4"/>
  <c r="G410" i="4"/>
  <c r="G418" i="4"/>
  <c r="G426" i="4"/>
  <c r="G434" i="4"/>
  <c r="G442" i="4"/>
  <c r="G450" i="4"/>
  <c r="G458" i="4"/>
  <c r="G466" i="4"/>
  <c r="G474" i="4"/>
  <c r="G482" i="4"/>
  <c r="G490" i="4"/>
  <c r="G498" i="4"/>
  <c r="G506" i="4"/>
  <c r="G514" i="4"/>
  <c r="G11" i="4"/>
  <c r="G19" i="4"/>
  <c r="G27" i="4"/>
  <c r="G35" i="4"/>
  <c r="G43" i="4"/>
  <c r="G51" i="4"/>
  <c r="G59" i="4"/>
  <c r="G67" i="4"/>
  <c r="G75" i="4"/>
  <c r="G83" i="4"/>
  <c r="G91" i="4"/>
  <c r="G99" i="4"/>
  <c r="G107" i="4"/>
  <c r="G115" i="4"/>
  <c r="G123" i="4"/>
  <c r="G131" i="4"/>
  <c r="G139" i="4"/>
  <c r="G147" i="4"/>
  <c r="G155" i="4"/>
  <c r="G163" i="4"/>
  <c r="G171" i="4"/>
  <c r="G4" i="1" a="1"/>
  <c r="G4" i="1" s="1"/>
  <c r="L11" i="4" l="1"/>
  <c r="N15" i="4" s="1"/>
  <c r="G5" i="1" a="1"/>
  <c r="G5" i="1" s="1"/>
  <c r="O15" i="4" l="1"/>
  <c r="L15" i="4"/>
  <c r="M15" i="4"/>
  <c r="G6" i="1" a="1"/>
  <c r="G6" i="1" s="1"/>
  <c r="G7" i="1" l="1" a="1"/>
  <c r="G7" i="1" s="1"/>
  <c r="G8" i="1" l="1" a="1"/>
  <c r="G8" i="1" s="1"/>
  <c r="G9" i="1" a="1"/>
  <c r="G9" i="1" s="1"/>
  <c r="G10" i="1" l="1" a="1"/>
  <c r="G10" i="1" s="1"/>
  <c r="G11" i="1" l="1" a="1"/>
  <c r="G11" i="1" s="1"/>
  <c r="G12" i="1" l="1" a="1"/>
  <c r="G12" i="1" s="1"/>
  <c r="G13" i="1" l="1" a="1"/>
  <c r="G13" i="1" s="1"/>
  <c r="G14" i="1" l="1" a="1"/>
  <c r="G14" i="1" s="1"/>
  <c r="G15" i="1" l="1" a="1"/>
  <c r="G15" i="1" s="1"/>
  <c r="G16" i="1" l="1" a="1"/>
  <c r="G16" i="1" s="1"/>
  <c r="G17" i="1" l="1" a="1"/>
  <c r="G17" i="1" s="1"/>
  <c r="G18" i="1" l="1" a="1"/>
  <c r="G18" i="1" s="1"/>
  <c r="G19" i="1" l="1" a="1"/>
  <c r="G19" i="1" s="1"/>
  <c r="G20" i="1" l="1" a="1"/>
  <c r="G20" i="1" s="1"/>
  <c r="G21" i="1" l="1" a="1"/>
  <c r="G21" i="1" s="1"/>
  <c r="G22" i="1" l="1" a="1"/>
  <c r="G22" i="1" s="1"/>
  <c r="G23" i="1" l="1" a="1"/>
  <c r="G23" i="1" s="1"/>
  <c r="G24" i="1" l="1" a="1"/>
  <c r="G24" i="1" s="1"/>
  <c r="G25" i="1" l="1" a="1"/>
  <c r="G25" i="1" s="1"/>
  <c r="G26" i="1" l="1" a="1"/>
  <c r="G26" i="1" s="1"/>
  <c r="G27" i="1" l="1" a="1"/>
  <c r="G27" i="1" s="1"/>
  <c r="G28" i="1" l="1" a="1"/>
  <c r="G28" i="1" s="1"/>
  <c r="G29" i="1" l="1" a="1"/>
  <c r="G29" i="1" s="1"/>
  <c r="G30" i="1" l="1" a="1"/>
  <c r="G30" i="1" s="1"/>
  <c r="G31" i="1" l="1" a="1"/>
  <c r="G31" i="1" s="1"/>
  <c r="G32" i="1" l="1" a="1"/>
  <c r="G32" i="1" s="1"/>
  <c r="G33" i="1" l="1" a="1"/>
  <c r="G33" i="1" s="1"/>
  <c r="G34" i="1" l="1" a="1"/>
  <c r="G34" i="1" s="1"/>
  <c r="G35" i="1" l="1" a="1"/>
  <c r="G35" i="1" s="1"/>
  <c r="G36" i="1" l="1" a="1"/>
  <c r="G36" i="1" s="1"/>
  <c r="G37" i="1" l="1" a="1"/>
  <c r="G37" i="1" s="1"/>
  <c r="G38" i="1" l="1" a="1"/>
  <c r="G38" i="1" s="1"/>
  <c r="G39" i="1" l="1" a="1"/>
  <c r="G39" i="1" s="1"/>
  <c r="G40" i="1" l="1" a="1"/>
  <c r="G40" i="1" s="1"/>
  <c r="G41" i="1" l="1" a="1"/>
  <c r="G41" i="1" s="1"/>
  <c r="G42" i="1" l="1" a="1"/>
  <c r="G42" i="1" s="1"/>
  <c r="G43" i="1" l="1" a="1"/>
  <c r="G43" i="1" s="1"/>
  <c r="G44" i="1" l="1" a="1"/>
  <c r="G44" i="1" s="1"/>
  <c r="G45" i="1" l="1" a="1"/>
  <c r="G45" i="1" s="1"/>
  <c r="G46" i="1" l="1" a="1"/>
  <c r="G46" i="1" s="1"/>
  <c r="G47" i="1" l="1" a="1"/>
  <c r="G47" i="1" s="1"/>
  <c r="G48" i="1" l="1" a="1"/>
  <c r="G48" i="1" s="1"/>
  <c r="G49" i="1" l="1" a="1"/>
  <c r="G49" i="1" s="1"/>
  <c r="G50" i="1" l="1" a="1"/>
  <c r="G50" i="1" s="1"/>
  <c r="G51" i="1" l="1" a="1"/>
  <c r="G51" i="1" s="1"/>
  <c r="G52" i="1" l="1" a="1"/>
  <c r="G52" i="1" s="1"/>
  <c r="G53" i="1" l="1" a="1"/>
  <c r="G53" i="1" s="1"/>
  <c r="G54" i="1" l="1" a="1"/>
  <c r="G54" i="1" s="1"/>
  <c r="G55" i="1" l="1" a="1"/>
  <c r="G55" i="1" s="1"/>
  <c r="G56" i="1" l="1" a="1"/>
  <c r="G56" i="1" s="1"/>
  <c r="G57" i="1" l="1" a="1"/>
  <c r="G57" i="1" s="1"/>
  <c r="G58" i="1" l="1" a="1"/>
  <c r="G58" i="1" s="1"/>
  <c r="G59" i="1" l="1" a="1"/>
  <c r="G59" i="1" s="1"/>
  <c r="G60" i="1" l="1" a="1"/>
  <c r="G60" i="1" s="1"/>
  <c r="G61" i="1" l="1" a="1"/>
  <c r="G61" i="1" s="1"/>
  <c r="G62" i="1" l="1" a="1"/>
  <c r="G62" i="1" s="1"/>
  <c r="G63" i="1" l="1" a="1"/>
  <c r="G63" i="1" s="1"/>
  <c r="G64" i="1" l="1" a="1"/>
  <c r="G64" i="1" s="1"/>
  <c r="G65" i="1" l="1" a="1"/>
  <c r="G65" i="1" s="1"/>
  <c r="G66" i="1" l="1" a="1"/>
  <c r="G66" i="1" s="1"/>
  <c r="G67" i="1" l="1" a="1"/>
  <c r="G67" i="1" s="1"/>
  <c r="G68" i="1" l="1" a="1"/>
  <c r="G68" i="1" s="1"/>
  <c r="G69" i="1" l="1" a="1"/>
  <c r="G69" i="1" s="1"/>
  <c r="G70" i="1" l="1" a="1"/>
  <c r="G70" i="1" s="1"/>
  <c r="G71" i="1" l="1" a="1"/>
  <c r="G71" i="1" s="1"/>
  <c r="G72" i="1" l="1" a="1"/>
  <c r="G72" i="1" s="1"/>
  <c r="G73" i="1" l="1" a="1"/>
  <c r="G73" i="1" s="1"/>
  <c r="G74" i="1" l="1" a="1"/>
  <c r="G74" i="1" s="1"/>
  <c r="G75" i="1" l="1" a="1"/>
  <c r="G75" i="1" s="1"/>
  <c r="G76" i="1" l="1" a="1"/>
  <c r="G76" i="1" s="1"/>
  <c r="G77" i="1" l="1" a="1"/>
  <c r="G77" i="1" s="1"/>
  <c r="G78" i="1" l="1" a="1"/>
  <c r="G78" i="1" s="1"/>
  <c r="G79" i="1" l="1" a="1"/>
  <c r="G79" i="1" s="1"/>
  <c r="G80" i="1" l="1" a="1"/>
  <c r="G80" i="1" s="1"/>
  <c r="G81" i="1" l="1" a="1"/>
  <c r="G81" i="1" s="1"/>
  <c r="G82" i="1" l="1" a="1"/>
  <c r="G82" i="1" s="1"/>
  <c r="G83" i="1" l="1" a="1"/>
  <c r="G83" i="1" s="1"/>
  <c r="G84" i="1" l="1" a="1"/>
  <c r="G84" i="1" s="1"/>
  <c r="G85" i="1" l="1" a="1"/>
  <c r="G85" i="1" s="1"/>
  <c r="G86" i="1" l="1" a="1"/>
  <c r="G86" i="1" s="1"/>
  <c r="G87" i="1" l="1" a="1"/>
  <c r="G87" i="1" s="1"/>
  <c r="G88" i="1" l="1" a="1"/>
  <c r="G88" i="1" s="1"/>
  <c r="G89" i="1" l="1" a="1"/>
  <c r="G89" i="1" s="1"/>
  <c r="G90" i="1" l="1" a="1"/>
  <c r="G90" i="1" s="1"/>
  <c r="G91" i="1" l="1" a="1"/>
  <c r="G91" i="1" s="1"/>
  <c r="G92" i="1" l="1" a="1"/>
  <c r="G92" i="1" s="1"/>
  <c r="G93" i="1" l="1" a="1"/>
  <c r="G93" i="1" s="1"/>
  <c r="G94" i="1" l="1" a="1"/>
  <c r="G94" i="1" s="1"/>
  <c r="G95" i="1" l="1" a="1"/>
  <c r="G95" i="1" s="1"/>
  <c r="G96" i="1" l="1" a="1"/>
  <c r="G96" i="1" s="1"/>
  <c r="G97" i="1" l="1" a="1"/>
  <c r="G97" i="1" s="1"/>
  <c r="G98" i="1" l="1" a="1"/>
  <c r="G98" i="1" s="1"/>
  <c r="G99" i="1" l="1" a="1"/>
  <c r="G99" i="1" s="1"/>
  <c r="G100" i="1" l="1" a="1"/>
  <c r="G100" i="1" s="1"/>
  <c r="G101" i="1" l="1" a="1"/>
  <c r="G101" i="1" s="1"/>
  <c r="G102" i="1" l="1" a="1"/>
  <c r="G102" i="1" s="1"/>
  <c r="G103" i="1" l="1" a="1"/>
  <c r="G103" i="1" s="1"/>
  <c r="G104" i="1" l="1" a="1"/>
  <c r="G104" i="1" s="1"/>
  <c r="G105" i="1" l="1" a="1"/>
  <c r="G105" i="1" s="1"/>
  <c r="G106" i="1" l="1" a="1"/>
  <c r="G106" i="1" s="1"/>
  <c r="G107" i="1" l="1" a="1"/>
  <c r="G107" i="1" s="1"/>
  <c r="G108" i="1" l="1" a="1"/>
  <c r="G108" i="1" s="1"/>
  <c r="G109" i="1" l="1" a="1"/>
  <c r="G109" i="1" s="1"/>
  <c r="G110" i="1" l="1" a="1"/>
  <c r="G110" i="1" s="1"/>
  <c r="G111" i="1" l="1" a="1"/>
  <c r="G111" i="1" s="1"/>
  <c r="G112" i="1" l="1" a="1"/>
  <c r="G112" i="1" s="1"/>
  <c r="G113" i="1" l="1" a="1"/>
  <c r="G113" i="1" s="1"/>
  <c r="G114" i="1" l="1" a="1"/>
  <c r="G114" i="1" s="1"/>
  <c r="G115" i="1" l="1" a="1"/>
  <c r="G115" i="1" s="1"/>
  <c r="G116" i="1" l="1" a="1"/>
  <c r="G116" i="1" s="1"/>
  <c r="G117" i="1" l="1" a="1"/>
  <c r="G117" i="1" s="1"/>
  <c r="G118" i="1" l="1" a="1"/>
  <c r="G118" i="1" s="1"/>
  <c r="G119" i="1" l="1" a="1"/>
  <c r="G119" i="1" s="1"/>
  <c r="G120" i="1" l="1" a="1"/>
  <c r="G120" i="1" s="1"/>
  <c r="G121" i="1" l="1" a="1"/>
  <c r="G121" i="1" s="1"/>
  <c r="G122" i="1" l="1" a="1"/>
  <c r="G122" i="1" s="1"/>
  <c r="G123" i="1" l="1" a="1"/>
  <c r="G123" i="1" s="1"/>
  <c r="G124" i="1" l="1" a="1"/>
  <c r="G124" i="1" s="1"/>
  <c r="G125" i="1" l="1" a="1"/>
  <c r="G125" i="1" s="1"/>
  <c r="G126" i="1" l="1" a="1"/>
  <c r="G126" i="1" s="1"/>
  <c r="G127" i="1" l="1" a="1"/>
  <c r="G127" i="1" s="1"/>
  <c r="G128" i="1" l="1" a="1"/>
  <c r="G128" i="1" s="1"/>
  <c r="G129" i="1" l="1" a="1"/>
  <c r="G129" i="1" s="1"/>
  <c r="G130" i="1" l="1" a="1"/>
  <c r="G130" i="1" s="1"/>
  <c r="G131" i="1" l="1" a="1"/>
  <c r="G131" i="1" s="1"/>
  <c r="G132" i="1" l="1" a="1"/>
  <c r="G132" i="1" s="1"/>
  <c r="G133" i="1" l="1" a="1"/>
  <c r="G133" i="1" s="1"/>
  <c r="G134" i="1" l="1" a="1"/>
  <c r="G134" i="1" s="1"/>
  <c r="G135" i="1" l="1" a="1"/>
  <c r="G135" i="1" s="1"/>
  <c r="G136" i="1" l="1" a="1"/>
  <c r="G136" i="1" s="1"/>
  <c r="G137" i="1" l="1" a="1"/>
  <c r="G137" i="1" s="1"/>
  <c r="G138" i="1" l="1" a="1"/>
  <c r="G138" i="1" s="1"/>
  <c r="G139" i="1" l="1" a="1"/>
  <c r="G139" i="1" s="1"/>
  <c r="G140" i="1" l="1" a="1"/>
  <c r="G140" i="1" s="1"/>
  <c r="G141" i="1" l="1" a="1"/>
  <c r="G141" i="1" s="1"/>
  <c r="G142" i="1" l="1" a="1"/>
  <c r="G142" i="1" s="1"/>
  <c r="G143" i="1" l="1" a="1"/>
  <c r="G143" i="1" s="1"/>
  <c r="G144" i="1" l="1" a="1"/>
  <c r="G144" i="1" s="1"/>
  <c r="G145" i="1" l="1" a="1"/>
  <c r="G145" i="1" s="1"/>
  <c r="G146" i="1" l="1" a="1"/>
  <c r="G146" i="1" s="1"/>
  <c r="G147" i="1" l="1" a="1"/>
  <c r="G147" i="1" s="1"/>
  <c r="G148" i="1" l="1" a="1"/>
  <c r="G148" i="1" s="1"/>
  <c r="G149" i="1" l="1" a="1"/>
  <c r="G149" i="1" s="1"/>
  <c r="G150" i="1" l="1" a="1"/>
  <c r="G150" i="1" s="1"/>
  <c r="G151" i="1" l="1" a="1"/>
  <c r="G151" i="1" s="1"/>
  <c r="G152" i="1" l="1" a="1"/>
  <c r="G152" i="1" s="1"/>
  <c r="G153" i="1" l="1" a="1"/>
  <c r="G153" i="1" s="1"/>
  <c r="G154" i="1" l="1" a="1"/>
  <c r="G154" i="1" s="1"/>
  <c r="G155" i="1" l="1" a="1"/>
  <c r="G155" i="1" s="1"/>
  <c r="G156" i="1" l="1" a="1"/>
  <c r="G156" i="1" s="1"/>
  <c r="G157" i="1" l="1" a="1"/>
  <c r="G157" i="1" s="1"/>
  <c r="G158" i="1" l="1" a="1"/>
  <c r="G158" i="1" s="1"/>
  <c r="G159" i="1" l="1" a="1"/>
  <c r="G159" i="1" s="1"/>
  <c r="G160" i="1" l="1" a="1"/>
  <c r="G160" i="1" s="1"/>
  <c r="G161" i="1" l="1" a="1"/>
  <c r="G161" i="1" s="1"/>
  <c r="G162" i="1" l="1" a="1"/>
  <c r="G162" i="1" s="1"/>
  <c r="G163" i="1" l="1" a="1"/>
  <c r="G163" i="1" s="1"/>
  <c r="G164" i="1" l="1" a="1"/>
  <c r="G164" i="1" s="1"/>
  <c r="G165" i="1" l="1" a="1"/>
  <c r="G165" i="1" s="1"/>
  <c r="G166" i="1" l="1" a="1"/>
  <c r="G166" i="1" s="1"/>
  <c r="G167" i="1" l="1" a="1"/>
  <c r="G167" i="1" s="1"/>
  <c r="G168" i="1" l="1" a="1"/>
  <c r="G168" i="1" s="1"/>
  <c r="G169" i="1" l="1" a="1"/>
  <c r="G169" i="1" s="1"/>
  <c r="G170" i="1" l="1" a="1"/>
  <c r="G170" i="1" s="1"/>
  <c r="G171" i="1" l="1" a="1"/>
  <c r="G171" i="1" s="1"/>
  <c r="G172" i="1" l="1" a="1"/>
  <c r="G172" i="1" s="1"/>
  <c r="G173" i="1" l="1" a="1"/>
  <c r="G173" i="1" s="1"/>
  <c r="G174" i="1" l="1" a="1"/>
  <c r="G174" i="1" s="1"/>
  <c r="G175" i="1" l="1" a="1"/>
  <c r="G175" i="1" s="1"/>
  <c r="G176" i="1" l="1" a="1"/>
  <c r="G176" i="1" s="1"/>
  <c r="G177" i="1" l="1" a="1"/>
  <c r="G177" i="1" s="1"/>
  <c r="G178" i="1" l="1" a="1"/>
  <c r="G178" i="1" s="1"/>
  <c r="G179" i="1" l="1" a="1"/>
  <c r="G179" i="1" s="1"/>
  <c r="G180" i="1" l="1" a="1"/>
  <c r="G180" i="1" s="1"/>
  <c r="G181" i="1" l="1" a="1"/>
  <c r="G181" i="1" s="1"/>
  <c r="G182" i="1" l="1" a="1"/>
  <c r="G182" i="1" s="1"/>
  <c r="G183" i="1" l="1" a="1"/>
  <c r="G183" i="1" s="1"/>
  <c r="G184" i="1" l="1" a="1"/>
  <c r="G184" i="1" s="1"/>
  <c r="G185" i="1" l="1" a="1"/>
  <c r="G185" i="1" s="1"/>
  <c r="G186" i="1" l="1" a="1"/>
  <c r="G186" i="1" s="1"/>
  <c r="G187" i="1" l="1" a="1"/>
  <c r="G187" i="1" s="1"/>
  <c r="G188" i="1" l="1" a="1"/>
  <c r="G188" i="1" s="1"/>
  <c r="G189" i="1" l="1" a="1"/>
  <c r="G189" i="1" s="1"/>
  <c r="G190" i="1" l="1" a="1"/>
  <c r="G190" i="1" s="1"/>
  <c r="G191" i="1" l="1" a="1"/>
  <c r="G191" i="1" s="1"/>
  <c r="G192" i="1" l="1" a="1"/>
  <c r="G192" i="1" s="1"/>
  <c r="G193" i="1" l="1" a="1"/>
  <c r="G193" i="1" s="1"/>
  <c r="G194" i="1" l="1" a="1"/>
  <c r="G194" i="1" s="1"/>
  <c r="G195" i="1" l="1" a="1"/>
  <c r="G195" i="1" s="1"/>
  <c r="G196" i="1" l="1" a="1"/>
  <c r="G196" i="1" s="1"/>
  <c r="G197" i="1" l="1" a="1"/>
  <c r="G197" i="1" s="1"/>
  <c r="G198" i="1" l="1" a="1"/>
  <c r="G198" i="1" s="1"/>
  <c r="G199" i="1" l="1" a="1"/>
  <c r="G199" i="1" s="1"/>
  <c r="G200" i="1" l="1" a="1"/>
  <c r="G200" i="1" s="1"/>
  <c r="G201" i="1" l="1" a="1"/>
  <c r="G201" i="1" s="1"/>
  <c r="G202" i="1" l="1" a="1"/>
  <c r="G202" i="1" s="1"/>
  <c r="G203" i="1" l="1" a="1"/>
  <c r="G203" i="1" s="1"/>
  <c r="G204" i="1" l="1" a="1"/>
  <c r="G204" i="1" s="1"/>
  <c r="G205" i="1" l="1" a="1"/>
  <c r="G205" i="1" s="1"/>
  <c r="G206" i="1" l="1" a="1"/>
  <c r="G206" i="1" s="1"/>
  <c r="G207" i="1" l="1" a="1"/>
  <c r="G207" i="1" s="1"/>
  <c r="G208" i="1" l="1" a="1"/>
  <c r="G208" i="1" s="1"/>
  <c r="G209" i="1" l="1" a="1"/>
  <c r="G209" i="1" s="1"/>
  <c r="G210" i="1" l="1" a="1"/>
  <c r="G210" i="1" s="1"/>
  <c r="G211" i="1" l="1" a="1"/>
  <c r="G211" i="1" s="1"/>
  <c r="G212" i="1" l="1" a="1"/>
  <c r="G212" i="1" s="1"/>
  <c r="G213" i="1" l="1" a="1"/>
  <c r="G213" i="1" s="1"/>
  <c r="G214" i="1" l="1" a="1"/>
  <c r="G214" i="1" s="1"/>
  <c r="G215" i="1" l="1" a="1"/>
  <c r="G215" i="1" s="1"/>
  <c r="G216" i="1" l="1" a="1"/>
  <c r="G216" i="1" s="1"/>
  <c r="G217" i="1" l="1" a="1"/>
  <c r="G217" i="1" s="1"/>
  <c r="G218" i="1" l="1" a="1"/>
  <c r="G218" i="1" s="1"/>
  <c r="G219" i="1" l="1" a="1"/>
  <c r="G219" i="1" s="1"/>
  <c r="G220" i="1" l="1" a="1"/>
  <c r="G220" i="1" s="1"/>
  <c r="G221" i="1" l="1" a="1"/>
  <c r="G221" i="1" s="1"/>
  <c r="G222" i="1" l="1" a="1"/>
  <c r="G222" i="1" s="1"/>
  <c r="G223" i="1" l="1" a="1"/>
  <c r="G223" i="1" s="1"/>
  <c r="G224" i="1" l="1" a="1"/>
  <c r="G224" i="1" s="1"/>
  <c r="G225" i="1" l="1" a="1"/>
  <c r="G225" i="1" s="1"/>
  <c r="G226" i="1" l="1" a="1"/>
  <c r="G226" i="1" s="1"/>
  <c r="G227" i="1" l="1" a="1"/>
  <c r="G227" i="1" s="1"/>
  <c r="G228" i="1" l="1" a="1"/>
  <c r="G228" i="1" s="1"/>
  <c r="G229" i="1" l="1" a="1"/>
  <c r="G229" i="1" s="1"/>
  <c r="G230" i="1" l="1" a="1"/>
  <c r="G230" i="1" s="1"/>
  <c r="G231" i="1" l="1" a="1"/>
  <c r="G231" i="1" s="1"/>
  <c r="G232" i="1" l="1" a="1"/>
  <c r="G232" i="1" s="1"/>
  <c r="G233" i="1" l="1" a="1"/>
  <c r="G233" i="1" s="1"/>
  <c r="G234" i="1" l="1" a="1"/>
  <c r="G234" i="1" s="1"/>
  <c r="G235" i="1" l="1" a="1"/>
  <c r="G235" i="1" s="1"/>
  <c r="G236" i="1" l="1" a="1"/>
  <c r="G236" i="1" s="1"/>
  <c r="G237" i="1" l="1" a="1"/>
  <c r="G237" i="1" s="1"/>
  <c r="G238" i="1" l="1" a="1"/>
  <c r="G238" i="1" s="1"/>
  <c r="G239" i="1" l="1" a="1"/>
  <c r="G239" i="1" s="1"/>
  <c r="G240" i="1" l="1" a="1"/>
  <c r="G240" i="1" s="1"/>
  <c r="G241" i="1" l="1" a="1"/>
  <c r="G241" i="1" s="1"/>
  <c r="G242" i="1" l="1" a="1"/>
  <c r="G242" i="1" s="1"/>
  <c r="G243" i="1" l="1" a="1"/>
  <c r="G243" i="1" s="1"/>
  <c r="G244" i="1" l="1" a="1"/>
  <c r="G244" i="1" s="1"/>
  <c r="G245" i="1" l="1" a="1"/>
  <c r="G245" i="1" s="1"/>
  <c r="G246" i="1" l="1" a="1"/>
  <c r="G246" i="1" s="1"/>
  <c r="G247" i="1" l="1" a="1"/>
  <c r="G247" i="1" s="1"/>
  <c r="G248" i="1" l="1" a="1"/>
  <c r="G248" i="1" s="1"/>
  <c r="G249" i="1" l="1" a="1"/>
  <c r="G249" i="1" s="1"/>
  <c r="G250" i="1" l="1" a="1"/>
  <c r="G250" i="1" s="1"/>
  <c r="G251" i="1" l="1" a="1"/>
  <c r="G251" i="1" s="1"/>
  <c r="G252" i="1" l="1" a="1"/>
  <c r="G252" i="1" s="1"/>
  <c r="G253" i="1" l="1" a="1"/>
  <c r="G253" i="1" s="1"/>
  <c r="G254" i="1" l="1" a="1"/>
  <c r="G254" i="1" s="1"/>
  <c r="G255" i="1" l="1" a="1"/>
  <c r="G255" i="1" s="1"/>
  <c r="G256" i="1" l="1" a="1"/>
  <c r="G256" i="1" s="1"/>
  <c r="G257" i="1" l="1" a="1"/>
  <c r="G257" i="1" s="1"/>
  <c r="G258" i="1" l="1" a="1"/>
  <c r="G258" i="1" s="1"/>
  <c r="G259" i="1" l="1" a="1"/>
  <c r="G259" i="1" s="1"/>
  <c r="G260" i="1" l="1" a="1"/>
  <c r="G260" i="1" s="1"/>
  <c r="G261" i="1" l="1" a="1"/>
  <c r="G261" i="1" s="1"/>
  <c r="G262" i="1" l="1" a="1"/>
  <c r="G262" i="1" s="1"/>
  <c r="G263" i="1" l="1" a="1"/>
  <c r="G263" i="1" s="1"/>
  <c r="G264" i="1" l="1" a="1"/>
  <c r="G264" i="1" s="1"/>
  <c r="G265" i="1" l="1" a="1"/>
  <c r="G265" i="1" s="1"/>
  <c r="G266" i="1" l="1" a="1"/>
  <c r="G266" i="1" s="1"/>
  <c r="G267" i="1" l="1" a="1"/>
  <c r="G267" i="1" s="1"/>
  <c r="G268" i="1" l="1" a="1"/>
  <c r="G268" i="1" s="1"/>
  <c r="G269" i="1" l="1" a="1"/>
  <c r="G269" i="1" s="1"/>
  <c r="G270" i="1" l="1" a="1"/>
  <c r="G270" i="1" s="1"/>
  <c r="G271" i="1" l="1" a="1"/>
  <c r="G271" i="1" s="1"/>
  <c r="G272" i="1" l="1" a="1"/>
  <c r="G272" i="1" s="1"/>
  <c r="G273" i="1" l="1" a="1"/>
  <c r="G273" i="1" s="1"/>
  <c r="G274" i="1" l="1" a="1"/>
  <c r="G274" i="1" s="1"/>
  <c r="G275" i="1" l="1" a="1"/>
  <c r="G275" i="1" s="1"/>
  <c r="G276" i="1" l="1" a="1"/>
  <c r="G276" i="1" s="1"/>
  <c r="G277" i="1" l="1" a="1"/>
  <c r="G277" i="1" s="1"/>
  <c r="G278" i="1" l="1" a="1"/>
  <c r="G278" i="1" s="1"/>
  <c r="G279" i="1" l="1" a="1"/>
  <c r="G279" i="1" s="1"/>
  <c r="G280" i="1" l="1" a="1"/>
  <c r="G280" i="1" s="1"/>
  <c r="G281" i="1" l="1" a="1"/>
  <c r="G281" i="1" s="1"/>
  <c r="G282" i="1" l="1" a="1"/>
  <c r="G282" i="1" s="1"/>
  <c r="G283" i="1" l="1" a="1"/>
  <c r="G283" i="1" s="1"/>
  <c r="G284" i="1" l="1" a="1"/>
  <c r="G284" i="1" s="1"/>
  <c r="G285" i="1" l="1" a="1"/>
  <c r="G285" i="1" s="1"/>
  <c r="G286" i="1" l="1" a="1"/>
  <c r="G286" i="1" s="1"/>
  <c r="G287" i="1" l="1" a="1"/>
  <c r="G287" i="1" s="1"/>
  <c r="G288" i="1" l="1" a="1"/>
  <c r="G288" i="1" s="1"/>
  <c r="G289" i="1" l="1" a="1"/>
  <c r="G289" i="1" s="1"/>
  <c r="G290" i="1" l="1" a="1"/>
  <c r="G290" i="1" s="1"/>
  <c r="G291" i="1" l="1" a="1"/>
  <c r="G291" i="1" s="1"/>
  <c r="G292" i="1" l="1" a="1"/>
  <c r="G292" i="1" s="1"/>
  <c r="G293" i="1" l="1" a="1"/>
  <c r="G293" i="1" s="1"/>
  <c r="G294" i="1" l="1" a="1"/>
  <c r="G294" i="1" s="1"/>
  <c r="G295" i="1" l="1" a="1"/>
  <c r="G295" i="1" s="1"/>
  <c r="G296" i="1" l="1" a="1"/>
  <c r="G296" i="1" s="1"/>
  <c r="G297" i="1" l="1" a="1"/>
  <c r="G297" i="1" s="1"/>
  <c r="G298" i="1" l="1" a="1"/>
  <c r="G298" i="1" s="1"/>
  <c r="G299" i="1" l="1" a="1"/>
  <c r="G299" i="1" s="1"/>
  <c r="G300" i="1" l="1" a="1"/>
  <c r="G300" i="1" s="1"/>
  <c r="G301" i="1" l="1" a="1"/>
  <c r="G301" i="1" s="1"/>
  <c r="G302" i="1" l="1" a="1"/>
  <c r="G302" i="1" s="1"/>
  <c r="G303" i="1" l="1" a="1"/>
  <c r="G303" i="1" s="1"/>
  <c r="G304" i="1" l="1" a="1"/>
  <c r="G304" i="1" s="1"/>
  <c r="G305" i="1" l="1" a="1"/>
  <c r="G305" i="1" s="1"/>
  <c r="G306" i="1" l="1" a="1"/>
  <c r="G306" i="1" s="1"/>
  <c r="G307" i="1" l="1" a="1"/>
  <c r="G307" i="1" s="1"/>
  <c r="G308" i="1" l="1" a="1"/>
  <c r="G308" i="1" s="1"/>
  <c r="G309" i="1" l="1" a="1"/>
  <c r="G309" i="1" s="1"/>
  <c r="G310" i="1" l="1" a="1"/>
  <c r="G310" i="1" s="1"/>
  <c r="G311" i="1" l="1" a="1"/>
  <c r="G311" i="1" s="1"/>
  <c r="G312" i="1" l="1" a="1"/>
  <c r="G312" i="1" s="1"/>
  <c r="G313" i="1" l="1" a="1"/>
  <c r="G313" i="1" s="1"/>
  <c r="G314" i="1" l="1" a="1"/>
  <c r="G314" i="1" s="1"/>
  <c r="G315" i="1" l="1" a="1"/>
  <c r="G315" i="1" s="1"/>
  <c r="G316" i="1" l="1" a="1"/>
  <c r="G316" i="1" s="1"/>
  <c r="G317" i="1" l="1" a="1"/>
  <c r="G317" i="1" s="1"/>
  <c r="G318" i="1" l="1" a="1"/>
  <c r="G318" i="1" s="1"/>
  <c r="G319" i="1" l="1" a="1"/>
  <c r="G319" i="1" s="1"/>
  <c r="G320" i="1" l="1" a="1"/>
  <c r="G320" i="1" s="1"/>
  <c r="G321" i="1" l="1" a="1"/>
  <c r="G321" i="1" s="1"/>
  <c r="G322" i="1" l="1" a="1"/>
  <c r="G322" i="1" s="1"/>
  <c r="G323" i="1" l="1" a="1"/>
  <c r="G323" i="1" s="1"/>
  <c r="G324" i="1" l="1" a="1"/>
  <c r="G324" i="1" s="1"/>
  <c r="G325" i="1" l="1" a="1"/>
  <c r="G325" i="1" s="1"/>
  <c r="G326" i="1" l="1" a="1"/>
  <c r="G326" i="1" s="1"/>
  <c r="G327" i="1" l="1" a="1"/>
  <c r="G327" i="1" s="1"/>
  <c r="G328" i="1" l="1" a="1"/>
  <c r="G328" i="1" s="1"/>
  <c r="G329" i="1" l="1" a="1"/>
  <c r="G329" i="1" s="1"/>
  <c r="G330" i="1" l="1" a="1"/>
  <c r="G330" i="1" s="1"/>
  <c r="G331" i="1" l="1" a="1"/>
  <c r="G331" i="1" s="1"/>
  <c r="G332" i="1" l="1" a="1"/>
  <c r="G332" i="1" s="1"/>
  <c r="G333" i="1" l="1" a="1"/>
  <c r="G333" i="1" s="1"/>
  <c r="G334" i="1" l="1" a="1"/>
  <c r="G334" i="1" s="1"/>
  <c r="G335" i="1" l="1" a="1"/>
  <c r="G335" i="1" s="1"/>
  <c r="G336" i="1" l="1" a="1"/>
  <c r="G336" i="1" s="1"/>
  <c r="G337" i="1" l="1" a="1"/>
  <c r="G337" i="1" s="1"/>
  <c r="G338" i="1" l="1" a="1"/>
  <c r="G338" i="1" s="1"/>
  <c r="G339" i="1" l="1" a="1"/>
  <c r="G339" i="1" s="1"/>
  <c r="G340" i="1" l="1" a="1"/>
  <c r="G340" i="1" s="1"/>
  <c r="G341" i="1" l="1" a="1"/>
  <c r="G341" i="1" s="1"/>
  <c r="G342" i="1" l="1" a="1"/>
  <c r="G342" i="1" s="1"/>
  <c r="G343" i="1" l="1" a="1"/>
  <c r="G343" i="1" s="1"/>
  <c r="G344" i="1" l="1" a="1"/>
  <c r="G344" i="1" s="1"/>
  <c r="G345" i="1" l="1" a="1"/>
  <c r="G345" i="1" s="1"/>
  <c r="G346" i="1" l="1" a="1"/>
  <c r="G346" i="1" s="1"/>
  <c r="G347" i="1" l="1" a="1"/>
  <c r="G347" i="1" s="1"/>
  <c r="G348" i="1" l="1" a="1"/>
  <c r="G348" i="1" s="1"/>
  <c r="G349" i="1" l="1" a="1"/>
  <c r="G349" i="1" s="1"/>
  <c r="G350" i="1" l="1" a="1"/>
  <c r="G350" i="1" s="1"/>
  <c r="G351" i="1" l="1" a="1"/>
  <c r="G351" i="1" s="1"/>
  <c r="G352" i="1" l="1" a="1"/>
  <c r="G352" i="1" s="1"/>
  <c r="G353" i="1" l="1" a="1"/>
  <c r="G353" i="1" s="1"/>
  <c r="G354" i="1" l="1" a="1"/>
  <c r="G354" i="1" s="1"/>
  <c r="G355" i="1" l="1" a="1"/>
  <c r="G355" i="1" s="1"/>
  <c r="G356" i="1" l="1" a="1"/>
  <c r="G356" i="1" s="1"/>
  <c r="G357" i="1" l="1" a="1"/>
  <c r="G357" i="1" s="1"/>
  <c r="G358" i="1" l="1" a="1"/>
  <c r="G358" i="1" s="1"/>
  <c r="G359" i="1" l="1" a="1"/>
  <c r="G359" i="1" s="1"/>
  <c r="G360" i="1" l="1" a="1"/>
  <c r="G360" i="1" s="1"/>
  <c r="G361" i="1" l="1" a="1"/>
  <c r="G361" i="1" s="1"/>
  <c r="G362" i="1" l="1" a="1"/>
  <c r="G362" i="1" s="1"/>
  <c r="G363" i="1" l="1" a="1"/>
  <c r="G363" i="1" s="1"/>
  <c r="G364" i="1" l="1" a="1"/>
  <c r="G364" i="1" s="1"/>
  <c r="G365" i="1" l="1" a="1"/>
  <c r="G365" i="1" s="1"/>
  <c r="G366" i="1" l="1" a="1"/>
  <c r="G366" i="1" s="1"/>
  <c r="G367" i="1" l="1" a="1"/>
  <c r="G367" i="1" s="1"/>
  <c r="G368" i="1" l="1" a="1"/>
  <c r="G368" i="1" s="1"/>
  <c r="G369" i="1" l="1" a="1"/>
  <c r="G369" i="1" s="1"/>
  <c r="G370" i="1" l="1" a="1"/>
  <c r="G370" i="1" s="1"/>
  <c r="G371" i="1" l="1" a="1"/>
  <c r="G371" i="1" s="1"/>
  <c r="G372" i="1" l="1" a="1"/>
  <c r="G372" i="1" s="1"/>
  <c r="G373" i="1" l="1" a="1"/>
  <c r="G373" i="1" s="1"/>
  <c r="G374" i="1" l="1" a="1"/>
  <c r="G374" i="1" s="1"/>
  <c r="G375" i="1" l="1" a="1"/>
  <c r="G375" i="1" s="1"/>
  <c r="G376" i="1" l="1" a="1"/>
  <c r="G376" i="1" s="1"/>
  <c r="G377" i="1" l="1" a="1"/>
  <c r="G377" i="1" s="1"/>
  <c r="G378" i="1" l="1" a="1"/>
  <c r="G378" i="1" s="1"/>
  <c r="G379" i="1" l="1" a="1"/>
  <c r="G379" i="1" s="1"/>
  <c r="G380" i="1" l="1" a="1"/>
  <c r="G380" i="1" s="1"/>
  <c r="G381" i="1" l="1" a="1"/>
  <c r="G381" i="1" s="1"/>
  <c r="G382" i="1" l="1" a="1"/>
  <c r="G382" i="1" s="1"/>
  <c r="G383" i="1" l="1" a="1"/>
  <c r="G383" i="1" s="1"/>
  <c r="G384" i="1" l="1" a="1"/>
  <c r="G384" i="1" s="1"/>
  <c r="G385" i="1" l="1" a="1"/>
  <c r="G385" i="1" s="1"/>
  <c r="G386" i="1" l="1" a="1"/>
  <c r="G386" i="1" s="1"/>
  <c r="G387" i="1" l="1" a="1"/>
  <c r="G387" i="1" s="1"/>
  <c r="G388" i="1" l="1" a="1"/>
  <c r="G388" i="1" s="1"/>
  <c r="G389" i="1" l="1" a="1"/>
  <c r="G389" i="1" s="1"/>
  <c r="G390" i="1" l="1" a="1"/>
  <c r="G390" i="1" s="1"/>
  <c r="G391" i="1" l="1" a="1"/>
  <c r="G391" i="1" s="1"/>
  <c r="G392" i="1" l="1" a="1"/>
  <c r="G392" i="1" s="1"/>
  <c r="G393" i="1" l="1" a="1"/>
  <c r="G393" i="1" s="1"/>
  <c r="G394" i="1" l="1" a="1"/>
  <c r="G394" i="1" s="1"/>
  <c r="G395" i="1" l="1" a="1"/>
  <c r="G395" i="1" s="1"/>
  <c r="G396" i="1" l="1" a="1"/>
  <c r="G396" i="1" s="1"/>
  <c r="G397" i="1" l="1" a="1"/>
  <c r="G397" i="1" s="1"/>
  <c r="G398" i="1" l="1" a="1"/>
  <c r="G398" i="1" s="1"/>
  <c r="G399" i="1" l="1" a="1"/>
  <c r="G399" i="1" s="1"/>
  <c r="G400" i="1" l="1" a="1"/>
  <c r="G400" i="1" s="1"/>
  <c r="G401" i="1" l="1" a="1"/>
  <c r="G401" i="1" s="1"/>
  <c r="G402" i="1" l="1" a="1"/>
  <c r="G402" i="1" s="1"/>
  <c r="G403" i="1" l="1" a="1"/>
  <c r="G403" i="1" s="1"/>
  <c r="G404" i="1" l="1" a="1"/>
  <c r="G404" i="1" s="1"/>
  <c r="G405" i="1" l="1" a="1"/>
  <c r="G405" i="1" s="1"/>
  <c r="G406" i="1" l="1" a="1"/>
  <c r="G406" i="1" s="1"/>
  <c r="G407" i="1" l="1" a="1"/>
  <c r="G407" i="1" s="1"/>
  <c r="G408" i="1" l="1" a="1"/>
  <c r="G408" i="1" s="1"/>
  <c r="G409" i="1" l="1" a="1"/>
  <c r="G409" i="1" s="1"/>
  <c r="G410" i="1" l="1" a="1"/>
  <c r="G410" i="1" s="1"/>
  <c r="G411" i="1" l="1" a="1"/>
  <c r="G411" i="1" s="1"/>
  <c r="G412" i="1" l="1" a="1"/>
  <c r="G412" i="1" s="1"/>
  <c r="G413" i="1" l="1" a="1"/>
  <c r="G413" i="1" s="1"/>
  <c r="G414" i="1" l="1" a="1"/>
  <c r="G414" i="1" s="1"/>
  <c r="G415" i="1" l="1" a="1"/>
  <c r="G415" i="1" s="1"/>
  <c r="G416" i="1" l="1" a="1"/>
  <c r="G416" i="1" s="1"/>
  <c r="G417" i="1" l="1" a="1"/>
  <c r="G417" i="1" s="1"/>
  <c r="G418" i="1" l="1" a="1"/>
  <c r="G418" i="1" s="1"/>
  <c r="G419" i="1" l="1" a="1"/>
  <c r="G419" i="1" s="1"/>
  <c r="G420" i="1" l="1" a="1"/>
  <c r="G420" i="1" s="1"/>
  <c r="G421" i="1" l="1" a="1"/>
  <c r="G421" i="1" s="1"/>
  <c r="G422" i="1" l="1" a="1"/>
  <c r="G422" i="1" s="1"/>
  <c r="G423" i="1" l="1" a="1"/>
  <c r="G423" i="1" s="1"/>
  <c r="G424" i="1" l="1" a="1"/>
  <c r="G424" i="1" s="1"/>
  <c r="G425" i="1" l="1" a="1"/>
  <c r="G425" i="1" s="1"/>
  <c r="G426" i="1" l="1" a="1"/>
  <c r="G426" i="1" s="1"/>
  <c r="G427" i="1" l="1" a="1"/>
  <c r="G427" i="1" s="1"/>
  <c r="G428" i="1" l="1" a="1"/>
  <c r="G428" i="1" s="1"/>
  <c r="G429" i="1" l="1" a="1"/>
  <c r="G429" i="1" s="1"/>
  <c r="G430" i="1" l="1" a="1"/>
  <c r="G430" i="1" s="1"/>
  <c r="G431" i="1" l="1" a="1"/>
  <c r="G431" i="1" s="1"/>
  <c r="G432" i="1" l="1" a="1"/>
  <c r="G432" i="1" s="1"/>
  <c r="G433" i="1" l="1" a="1"/>
  <c r="G433" i="1" s="1"/>
  <c r="G434" i="1" l="1" a="1"/>
  <c r="G434" i="1" s="1"/>
  <c r="G435" i="1" l="1" a="1"/>
  <c r="G435" i="1" s="1"/>
  <c r="G436" i="1" l="1" a="1"/>
  <c r="G436" i="1" s="1"/>
  <c r="G437" i="1" l="1" a="1"/>
  <c r="G437" i="1" s="1"/>
  <c r="G438" i="1" l="1" a="1"/>
  <c r="G438" i="1" s="1"/>
  <c r="G439" i="1" l="1" a="1"/>
  <c r="G439" i="1" s="1"/>
  <c r="G440" i="1" l="1" a="1"/>
  <c r="G440" i="1" s="1"/>
  <c r="G441" i="1" l="1" a="1"/>
  <c r="G441" i="1" s="1"/>
  <c r="G442" i="1" l="1" a="1"/>
  <c r="G442" i="1" s="1"/>
  <c r="G443" i="1" l="1" a="1"/>
  <c r="G443" i="1" s="1"/>
  <c r="G444" i="1" l="1" a="1"/>
  <c r="G444" i="1" s="1"/>
  <c r="G445" i="1" l="1" a="1"/>
  <c r="G445" i="1" s="1"/>
  <c r="G446" i="1" l="1" a="1"/>
  <c r="G446" i="1" s="1"/>
  <c r="G447" i="1" l="1" a="1"/>
  <c r="G447" i="1" s="1"/>
  <c r="G448" i="1" l="1" a="1"/>
  <c r="G448" i="1" s="1"/>
  <c r="G449" i="1" l="1" a="1"/>
  <c r="G449" i="1" s="1"/>
  <c r="G450" i="1" l="1" a="1"/>
  <c r="G450" i="1" s="1"/>
  <c r="G451" i="1" l="1" a="1"/>
  <c r="G451" i="1" s="1"/>
  <c r="G452" i="1" l="1" a="1"/>
  <c r="G452" i="1" s="1"/>
  <c r="G453" i="1" l="1" a="1"/>
  <c r="G453" i="1" s="1"/>
  <c r="G454" i="1" l="1" a="1"/>
  <c r="G454" i="1" s="1"/>
  <c r="G455" i="1" l="1" a="1"/>
  <c r="G455" i="1" s="1"/>
  <c r="G456" i="1" l="1" a="1"/>
  <c r="G456" i="1" s="1"/>
  <c r="G457" i="1" l="1" a="1"/>
  <c r="G457" i="1" s="1"/>
  <c r="G458" i="1" l="1" a="1"/>
  <c r="G458" i="1" s="1"/>
  <c r="G459" i="1" l="1" a="1"/>
  <c r="G459" i="1" s="1"/>
  <c r="G460" i="1" l="1" a="1"/>
  <c r="G460" i="1" s="1"/>
  <c r="G461" i="1" l="1" a="1"/>
  <c r="G461" i="1" s="1"/>
  <c r="G462" i="1" l="1" a="1"/>
  <c r="G462" i="1" s="1"/>
  <c r="G463" i="1" l="1" a="1"/>
  <c r="G463" i="1" s="1"/>
  <c r="G464" i="1" l="1" a="1"/>
  <c r="G464" i="1" s="1"/>
  <c r="G465" i="1" l="1" a="1"/>
  <c r="G465" i="1" s="1"/>
  <c r="G466" i="1" l="1" a="1"/>
  <c r="G466" i="1" s="1"/>
  <c r="G467" i="1" l="1" a="1"/>
  <c r="G467" i="1" s="1"/>
  <c r="G468" i="1" l="1" a="1"/>
  <c r="G468" i="1" s="1"/>
  <c r="G469" i="1" l="1" a="1"/>
  <c r="G469" i="1" s="1"/>
  <c r="G470" i="1" l="1" a="1"/>
  <c r="G470" i="1" s="1"/>
  <c r="G471" i="1" l="1" a="1"/>
  <c r="G471" i="1" s="1"/>
  <c r="G472" i="1" l="1" a="1"/>
  <c r="G472" i="1" s="1"/>
  <c r="G473" i="1" l="1" a="1"/>
  <c r="G473" i="1" s="1"/>
  <c r="G474" i="1" l="1" a="1"/>
  <c r="G474" i="1" s="1"/>
  <c r="G475" i="1" l="1" a="1"/>
  <c r="G475" i="1" s="1"/>
  <c r="G476" i="1" l="1" a="1"/>
  <c r="G476" i="1" s="1"/>
  <c r="G477" i="1" l="1" a="1"/>
  <c r="G477" i="1" s="1"/>
  <c r="G478" i="1" l="1" a="1"/>
  <c r="G478" i="1" s="1"/>
  <c r="G479" i="1" l="1" a="1"/>
  <c r="G479" i="1" s="1"/>
  <c r="G480" i="1" l="1" a="1"/>
  <c r="G480" i="1" s="1"/>
  <c r="G481" i="1" l="1" a="1"/>
  <c r="G481" i="1" s="1"/>
  <c r="G482" i="1" l="1" a="1"/>
  <c r="G482" i="1" s="1"/>
  <c r="G483" i="1" l="1" a="1"/>
  <c r="G483" i="1" s="1"/>
  <c r="G484" i="1" l="1" a="1"/>
  <c r="G484" i="1" s="1"/>
  <c r="G485" i="1" l="1" a="1"/>
  <c r="G485" i="1" s="1"/>
  <c r="G486" i="1" l="1" a="1"/>
  <c r="G486" i="1" s="1"/>
  <c r="G487" i="1" l="1" a="1"/>
  <c r="G487" i="1" s="1"/>
  <c r="G488" i="1" l="1" a="1"/>
  <c r="G488" i="1" s="1"/>
  <c r="G489" i="1" l="1" a="1"/>
  <c r="G489" i="1" s="1"/>
  <c r="G490" i="1" l="1" a="1"/>
  <c r="G490" i="1" s="1"/>
  <c r="G491" i="1" l="1" a="1"/>
  <c r="G491" i="1" s="1"/>
  <c r="G492" i="1" l="1" a="1"/>
  <c r="G492" i="1" s="1"/>
  <c r="G493" i="1" l="1" a="1"/>
  <c r="G493" i="1" s="1"/>
  <c r="G494" i="1" l="1" a="1"/>
  <c r="G494" i="1" s="1"/>
  <c r="G495" i="1" l="1" a="1"/>
  <c r="G495" i="1" s="1"/>
  <c r="G496" i="1" l="1" a="1"/>
  <c r="G496" i="1" s="1"/>
  <c r="G497" i="1" l="1" a="1"/>
  <c r="G497" i="1" s="1"/>
  <c r="G498" i="1" l="1" a="1"/>
  <c r="G498" i="1" s="1"/>
  <c r="G499" i="1" l="1" a="1"/>
  <c r="G499" i="1" s="1"/>
  <c r="G500" i="1" l="1" a="1"/>
  <c r="G500" i="1" s="1"/>
  <c r="G501" i="1" l="1" a="1"/>
  <c r="G501" i="1" s="1"/>
  <c r="G502" i="1" l="1" a="1"/>
  <c r="G502" i="1" s="1"/>
  <c r="G503" i="1" l="1" a="1"/>
  <c r="G503" i="1" s="1"/>
  <c r="G504" i="1" l="1" a="1"/>
  <c r="G504" i="1" s="1"/>
  <c r="G505" i="1" l="1" a="1"/>
  <c r="G505" i="1" s="1"/>
  <c r="G506" i="1" l="1" a="1"/>
  <c r="G506" i="1" s="1"/>
  <c r="G507" i="1" l="1" a="1"/>
  <c r="G507" i="1" s="1"/>
  <c r="G508" i="1" l="1" a="1"/>
  <c r="G508" i="1" s="1"/>
  <c r="G509" i="1" l="1" a="1"/>
  <c r="G509" i="1" s="1"/>
  <c r="G510" i="1" l="1" a="1"/>
  <c r="G510" i="1" s="1"/>
  <c r="G511" i="1" l="1" a="1"/>
  <c r="G511" i="1" s="1"/>
  <c r="G512" i="1" l="1" a="1"/>
  <c r="G512" i="1" s="1"/>
  <c r="G513" i="1" l="1" a="1"/>
  <c r="G513" i="1" s="1"/>
  <c r="G514" i="1" l="1" a="1"/>
  <c r="G514" i="1" s="1"/>
  <c r="G515" i="1" l="1" a="1"/>
  <c r="G515" i="1" s="1"/>
  <c r="G516" i="1" l="1" a="1"/>
  <c r="G516" i="1" s="1"/>
  <c r="G517" i="1" l="1" a="1"/>
  <c r="G517" i="1" s="1"/>
  <c r="G518" i="1" l="1" a="1"/>
  <c r="G518" i="1" s="1"/>
  <c r="G519" i="1" l="1" a="1"/>
  <c r="G519" i="1" s="1"/>
  <c r="G520" i="1" l="1" a="1"/>
  <c r="G520" i="1" s="1"/>
  <c r="G521" i="1" l="1" a="1"/>
  <c r="G521" i="1" s="1"/>
  <c r="G522" i="1" l="1" a="1"/>
  <c r="G522" i="1" s="1"/>
  <c r="G523" i="1" l="1" a="1"/>
  <c r="G523" i="1" s="1"/>
  <c r="G524" i="1" l="1" a="1"/>
  <c r="G524" i="1" s="1"/>
  <c r="G525" i="1" l="1" a="1"/>
  <c r="G525" i="1" s="1"/>
  <c r="G526" i="1" l="1" a="1"/>
  <c r="G526" i="1" s="1"/>
  <c r="G527" i="1" l="1" a="1"/>
  <c r="G527" i="1" s="1"/>
  <c r="G528" i="1" l="1" a="1"/>
  <c r="G528" i="1" s="1"/>
  <c r="G529" i="1" l="1" a="1"/>
  <c r="G529" i="1" s="1"/>
  <c r="G530" i="1" l="1" a="1"/>
  <c r="G530" i="1" s="1"/>
  <c r="G531" i="1" l="1" a="1"/>
  <c r="G531" i="1" s="1"/>
  <c r="G532" i="1" l="1" a="1"/>
  <c r="G532" i="1" s="1"/>
  <c r="G533" i="1" l="1" a="1"/>
  <c r="G533" i="1" s="1"/>
  <c r="G534" i="1" l="1" a="1"/>
  <c r="G534" i="1" s="1"/>
  <c r="G535" i="1" l="1" a="1"/>
  <c r="G535" i="1" s="1"/>
  <c r="G536" i="1" l="1" a="1"/>
  <c r="G536" i="1" s="1"/>
  <c r="G537" i="1" l="1" a="1"/>
  <c r="G537" i="1" s="1"/>
  <c r="G538" i="1" l="1" a="1"/>
  <c r="G538" i="1" s="1"/>
  <c r="G539" i="1" l="1" a="1"/>
  <c r="G539" i="1" s="1"/>
  <c r="G540" i="1" l="1" a="1"/>
  <c r="G540" i="1" s="1"/>
  <c r="G541" i="1" l="1" a="1"/>
  <c r="G541" i="1" s="1"/>
  <c r="G542" i="1" l="1" a="1"/>
  <c r="G542" i="1" s="1"/>
  <c r="G543" i="1" l="1" a="1"/>
  <c r="G543" i="1" s="1"/>
  <c r="G544" i="1" l="1" a="1"/>
  <c r="G544" i="1" s="1"/>
  <c r="G545" i="1" l="1" a="1"/>
  <c r="G545" i="1" s="1"/>
  <c r="G546" i="1" l="1" a="1"/>
  <c r="G546" i="1" s="1"/>
  <c r="G547" i="1" l="1" a="1"/>
  <c r="G547" i="1" s="1"/>
  <c r="G548" i="1" l="1" a="1"/>
  <c r="G548" i="1" s="1"/>
  <c r="G549" i="1" l="1" a="1"/>
  <c r="G549" i="1" s="1"/>
  <c r="G550" i="1" l="1" a="1"/>
  <c r="G550" i="1" s="1"/>
  <c r="G551" i="1" l="1" a="1"/>
  <c r="G551" i="1" s="1"/>
  <c r="G552" i="1" l="1" a="1"/>
  <c r="G552" i="1" s="1"/>
  <c r="G553" i="1" l="1" a="1"/>
  <c r="G553" i="1" s="1"/>
  <c r="G554" i="1" l="1" a="1"/>
  <c r="G554" i="1" s="1"/>
  <c r="G555" i="1" l="1" a="1"/>
  <c r="G555" i="1" s="1"/>
  <c r="G556" i="1" l="1" a="1"/>
  <c r="G556" i="1" s="1"/>
  <c r="G557" i="1" l="1" a="1"/>
  <c r="G557" i="1" s="1"/>
  <c r="G558" i="1" l="1" a="1"/>
  <c r="G558" i="1" s="1"/>
  <c r="G559" i="1" l="1" a="1"/>
  <c r="G559" i="1" s="1"/>
  <c r="G560" i="1" l="1" a="1"/>
  <c r="G560" i="1" s="1"/>
  <c r="G561" i="1" l="1" a="1"/>
  <c r="G561" i="1" s="1"/>
  <c r="G562" i="1" l="1" a="1"/>
  <c r="G562" i="1" s="1"/>
  <c r="G563" i="1" l="1" a="1"/>
  <c r="G563" i="1" s="1"/>
  <c r="G564" i="1" l="1" a="1"/>
  <c r="G564" i="1" s="1"/>
  <c r="G565" i="1" l="1" a="1"/>
  <c r="G565" i="1" s="1"/>
  <c r="G566" i="1" l="1" a="1"/>
  <c r="G566" i="1" s="1"/>
  <c r="G567" i="1" l="1" a="1"/>
  <c r="G567" i="1" s="1"/>
  <c r="G568" i="1" l="1" a="1"/>
  <c r="G568" i="1" s="1"/>
  <c r="G569" i="1" l="1" a="1"/>
  <c r="G569" i="1" s="1"/>
  <c r="G570" i="1" l="1" a="1"/>
  <c r="G570" i="1" s="1"/>
  <c r="G571" i="1" l="1" a="1"/>
  <c r="G571" i="1" s="1"/>
  <c r="G572" i="1" l="1" a="1"/>
  <c r="G572" i="1" s="1"/>
  <c r="G573" i="1" l="1" a="1"/>
  <c r="G573" i="1" s="1"/>
  <c r="G574" i="1" l="1" a="1"/>
  <c r="G574" i="1" s="1"/>
  <c r="G575" i="1" l="1" a="1"/>
  <c r="G575" i="1" s="1"/>
  <c r="G576" i="1" l="1" a="1"/>
  <c r="G576" i="1" s="1"/>
  <c r="G577" i="1" l="1" a="1"/>
  <c r="G577" i="1" s="1"/>
  <c r="G578" i="1" l="1" a="1"/>
  <c r="G578" i="1" s="1"/>
  <c r="G579" i="1" l="1" a="1"/>
  <c r="G579" i="1" s="1"/>
  <c r="G580" i="1" l="1" a="1"/>
  <c r="G580" i="1" s="1"/>
  <c r="G581" i="1" l="1" a="1"/>
  <c r="G581" i="1" s="1"/>
  <c r="G582" i="1" l="1" a="1"/>
  <c r="G582" i="1" s="1"/>
  <c r="G583" i="1" l="1" a="1"/>
  <c r="G583" i="1" s="1"/>
  <c r="G584" i="1" l="1" a="1"/>
  <c r="G584" i="1" s="1"/>
  <c r="G585" i="1" l="1" a="1"/>
  <c r="G585" i="1" s="1"/>
  <c r="G586" i="1" l="1" a="1"/>
  <c r="G586" i="1" s="1"/>
  <c r="G587" i="1" l="1" a="1"/>
  <c r="G587" i="1" s="1"/>
  <c r="G588" i="1" l="1" a="1"/>
  <c r="G588" i="1" s="1"/>
  <c r="G589" i="1" l="1" a="1"/>
  <c r="G589" i="1" s="1"/>
  <c r="G590" i="1" l="1" a="1"/>
  <c r="G590" i="1" s="1"/>
  <c r="G591" i="1" l="1" a="1"/>
  <c r="G591" i="1" s="1"/>
  <c r="G592" i="1" l="1" a="1"/>
  <c r="G592" i="1" s="1"/>
  <c r="G593" i="1" l="1" a="1"/>
  <c r="G593" i="1" s="1"/>
  <c r="G594" i="1" l="1" a="1"/>
  <c r="G594" i="1" s="1"/>
  <c r="G595" i="1" l="1" a="1"/>
  <c r="G595" i="1" s="1"/>
  <c r="G596" i="1" l="1" a="1"/>
  <c r="G596" i="1" s="1"/>
  <c r="G597" i="1" l="1" a="1"/>
  <c r="G597" i="1" s="1"/>
  <c r="G598" i="1" l="1" a="1"/>
  <c r="G598" i="1" s="1"/>
  <c r="G599" i="1" l="1" a="1"/>
  <c r="G599" i="1" s="1"/>
  <c r="G600" i="1" l="1" a="1"/>
  <c r="G600" i="1" s="1"/>
  <c r="G601" i="1" l="1" a="1"/>
  <c r="G601" i="1" s="1"/>
  <c r="G602" i="1" l="1" a="1"/>
  <c r="G602" i="1" s="1"/>
  <c r="G603" i="1" l="1" a="1"/>
  <c r="G603" i="1" s="1"/>
  <c r="G604" i="1" l="1" a="1"/>
  <c r="G604" i="1" s="1"/>
  <c r="G605" i="1" l="1" a="1"/>
  <c r="G605" i="1" s="1"/>
  <c r="G606" i="1" l="1" a="1"/>
  <c r="G606" i="1" s="1"/>
  <c r="G607" i="1" l="1" a="1"/>
  <c r="G607" i="1" s="1"/>
  <c r="G608" i="1" l="1" a="1"/>
  <c r="G608" i="1" s="1"/>
  <c r="G609" i="1" l="1" a="1"/>
  <c r="G609" i="1" s="1"/>
  <c r="G610" i="1" l="1" a="1"/>
  <c r="G610" i="1" s="1"/>
  <c r="G611" i="1" l="1" a="1"/>
  <c r="G611" i="1" s="1"/>
  <c r="G612" i="1" l="1" a="1"/>
  <c r="G612" i="1" s="1"/>
  <c r="G613" i="1" l="1" a="1"/>
  <c r="G613" i="1" s="1"/>
  <c r="G614" i="1" l="1" a="1"/>
  <c r="G614" i="1" s="1"/>
  <c r="G615" i="1" l="1" a="1"/>
  <c r="G615" i="1" s="1"/>
  <c r="G616" i="1" l="1" a="1"/>
  <c r="G616" i="1" s="1"/>
  <c r="G617" i="1" l="1" a="1"/>
  <c r="G617" i="1" s="1"/>
  <c r="G618" i="1" l="1" a="1"/>
  <c r="G618" i="1" s="1"/>
  <c r="G619" i="1" l="1" a="1"/>
  <c r="G619" i="1" s="1"/>
  <c r="G620" i="1" l="1" a="1"/>
  <c r="G620" i="1" s="1"/>
  <c r="G621" i="1" l="1" a="1"/>
  <c r="G621" i="1" s="1"/>
  <c r="G622" i="1" l="1" a="1"/>
  <c r="G622" i="1" s="1"/>
  <c r="G623" i="1" l="1" a="1"/>
  <c r="G623" i="1" s="1"/>
  <c r="G624" i="1" l="1" a="1"/>
  <c r="G624" i="1" s="1"/>
  <c r="G625" i="1" l="1" a="1"/>
  <c r="G625" i="1" s="1"/>
  <c r="G626" i="1" l="1" a="1"/>
  <c r="G626" i="1" s="1"/>
  <c r="G627" i="1" l="1" a="1"/>
  <c r="G627" i="1" s="1"/>
  <c r="G628" i="1" l="1" a="1"/>
  <c r="G628" i="1" s="1"/>
  <c r="G629" i="1" l="1" a="1"/>
  <c r="G629" i="1" s="1"/>
  <c r="G630" i="1" l="1" a="1"/>
  <c r="G630" i="1" s="1"/>
  <c r="G631" i="1" l="1" a="1"/>
  <c r="G631" i="1" s="1"/>
  <c r="G632" i="1" l="1" a="1"/>
  <c r="G632" i="1" s="1"/>
  <c r="G633" i="1" l="1" a="1"/>
  <c r="G633" i="1" s="1"/>
  <c r="G634" i="1" l="1" a="1"/>
  <c r="G634" i="1" s="1"/>
  <c r="G635" i="1" l="1" a="1"/>
  <c r="G635" i="1" s="1"/>
  <c r="G636" i="1" l="1" a="1"/>
  <c r="G636" i="1" s="1"/>
  <c r="G637" i="1" l="1" a="1"/>
  <c r="G637" i="1" s="1"/>
  <c r="G638" i="1" l="1" a="1"/>
  <c r="G638" i="1" s="1"/>
  <c r="G639" i="1" l="1" a="1"/>
  <c r="G639" i="1" s="1"/>
  <c r="G640" i="1" l="1" a="1"/>
  <c r="G640" i="1" s="1"/>
  <c r="G641" i="1" l="1" a="1"/>
  <c r="G641" i="1" s="1"/>
  <c r="G642" i="1" l="1" a="1"/>
  <c r="G642" i="1" s="1"/>
  <c r="G643" i="1" l="1" a="1"/>
  <c r="G643" i="1" s="1"/>
  <c r="G644" i="1" l="1" a="1"/>
  <c r="G644" i="1" s="1"/>
  <c r="G645" i="1" l="1" a="1"/>
  <c r="G645" i="1" s="1"/>
  <c r="G646" i="1" l="1" a="1"/>
  <c r="G646" i="1" s="1"/>
  <c r="G647" i="1" l="1" a="1"/>
  <c r="G647" i="1" s="1"/>
  <c r="G648" i="1" l="1" a="1"/>
  <c r="G648" i="1" s="1"/>
  <c r="G649" i="1" l="1" a="1"/>
  <c r="G649" i="1" s="1"/>
  <c r="G650" i="1" l="1" a="1"/>
  <c r="G650" i="1" s="1"/>
  <c r="G651" i="1" l="1" a="1"/>
  <c r="G651" i="1" s="1"/>
  <c r="G652" i="1" l="1" a="1"/>
  <c r="G652" i="1" s="1"/>
  <c r="G653" i="1" l="1" a="1"/>
  <c r="G653" i="1" s="1"/>
  <c r="G654" i="1" l="1" a="1"/>
  <c r="G654" i="1" s="1"/>
  <c r="G655" i="1" l="1" a="1"/>
  <c r="G655" i="1" s="1"/>
  <c r="G656" i="1" l="1" a="1"/>
  <c r="G656" i="1" s="1"/>
  <c r="G657" i="1" l="1" a="1"/>
  <c r="G657" i="1" s="1"/>
  <c r="G658" i="1" l="1" a="1"/>
  <c r="G658" i="1" s="1"/>
  <c r="G659" i="1" l="1" a="1"/>
  <c r="G659" i="1" s="1"/>
  <c r="G660" i="1" l="1" a="1"/>
  <c r="G660" i="1" s="1"/>
  <c r="G661" i="1" l="1" a="1"/>
  <c r="G661" i="1" s="1"/>
  <c r="G662" i="1" l="1" a="1"/>
  <c r="G662" i="1" s="1"/>
  <c r="G663" i="1" l="1" a="1"/>
  <c r="G663" i="1" s="1"/>
  <c r="G664" i="1" l="1" a="1"/>
  <c r="G664" i="1" s="1"/>
  <c r="G665" i="1" l="1" a="1"/>
  <c r="G665" i="1" s="1"/>
  <c r="G666" i="1" l="1" a="1"/>
  <c r="G666" i="1" s="1"/>
  <c r="G667" i="1" l="1" a="1"/>
  <c r="G667" i="1" s="1"/>
  <c r="G668" i="1" l="1" a="1"/>
  <c r="G668" i="1" s="1"/>
  <c r="G669" i="1" l="1" a="1"/>
  <c r="G669" i="1" s="1"/>
  <c r="G670" i="1" l="1" a="1"/>
  <c r="G670" i="1" s="1"/>
  <c r="G671" i="1" l="1" a="1"/>
  <c r="G671" i="1" s="1"/>
  <c r="G672" i="1" l="1" a="1"/>
  <c r="G672" i="1" s="1"/>
  <c r="G673" i="1" l="1" a="1"/>
  <c r="G673" i="1" s="1"/>
  <c r="G674" i="1" l="1" a="1"/>
  <c r="G674" i="1" s="1"/>
  <c r="G675" i="1" l="1" a="1"/>
  <c r="G675" i="1" s="1"/>
  <c r="G676" i="1" l="1" a="1"/>
  <c r="G676" i="1" s="1"/>
  <c r="G677" i="1" l="1" a="1"/>
  <c r="G677" i="1" s="1"/>
  <c r="G678" i="1" l="1" a="1"/>
  <c r="G678" i="1" s="1"/>
  <c r="G679" i="1" l="1" a="1"/>
  <c r="G679" i="1" s="1"/>
  <c r="G680" i="1" l="1" a="1"/>
  <c r="G680" i="1" s="1"/>
  <c r="G681" i="1" l="1" a="1"/>
  <c r="G681" i="1" s="1"/>
  <c r="G682" i="1" l="1" a="1"/>
  <c r="G682" i="1" s="1"/>
  <c r="G683" i="1" l="1" a="1"/>
  <c r="G683" i="1" s="1"/>
  <c r="G684" i="1" l="1" a="1"/>
  <c r="G684" i="1" s="1"/>
  <c r="G685" i="1" l="1" a="1"/>
  <c r="G685" i="1" s="1"/>
  <c r="G686" i="1" l="1" a="1"/>
  <c r="G686" i="1" s="1"/>
  <c r="G687" i="1" l="1" a="1"/>
  <c r="G687" i="1" s="1"/>
  <c r="G688" i="1" l="1" a="1"/>
  <c r="G688" i="1" s="1"/>
  <c r="G689" i="1" l="1" a="1"/>
  <c r="G689" i="1" s="1"/>
  <c r="G690" i="1" l="1" a="1"/>
  <c r="G690" i="1" s="1"/>
  <c r="G691" i="1" l="1" a="1"/>
  <c r="G691" i="1" s="1"/>
  <c r="G692" i="1" l="1" a="1"/>
  <c r="G692" i="1" s="1"/>
  <c r="G693" i="1" l="1" a="1"/>
  <c r="G693" i="1" s="1"/>
  <c r="G694" i="1" l="1" a="1"/>
  <c r="G694" i="1" s="1"/>
  <c r="G695" i="1" l="1" a="1"/>
  <c r="G695" i="1" s="1"/>
  <c r="G696" i="1" l="1" a="1"/>
  <c r="G696" i="1" s="1"/>
  <c r="G697" i="1" l="1" a="1"/>
  <c r="G697" i="1" s="1"/>
  <c r="G698" i="1" l="1" a="1"/>
  <c r="G698" i="1" s="1"/>
  <c r="G699" i="1" l="1" a="1"/>
  <c r="G699" i="1" s="1"/>
  <c r="G700" i="1" l="1" a="1"/>
  <c r="G700" i="1" s="1"/>
  <c r="G701" i="1" l="1" a="1"/>
  <c r="G701" i="1" s="1"/>
  <c r="G702" i="1" l="1" a="1"/>
  <c r="G702" i="1" s="1"/>
  <c r="G703" i="1" l="1" a="1"/>
  <c r="G703" i="1" s="1"/>
  <c r="G704" i="1" l="1" a="1"/>
  <c r="G704" i="1" s="1"/>
  <c r="G705" i="1" l="1" a="1"/>
  <c r="G705" i="1" s="1"/>
  <c r="G706" i="1" l="1" a="1"/>
  <c r="G706" i="1" s="1"/>
  <c r="G707" i="1" l="1" a="1"/>
  <c r="G707" i="1" s="1"/>
  <c r="G708" i="1" l="1" a="1"/>
  <c r="G708" i="1" s="1"/>
  <c r="G709" i="1" l="1" a="1"/>
  <c r="G709" i="1" s="1"/>
  <c r="G710" i="1" l="1" a="1"/>
  <c r="G710" i="1" s="1"/>
  <c r="G711" i="1" l="1" a="1"/>
  <c r="G711" i="1" s="1"/>
  <c r="G712" i="1" l="1" a="1"/>
  <c r="G712" i="1" s="1"/>
  <c r="G713" i="1" l="1" a="1"/>
  <c r="G713" i="1" s="1"/>
  <c r="G714" i="1" l="1" a="1"/>
  <c r="G714" i="1" s="1"/>
  <c r="G715" i="1" l="1" a="1"/>
  <c r="G715" i="1" s="1"/>
  <c r="G716" i="1" l="1" a="1"/>
  <c r="G716" i="1" s="1"/>
  <c r="G717" i="1" l="1" a="1"/>
  <c r="G717" i="1" s="1"/>
  <c r="G718" i="1" l="1" a="1"/>
  <c r="G718" i="1" s="1"/>
  <c r="G719" i="1" l="1" a="1"/>
  <c r="G719" i="1" s="1"/>
  <c r="G720" i="1" l="1" a="1"/>
  <c r="G720" i="1" s="1"/>
  <c r="G721" i="1" l="1" a="1"/>
  <c r="G721" i="1" s="1"/>
  <c r="G722" i="1" l="1" a="1"/>
  <c r="G722" i="1" s="1"/>
  <c r="G723" i="1" l="1" a="1"/>
  <c r="G723" i="1" s="1"/>
  <c r="G724" i="1" l="1" a="1"/>
  <c r="G724" i="1" s="1"/>
  <c r="G725" i="1" l="1" a="1"/>
  <c r="G725" i="1" s="1"/>
  <c r="G726" i="1" l="1" a="1"/>
  <c r="G726" i="1" s="1"/>
  <c r="G727" i="1" l="1" a="1"/>
  <c r="G727" i="1" s="1"/>
  <c r="G728" i="1" l="1" a="1"/>
  <c r="G728" i="1" s="1"/>
  <c r="G729" i="1" l="1" a="1"/>
  <c r="G729" i="1" s="1"/>
  <c r="G730" i="1" l="1" a="1"/>
  <c r="G730" i="1" s="1"/>
  <c r="G731" i="1" l="1" a="1"/>
  <c r="G731" i="1" s="1"/>
  <c r="G732" i="1" l="1" a="1"/>
  <c r="G732" i="1" s="1"/>
  <c r="G733" i="1" l="1" a="1"/>
  <c r="G733" i="1" s="1"/>
  <c r="G734" i="1" l="1" a="1"/>
  <c r="G734" i="1" s="1"/>
  <c r="G735" i="1" l="1" a="1"/>
  <c r="G735" i="1" s="1"/>
  <c r="G736" i="1" l="1" a="1"/>
  <c r="G736" i="1" s="1"/>
  <c r="G737" i="1" l="1" a="1"/>
  <c r="G737" i="1" s="1"/>
  <c r="G738" i="1" l="1" a="1"/>
  <c r="G738" i="1" s="1"/>
  <c r="G739" i="1" l="1" a="1"/>
  <c r="G739" i="1" s="1"/>
  <c r="G740" i="1" l="1" a="1"/>
  <c r="G740" i="1" s="1"/>
  <c r="G741" i="1" l="1" a="1"/>
  <c r="G741" i="1" s="1"/>
  <c r="G742" i="1" l="1" a="1"/>
  <c r="G742" i="1" s="1"/>
  <c r="G743" i="1" l="1" a="1"/>
  <c r="G743" i="1" s="1"/>
  <c r="G744" i="1" l="1" a="1"/>
  <c r="G744" i="1" s="1"/>
  <c r="G745" i="1" l="1" a="1"/>
  <c r="G745" i="1" s="1"/>
  <c r="G746" i="1" l="1" a="1"/>
  <c r="G746" i="1" s="1"/>
  <c r="G747" i="1" l="1" a="1"/>
  <c r="G747" i="1" s="1"/>
  <c r="G748" i="1" l="1" a="1"/>
  <c r="G748" i="1" s="1"/>
  <c r="G749" i="1" l="1" a="1"/>
  <c r="G749" i="1" s="1"/>
  <c r="G750" i="1" l="1" a="1"/>
  <c r="G750" i="1" s="1"/>
  <c r="G751" i="1" l="1" a="1"/>
  <c r="G751" i="1" s="1"/>
  <c r="G752" i="1" l="1" a="1"/>
  <c r="G752" i="1" s="1"/>
  <c r="G753" i="1" l="1" a="1"/>
  <c r="G753" i="1" s="1"/>
  <c r="G754" i="1" l="1" a="1"/>
  <c r="G754" i="1" s="1"/>
  <c r="G755" i="1" l="1" a="1"/>
  <c r="G755" i="1" s="1"/>
  <c r="G756" i="1" l="1" a="1"/>
  <c r="G756" i="1" s="1"/>
  <c r="G757" i="1" l="1" a="1"/>
  <c r="G757" i="1" s="1"/>
  <c r="G758" i="1" l="1" a="1"/>
  <c r="G758" i="1" s="1"/>
  <c r="G759" i="1" l="1" a="1"/>
  <c r="G759" i="1" s="1"/>
  <c r="G760" i="1" l="1" a="1"/>
  <c r="G760" i="1" s="1"/>
  <c r="G761" i="1" l="1" a="1"/>
  <c r="G761" i="1" s="1"/>
  <c r="G762" i="1" l="1" a="1"/>
  <c r="G762" i="1" s="1"/>
  <c r="G763" i="1" l="1" a="1"/>
  <c r="G763" i="1" s="1"/>
  <c r="G764" i="1" l="1" a="1"/>
  <c r="G764" i="1" s="1"/>
  <c r="G765" i="1" l="1" a="1"/>
  <c r="G765" i="1" s="1"/>
  <c r="G766" i="1" l="1" a="1"/>
  <c r="G766" i="1" s="1"/>
  <c r="G767" i="1" l="1" a="1"/>
  <c r="G767" i="1" s="1"/>
  <c r="G768" i="1" l="1" a="1"/>
  <c r="G768" i="1" s="1"/>
  <c r="G769" i="1" l="1" a="1"/>
  <c r="G769" i="1" s="1"/>
  <c r="G770" i="1" l="1" a="1"/>
  <c r="G770" i="1" s="1"/>
  <c r="G771" i="1" l="1" a="1"/>
  <c r="G771" i="1" s="1"/>
  <c r="G772" i="1" l="1" a="1"/>
  <c r="G772" i="1" s="1"/>
  <c r="G773" i="1" l="1" a="1"/>
  <c r="G773" i="1" s="1"/>
  <c r="G774" i="1" l="1" a="1"/>
  <c r="G774" i="1" s="1"/>
  <c r="G775" i="1" l="1" a="1"/>
  <c r="G775" i="1" s="1"/>
  <c r="G776" i="1" l="1" a="1"/>
  <c r="G776" i="1" s="1"/>
  <c r="G777" i="1" l="1" a="1"/>
  <c r="G777" i="1" s="1"/>
  <c r="G778" i="1" l="1" a="1"/>
  <c r="G778" i="1" s="1"/>
  <c r="G779" i="1" l="1" a="1"/>
  <c r="G779" i="1" s="1"/>
  <c r="G780" i="1" l="1" a="1"/>
  <c r="G780" i="1" s="1"/>
  <c r="G781" i="1" l="1" a="1"/>
  <c r="G781" i="1" s="1"/>
  <c r="G782" i="1" l="1" a="1"/>
  <c r="G782" i="1" s="1"/>
  <c r="G783" i="1" l="1" a="1"/>
  <c r="G783" i="1" s="1"/>
  <c r="G784" i="1" l="1" a="1"/>
  <c r="G784" i="1" s="1"/>
  <c r="G785" i="1" l="1" a="1"/>
  <c r="G785" i="1" s="1"/>
  <c r="G786" i="1" l="1" a="1"/>
  <c r="G786" i="1" s="1"/>
  <c r="G787" i="1" l="1" a="1"/>
  <c r="G787" i="1" s="1"/>
  <c r="G788" i="1" l="1" a="1"/>
  <c r="G788" i="1" s="1"/>
  <c r="G789" i="1" l="1" a="1"/>
  <c r="G789" i="1" s="1"/>
  <c r="G790" i="1" l="1" a="1"/>
  <c r="G790" i="1" s="1"/>
  <c r="G791" i="1" l="1" a="1"/>
  <c r="G791" i="1" s="1"/>
  <c r="G792" i="1" l="1" a="1"/>
  <c r="G792" i="1" s="1"/>
  <c r="G793" i="1" l="1" a="1"/>
  <c r="G793" i="1" s="1"/>
  <c r="G794" i="1" l="1" a="1"/>
  <c r="G794" i="1" s="1"/>
  <c r="G795" i="1" l="1" a="1"/>
  <c r="G795" i="1" s="1"/>
  <c r="G796" i="1" l="1" a="1"/>
  <c r="G796" i="1" s="1"/>
  <c r="G797" i="1" l="1" a="1"/>
  <c r="G797" i="1" s="1"/>
  <c r="G798" i="1" l="1" a="1"/>
  <c r="G798" i="1" s="1"/>
  <c r="G799" i="1" l="1" a="1"/>
  <c r="G799" i="1" s="1"/>
  <c r="G800" i="1" l="1" a="1"/>
  <c r="G800" i="1" s="1"/>
  <c r="G801" i="1" l="1" a="1"/>
  <c r="G801" i="1" s="1"/>
  <c r="G802" i="1" l="1" a="1"/>
  <c r="G802" i="1" s="1"/>
  <c r="G803" i="1" l="1" a="1"/>
  <c r="G803" i="1" s="1"/>
  <c r="G804" i="1" l="1" a="1"/>
  <c r="G804" i="1" s="1"/>
  <c r="G805" i="1" l="1" a="1"/>
  <c r="G805" i="1" s="1"/>
  <c r="G806" i="1" l="1" a="1"/>
  <c r="G806" i="1" s="1"/>
  <c r="G807" i="1" l="1" a="1"/>
  <c r="G807" i="1" s="1"/>
  <c r="G808" i="1" l="1" a="1"/>
  <c r="G808" i="1" s="1"/>
  <c r="G809" i="1" l="1" a="1"/>
  <c r="G809" i="1" s="1"/>
  <c r="G810" i="1" l="1" a="1"/>
  <c r="G810" i="1" s="1"/>
  <c r="G811" i="1" l="1" a="1"/>
  <c r="G811" i="1" s="1"/>
  <c r="G812" i="1" l="1" a="1"/>
  <c r="G812" i="1" s="1"/>
  <c r="G813" i="1" l="1" a="1"/>
  <c r="G813" i="1" s="1"/>
  <c r="G814" i="1" l="1" a="1"/>
  <c r="G814" i="1" s="1"/>
  <c r="G815" i="1" l="1" a="1"/>
  <c r="G815" i="1" s="1"/>
  <c r="G816" i="1" l="1" a="1"/>
  <c r="G816" i="1" s="1"/>
  <c r="G817" i="1" l="1" a="1"/>
  <c r="G817" i="1" s="1"/>
  <c r="G818" i="1" l="1" a="1"/>
  <c r="G818" i="1" s="1"/>
  <c r="G819" i="1" l="1" a="1"/>
  <c r="G819" i="1" s="1"/>
  <c r="G820" i="1" l="1" a="1"/>
  <c r="G820" i="1" s="1"/>
  <c r="G821" i="1" l="1" a="1"/>
  <c r="G821" i="1" s="1"/>
  <c r="G822" i="1" l="1" a="1"/>
  <c r="G822" i="1" s="1"/>
  <c r="G823" i="1" l="1" a="1"/>
  <c r="G823" i="1" s="1"/>
  <c r="G824" i="1" l="1" a="1"/>
  <c r="G824" i="1" s="1"/>
  <c r="G825" i="1" l="1" a="1"/>
  <c r="G825" i="1" s="1"/>
  <c r="G826" i="1" l="1" a="1"/>
  <c r="G826" i="1" s="1"/>
  <c r="G827" i="1" l="1" a="1"/>
  <c r="G827" i="1" s="1"/>
  <c r="G828" i="1" l="1" a="1"/>
  <c r="G828" i="1" s="1"/>
  <c r="G829" i="1" l="1" a="1"/>
  <c r="G829" i="1" s="1"/>
  <c r="G830" i="1" l="1" a="1"/>
  <c r="G830" i="1" s="1"/>
  <c r="G831" i="1" l="1" a="1"/>
  <c r="G831" i="1" s="1"/>
  <c r="G832" i="1" l="1" a="1"/>
  <c r="G832" i="1" s="1"/>
  <c r="G833" i="1" l="1" a="1"/>
  <c r="G833" i="1" s="1"/>
  <c r="G834" i="1" l="1" a="1"/>
  <c r="G834" i="1" s="1"/>
  <c r="G835" i="1" l="1" a="1"/>
  <c r="G835" i="1" s="1"/>
  <c r="G836" i="1" l="1" a="1"/>
  <c r="G836" i="1" s="1"/>
  <c r="G837" i="1" l="1" a="1"/>
  <c r="G837" i="1" s="1"/>
  <c r="G838" i="1" l="1" a="1"/>
  <c r="G838" i="1" s="1"/>
  <c r="G839" i="1" l="1" a="1"/>
  <c r="G839" i="1" s="1"/>
  <c r="G840" i="1" l="1" a="1"/>
  <c r="G840" i="1" s="1"/>
  <c r="G841" i="1" l="1" a="1"/>
  <c r="G841" i="1" s="1"/>
  <c r="G842" i="1" l="1" a="1"/>
  <c r="G842" i="1" s="1"/>
  <c r="G843" i="1" l="1" a="1"/>
  <c r="G843" i="1" s="1"/>
  <c r="G844" i="1" l="1" a="1"/>
  <c r="G844" i="1" s="1"/>
  <c r="G845" i="1" l="1" a="1"/>
  <c r="G845" i="1" s="1"/>
  <c r="G846" i="1" l="1" a="1"/>
  <c r="G846" i="1" s="1"/>
  <c r="G847" i="1" l="1" a="1"/>
  <c r="G847" i="1" s="1"/>
  <c r="G848" i="1" l="1" a="1"/>
  <c r="G848" i="1" s="1"/>
  <c r="G849" i="1" l="1" a="1"/>
  <c r="G849" i="1" s="1"/>
  <c r="G850" i="1" l="1" a="1"/>
  <c r="G850" i="1" s="1"/>
  <c r="G851" i="1" l="1" a="1"/>
  <c r="G851" i="1" s="1"/>
  <c r="G852" i="1" l="1" a="1"/>
  <c r="G852" i="1" s="1"/>
  <c r="G853" i="1" l="1" a="1"/>
  <c r="G853" i="1" s="1"/>
  <c r="G854" i="1" l="1" a="1"/>
  <c r="G854" i="1" s="1"/>
  <c r="G855" i="1" l="1" a="1"/>
  <c r="G855" i="1" s="1"/>
  <c r="G856" i="1" l="1" a="1"/>
  <c r="G856" i="1" s="1"/>
  <c r="G857" i="1" l="1" a="1"/>
  <c r="G857" i="1" s="1"/>
  <c r="G858" i="1" l="1" a="1"/>
  <c r="G858" i="1" s="1"/>
  <c r="G859" i="1" l="1" a="1"/>
  <c r="G859" i="1" s="1"/>
  <c r="G860" i="1" l="1" a="1"/>
  <c r="G860" i="1" s="1"/>
  <c r="G861" i="1" l="1" a="1"/>
  <c r="G861" i="1" s="1"/>
  <c r="G862" i="1" l="1" a="1"/>
  <c r="G862" i="1" s="1"/>
  <c r="G863" i="1" l="1" a="1"/>
  <c r="G863" i="1" s="1"/>
  <c r="G864" i="1" l="1" a="1"/>
  <c r="G864" i="1" s="1"/>
  <c r="G865" i="1" l="1" a="1"/>
  <c r="G865" i="1" s="1"/>
  <c r="G866" i="1" l="1" a="1"/>
  <c r="G866" i="1" s="1"/>
  <c r="G867" i="1" l="1" a="1"/>
  <c r="G867" i="1" s="1"/>
  <c r="G868" i="1" l="1" a="1"/>
  <c r="G868" i="1" s="1"/>
  <c r="G869" i="1" l="1" a="1"/>
  <c r="G869" i="1" s="1"/>
  <c r="G870" i="1" l="1" a="1"/>
  <c r="G870" i="1" s="1"/>
  <c r="G871" i="1" l="1" a="1"/>
  <c r="G871" i="1" s="1"/>
  <c r="G872" i="1" l="1" a="1"/>
  <c r="G872" i="1" s="1"/>
  <c r="G873" i="1" l="1" a="1"/>
  <c r="G873" i="1" s="1"/>
  <c r="G874" i="1" l="1" a="1"/>
  <c r="G874" i="1" s="1"/>
  <c r="G875" i="1" l="1" a="1"/>
  <c r="G875" i="1" s="1"/>
  <c r="G876" i="1" l="1" a="1"/>
  <c r="G876" i="1" s="1"/>
  <c r="G877" i="1" l="1" a="1"/>
  <c r="G877" i="1" s="1"/>
  <c r="G878" i="1" l="1" a="1"/>
  <c r="G878" i="1" s="1"/>
  <c r="G879" i="1" l="1" a="1"/>
  <c r="G879" i="1" s="1"/>
  <c r="G880" i="1" l="1" a="1"/>
  <c r="G880" i="1" s="1"/>
  <c r="G881" i="1" l="1" a="1"/>
  <c r="G881" i="1" s="1"/>
  <c r="G882" i="1" l="1" a="1"/>
  <c r="G882" i="1" s="1"/>
  <c r="G883" i="1" l="1" a="1"/>
  <c r="G883" i="1" s="1"/>
  <c r="G884" i="1" l="1" a="1"/>
  <c r="G884" i="1" s="1"/>
  <c r="G885" i="1" l="1" a="1"/>
  <c r="G885" i="1" s="1"/>
  <c r="G886" i="1" l="1" a="1"/>
  <c r="G886" i="1" s="1"/>
  <c r="G887" i="1" l="1" a="1"/>
  <c r="G887" i="1" s="1"/>
  <c r="G888" i="1" l="1" a="1"/>
  <c r="G888" i="1" s="1"/>
  <c r="G889" i="1" l="1" a="1"/>
  <c r="G889" i="1" s="1"/>
  <c r="G890" i="1" l="1" a="1"/>
  <c r="G890" i="1" s="1"/>
  <c r="G891" i="1" l="1" a="1"/>
  <c r="G891" i="1" s="1"/>
  <c r="G892" i="1" l="1" a="1"/>
  <c r="G892" i="1" s="1"/>
  <c r="G893" i="1" l="1" a="1"/>
  <c r="G893" i="1" s="1"/>
  <c r="G894" i="1" l="1" a="1"/>
  <c r="G894" i="1" s="1"/>
  <c r="G895" i="1" l="1" a="1"/>
  <c r="G895" i="1" s="1"/>
  <c r="G896" i="1" l="1" a="1"/>
  <c r="G896" i="1" s="1"/>
  <c r="G897" i="1" l="1" a="1"/>
  <c r="G897" i="1" s="1"/>
  <c r="G898" i="1" l="1" a="1"/>
  <c r="G898" i="1" s="1"/>
  <c r="G899" i="1" l="1" a="1"/>
  <c r="G899" i="1" s="1"/>
  <c r="G900" i="1" l="1" a="1"/>
  <c r="G900" i="1" s="1"/>
  <c r="G901" i="1" l="1" a="1"/>
  <c r="G901" i="1" s="1"/>
  <c r="G902" i="1" l="1" a="1"/>
  <c r="G902" i="1" s="1"/>
  <c r="G903" i="1" l="1" a="1"/>
  <c r="G903" i="1" s="1"/>
  <c r="G904" i="1" l="1" a="1"/>
  <c r="G904" i="1" s="1"/>
  <c r="G905" i="1" l="1" a="1"/>
  <c r="G905" i="1" s="1"/>
  <c r="G906" i="1" l="1" a="1"/>
  <c r="G906" i="1" s="1"/>
  <c r="G907" i="1" l="1" a="1"/>
  <c r="G907" i="1" s="1"/>
  <c r="G908" i="1" l="1" a="1"/>
  <c r="G908" i="1" s="1"/>
  <c r="G909" i="1" l="1" a="1"/>
  <c r="G909" i="1" s="1"/>
  <c r="G910" i="1" l="1" a="1"/>
  <c r="G910" i="1" s="1"/>
  <c r="G911" i="1" l="1" a="1"/>
  <c r="G911" i="1" s="1"/>
  <c r="G912" i="1" l="1" a="1"/>
  <c r="G912" i="1" s="1"/>
  <c r="G913" i="1" l="1" a="1"/>
  <c r="G913" i="1" s="1"/>
  <c r="G914" i="1" l="1" a="1"/>
  <c r="G914" i="1" s="1"/>
  <c r="G915" i="1" l="1" a="1"/>
  <c r="G915" i="1" s="1"/>
  <c r="G916" i="1" l="1" a="1"/>
  <c r="G916" i="1" s="1"/>
  <c r="G917" i="1" l="1" a="1"/>
  <c r="G917" i="1" s="1"/>
  <c r="G918" i="1" l="1" a="1"/>
  <c r="G918" i="1" s="1"/>
  <c r="G919" i="1" l="1" a="1"/>
  <c r="G919" i="1" s="1"/>
  <c r="G920" i="1" l="1" a="1"/>
  <c r="G920" i="1" s="1"/>
  <c r="G921" i="1" l="1" a="1"/>
  <c r="G921" i="1" s="1"/>
  <c r="G922" i="1" l="1" a="1"/>
  <c r="G922" i="1" s="1"/>
  <c r="G923" i="1" l="1" a="1"/>
  <c r="G923" i="1" s="1"/>
  <c r="G924" i="1" l="1" a="1"/>
  <c r="G924" i="1" s="1"/>
  <c r="G925" i="1" l="1" a="1"/>
  <c r="G925" i="1" s="1"/>
  <c r="G926" i="1" l="1" a="1"/>
  <c r="G926" i="1" s="1"/>
  <c r="G927" i="1" l="1" a="1"/>
  <c r="G927" i="1" s="1"/>
  <c r="G928" i="1" l="1" a="1"/>
  <c r="G928" i="1" s="1"/>
  <c r="G929" i="1" l="1" a="1"/>
  <c r="G929" i="1" s="1"/>
  <c r="G930" i="1" l="1" a="1"/>
  <c r="G930" i="1" s="1"/>
  <c r="G931" i="1" l="1" a="1"/>
  <c r="G931" i="1" s="1"/>
  <c r="G932" i="1" l="1" a="1"/>
  <c r="G932" i="1" s="1"/>
  <c r="G933" i="1" l="1" a="1"/>
  <c r="G933" i="1" s="1"/>
  <c r="G934" i="1" l="1" a="1"/>
  <c r="G934" i="1" s="1"/>
  <c r="G935" i="1" l="1" a="1"/>
  <c r="G935" i="1" s="1"/>
  <c r="G936" i="1" l="1" a="1"/>
  <c r="G936" i="1" s="1"/>
  <c r="G937" i="1" l="1" a="1"/>
  <c r="G937" i="1" s="1"/>
  <c r="G938" i="1" l="1" a="1"/>
  <c r="G938" i="1" s="1"/>
  <c r="G939" i="1" l="1" a="1"/>
  <c r="G939" i="1" s="1"/>
  <c r="G940" i="1" l="1" a="1"/>
  <c r="G940" i="1" s="1"/>
  <c r="G941" i="1" l="1" a="1"/>
  <c r="G941" i="1" s="1"/>
  <c r="G942" i="1" l="1" a="1"/>
  <c r="G942" i="1" s="1"/>
  <c r="G943" i="1" l="1" a="1"/>
  <c r="G943" i="1" s="1"/>
  <c r="G944" i="1" l="1" a="1"/>
  <c r="G944" i="1" s="1"/>
  <c r="G945" i="1" l="1" a="1"/>
  <c r="G945" i="1" s="1"/>
  <c r="G946" i="1" l="1" a="1"/>
  <c r="G946" i="1" s="1"/>
  <c r="G947" i="1" l="1" a="1"/>
  <c r="G947" i="1" s="1"/>
  <c r="G948" i="1" l="1" a="1"/>
  <c r="G948" i="1" s="1"/>
  <c r="G949" i="1" l="1" a="1"/>
  <c r="G949" i="1" s="1"/>
  <c r="G950" i="1" l="1" a="1"/>
  <c r="G950" i="1" s="1"/>
  <c r="G951" i="1" l="1" a="1"/>
  <c r="G951" i="1" s="1"/>
  <c r="G952" i="1" l="1" a="1"/>
  <c r="G952" i="1" s="1"/>
  <c r="G953" i="1" l="1" a="1"/>
  <c r="G953" i="1" s="1"/>
  <c r="G954" i="1" l="1" a="1"/>
  <c r="G954" i="1" s="1"/>
  <c r="G955" i="1" l="1" a="1"/>
  <c r="G955" i="1" s="1"/>
  <c r="G956" i="1" l="1" a="1"/>
  <c r="G956" i="1" s="1"/>
  <c r="G957" i="1" l="1" a="1"/>
  <c r="G957" i="1" s="1"/>
  <c r="G958" i="1" l="1" a="1"/>
  <c r="G958" i="1" s="1"/>
  <c r="G959" i="1" l="1" a="1"/>
  <c r="G959" i="1" s="1"/>
  <c r="G960" i="1" l="1" a="1"/>
  <c r="G960" i="1" s="1"/>
  <c r="G961" i="1" l="1" a="1"/>
  <c r="G961" i="1" s="1"/>
  <c r="G962" i="1" l="1" a="1"/>
  <c r="G962" i="1" s="1"/>
  <c r="G963" i="1" l="1" a="1"/>
  <c r="G963" i="1" s="1"/>
  <c r="G964" i="1" l="1" a="1"/>
  <c r="G964" i="1" s="1"/>
  <c r="G965" i="1" l="1" a="1"/>
  <c r="G965" i="1" s="1"/>
  <c r="G966" i="1" l="1" a="1"/>
  <c r="G966" i="1" s="1"/>
  <c r="G967" i="1" l="1" a="1"/>
  <c r="G967" i="1" s="1"/>
  <c r="G968" i="1" l="1" a="1"/>
  <c r="G968" i="1" s="1"/>
  <c r="G969" i="1" l="1" a="1"/>
  <c r="G969" i="1" s="1"/>
  <c r="G970" i="1" l="1" a="1"/>
  <c r="G970" i="1" s="1"/>
  <c r="G971" i="1" l="1" a="1"/>
  <c r="G971" i="1" s="1"/>
  <c r="G972" i="1" l="1" a="1"/>
  <c r="G972" i="1" s="1"/>
  <c r="G973" i="1" l="1" a="1"/>
  <c r="G973" i="1" s="1"/>
  <c r="G974" i="1" l="1" a="1"/>
  <c r="G974" i="1" s="1"/>
  <c r="G975" i="1" l="1" a="1"/>
  <c r="G975" i="1" s="1"/>
  <c r="G976" i="1" l="1" a="1"/>
  <c r="G976" i="1" s="1"/>
  <c r="G977" i="1" l="1" a="1"/>
  <c r="G977" i="1" s="1"/>
  <c r="G978" i="1" l="1" a="1"/>
  <c r="G978" i="1" s="1"/>
  <c r="G979" i="1" l="1" a="1"/>
  <c r="G979" i="1" s="1"/>
  <c r="G980" i="1" l="1" a="1"/>
  <c r="G980" i="1" s="1"/>
  <c r="G981" i="1" l="1" a="1"/>
  <c r="G981" i="1" s="1"/>
  <c r="G982" i="1" l="1" a="1"/>
  <c r="G982" i="1" s="1"/>
  <c r="G983" i="1" l="1" a="1"/>
  <c r="G983" i="1" s="1"/>
  <c r="G984" i="1" l="1" a="1"/>
  <c r="G984" i="1" s="1"/>
  <c r="G985" i="1" l="1" a="1"/>
  <c r="G985" i="1" s="1"/>
  <c r="G986" i="1" l="1" a="1"/>
  <c r="G986" i="1" s="1"/>
  <c r="G987" i="1" l="1" a="1"/>
  <c r="G987" i="1" s="1"/>
  <c r="G988" i="1" l="1" a="1"/>
  <c r="G988" i="1" s="1"/>
  <c r="G989" i="1" l="1" a="1"/>
  <c r="G989" i="1" s="1"/>
  <c r="G990" i="1" l="1" a="1"/>
  <c r="G990" i="1" s="1"/>
  <c r="G991" i="1" l="1" a="1"/>
  <c r="G991" i="1" s="1"/>
  <c r="G992" i="1" l="1" a="1"/>
  <c r="G992" i="1" s="1"/>
  <c r="G993" i="1" l="1" a="1"/>
  <c r="G993" i="1" s="1"/>
  <c r="G994" i="1" l="1" a="1"/>
  <c r="G994" i="1" s="1"/>
  <c r="G995" i="1" l="1" a="1"/>
  <c r="G995" i="1" s="1"/>
  <c r="G996" i="1" l="1" a="1"/>
  <c r="G996" i="1" s="1"/>
  <c r="G997" i="1" l="1" a="1"/>
  <c r="G997" i="1" s="1"/>
  <c r="G998" i="1" l="1" a="1"/>
  <c r="G998" i="1" s="1"/>
  <c r="G999" i="1" l="1" a="1"/>
  <c r="G999" i="1" s="1"/>
  <c r="G1000" i="1" l="1" a="1"/>
  <c r="G1000" i="1" s="1"/>
  <c r="G1001" i="1" l="1" a="1"/>
  <c r="G1001" i="1" s="1"/>
  <c r="G1002" i="1" l="1" a="1"/>
  <c r="G1002" i="1" s="1"/>
  <c r="G1003" i="1" l="1" a="1"/>
  <c r="G1003" i="1" s="1"/>
  <c r="G1004" i="1" l="1" a="1"/>
  <c r="G1004" i="1" s="1"/>
  <c r="G1005" i="1" l="1" a="1"/>
  <c r="G1005" i="1" s="1"/>
  <c r="G1006" i="1" l="1" a="1"/>
  <c r="G1006" i="1" s="1"/>
  <c r="G1007" i="1" l="1" a="1"/>
  <c r="G1007" i="1" s="1"/>
  <c r="G1008" i="1" l="1" a="1"/>
  <c r="G1008" i="1" s="1"/>
  <c r="G1009" i="1" l="1" a="1"/>
  <c r="G1009" i="1" s="1"/>
  <c r="G1010" i="1" l="1" a="1"/>
  <c r="G1010" i="1" s="1"/>
  <c r="G1011" i="1" l="1" a="1"/>
  <c r="G1011" i="1" s="1"/>
  <c r="G1012" i="1" l="1" a="1"/>
  <c r="G1012" i="1" s="1"/>
  <c r="G1013" i="1" l="1" a="1"/>
  <c r="G1013" i="1" s="1"/>
  <c r="G1014" i="1" l="1" a="1"/>
  <c r="G1014" i="1" s="1"/>
  <c r="G1015" i="1" l="1" a="1"/>
  <c r="G1015" i="1" s="1"/>
  <c r="G1016" i="1" l="1" a="1"/>
  <c r="G1016" i="1" s="1"/>
  <c r="G1017" i="1" l="1" a="1"/>
  <c r="G1017" i="1" s="1"/>
  <c r="G1018" i="1" l="1" a="1"/>
  <c r="G1018" i="1" s="1"/>
  <c r="G1019" i="1" l="1" a="1"/>
  <c r="G1019" i="1" s="1"/>
  <c r="G1020" i="1" l="1" a="1"/>
  <c r="G1020" i="1" s="1"/>
  <c r="G1021" i="1" l="1" a="1"/>
  <c r="G1021" i="1" s="1"/>
  <c r="G1022" i="1" l="1" a="1"/>
  <c r="G1022" i="1" s="1"/>
  <c r="G1023" i="1" l="1" a="1"/>
  <c r="G1023" i="1" s="1"/>
  <c r="G1024" i="1" l="1" a="1"/>
  <c r="G1024" i="1" s="1"/>
  <c r="G1025" i="1" l="1" a="1"/>
  <c r="G1025" i="1" s="1"/>
  <c r="B7" i="1" s="1"/>
  <c r="B2" i="3" s="1"/>
  <c r="B5" i="3" s="1"/>
  <c r="C4" i="2" l="1"/>
  <c r="C7" i="2" s="1"/>
  <c r="C9" i="2" l="1"/>
  <c r="C10" i="2"/>
  <c r="L331" i="1"/>
  <c r="L475" i="1"/>
  <c r="L504" i="1"/>
  <c r="L101" i="1"/>
  <c r="L183" i="1"/>
  <c r="L423" i="1"/>
  <c r="L151" i="1"/>
  <c r="L892" i="1"/>
  <c r="L35" i="1"/>
  <c r="L394" i="1"/>
  <c r="L301" i="1"/>
  <c r="L708" i="1"/>
  <c r="L936" i="1"/>
  <c r="L375" i="1"/>
  <c r="L325" i="1"/>
  <c r="L236" i="1"/>
  <c r="L332" i="1"/>
  <c r="L346" i="1"/>
  <c r="L616" i="1"/>
  <c r="L662" i="1"/>
  <c r="L324" i="1"/>
  <c r="L290" i="1"/>
  <c r="L15" i="1"/>
  <c r="L450" i="1"/>
  <c r="L442" i="1"/>
  <c r="L782" i="1"/>
  <c r="L398" i="1"/>
  <c r="L560" i="1"/>
  <c r="L13" i="1"/>
  <c r="L480" i="1"/>
  <c r="L501" i="1"/>
  <c r="L659" i="1"/>
  <c r="L78" i="1"/>
  <c r="L125" i="1"/>
  <c r="L213" i="1"/>
  <c r="L57" i="1"/>
  <c r="L220" i="1"/>
  <c r="L286" i="1"/>
  <c r="L828" i="1"/>
  <c r="L589" i="1"/>
  <c r="L871" i="1"/>
  <c r="L846" i="1"/>
  <c r="L596" i="1"/>
  <c r="L789" i="1"/>
  <c r="L862" i="1"/>
  <c r="L736" i="1"/>
  <c r="L1018" i="1"/>
  <c r="L583" i="1"/>
  <c r="L202" i="1"/>
  <c r="L266" i="1"/>
  <c r="L522" i="1"/>
  <c r="L518" i="1"/>
  <c r="L770" i="1"/>
  <c r="L884" i="1"/>
  <c r="L188" i="1"/>
  <c r="L479" i="1"/>
  <c r="L879" i="1"/>
  <c r="L264" i="1"/>
  <c r="L905" i="1"/>
  <c r="L843" i="1"/>
  <c r="L249" i="1"/>
  <c r="L677" i="1"/>
  <c r="L39" i="1"/>
  <c r="L404" i="1"/>
  <c r="L555" i="1"/>
  <c r="L935" i="1"/>
  <c r="L723" i="1"/>
  <c r="L628" i="1"/>
  <c r="L984" i="1"/>
  <c r="L632" i="1"/>
  <c r="L751" i="1"/>
  <c r="L178" i="1"/>
  <c r="L839" i="1"/>
  <c r="L255" i="1"/>
  <c r="L653" i="1"/>
  <c r="L946" i="1"/>
  <c r="L735" i="1"/>
  <c r="L32" i="1"/>
  <c r="L376" i="1"/>
  <c r="L378" i="1"/>
  <c r="L306" i="1"/>
  <c r="L525" i="1"/>
  <c r="L1021" i="1"/>
  <c r="L488" i="1"/>
  <c r="L715" i="1"/>
  <c r="L150" i="1"/>
  <c r="L850" i="1"/>
  <c r="L938" i="1"/>
  <c r="L343" i="1"/>
  <c r="L665" i="1"/>
  <c r="L904" i="1"/>
  <c r="L468" i="1"/>
  <c r="L20" i="1"/>
  <c r="L643" i="1"/>
  <c r="L481" i="1"/>
  <c r="L712" i="1"/>
  <c r="L203" i="1"/>
  <c r="L549" i="1"/>
  <c r="L681" i="1"/>
  <c r="L600" i="1"/>
  <c r="L531" i="1"/>
  <c r="L55" i="1"/>
  <c r="L889" i="1"/>
  <c r="L132" i="1"/>
  <c r="L915" i="1"/>
  <c r="L688" i="1"/>
  <c r="L380" i="1"/>
  <c r="L40" i="1"/>
  <c r="L676" i="1"/>
  <c r="L506" i="1"/>
  <c r="L93" i="1"/>
  <c r="L439" i="1"/>
  <c r="L572" i="1"/>
  <c r="L348" i="1"/>
  <c r="L956" i="1"/>
  <c r="L957" i="1"/>
  <c r="L930" i="1"/>
  <c r="L802" i="1"/>
  <c r="L408" i="1"/>
  <c r="L297" i="1"/>
  <c r="L989" i="1"/>
  <c r="L1003" i="1"/>
  <c r="L141" i="1"/>
  <c r="L799" i="1"/>
  <c r="L627" i="1"/>
  <c r="L257" i="1"/>
  <c r="L981" i="1"/>
  <c r="L176" i="1"/>
  <c r="L519" i="1"/>
  <c r="L505" i="1"/>
  <c r="L75" i="1"/>
  <c r="L185" i="1"/>
  <c r="L146" i="1"/>
  <c r="L559" i="1"/>
  <c r="L744" i="1"/>
  <c r="L218" i="1"/>
  <c r="L225" i="1"/>
  <c r="L1010" i="1"/>
  <c r="L700" i="1"/>
  <c r="L637" i="1"/>
  <c r="L163" i="1"/>
  <c r="L999" i="1"/>
  <c r="L948" i="1"/>
  <c r="L385" i="1"/>
  <c r="L356" i="1"/>
  <c r="L785" i="1"/>
  <c r="L97" i="1"/>
  <c r="L867" i="1"/>
  <c r="L547" i="1"/>
  <c r="L739" i="1"/>
  <c r="L570" i="1"/>
  <c r="L732" i="1"/>
  <c r="L284" i="1"/>
  <c r="L234" i="1"/>
  <c r="L391" i="1"/>
  <c r="L169" i="1"/>
  <c r="L602" i="1"/>
  <c r="L718" i="1"/>
  <c r="L902" i="1"/>
  <c r="L478" i="1"/>
  <c r="L131" i="1"/>
  <c r="L433" i="1"/>
  <c r="L704" i="1"/>
  <c r="L164" i="1"/>
  <c r="L388" i="1"/>
  <c r="L201" i="1"/>
  <c r="L590" i="1"/>
  <c r="L427" i="1"/>
  <c r="L742" i="1"/>
  <c r="L794" i="1"/>
  <c r="L454" i="1"/>
  <c r="L361" i="1"/>
  <c r="L436" i="1"/>
  <c r="L148" i="1"/>
  <c r="L369" i="1"/>
  <c r="L813" i="1"/>
  <c r="L1019" i="1"/>
  <c r="L460" i="1"/>
  <c r="L758" i="1"/>
  <c r="L128" i="1"/>
  <c r="L205" i="1"/>
  <c r="B13" i="1"/>
  <c r="B3" i="3" s="1"/>
  <c r="L909" i="1"/>
  <c r="L216" i="1"/>
  <c r="L95" i="1"/>
  <c r="L629" i="1"/>
  <c r="L17" i="1"/>
  <c r="L443" i="1"/>
  <c r="L327" i="1"/>
  <c r="L61" i="1"/>
  <c r="L556" i="1"/>
  <c r="L254" i="1"/>
  <c r="L512" i="1"/>
  <c r="L720" i="1"/>
  <c r="L418" i="1"/>
  <c r="L666" i="1"/>
  <c r="L191" i="1"/>
  <c r="L1011" i="1"/>
  <c r="L914" i="1"/>
  <c r="L175" i="1"/>
  <c r="L186" i="1"/>
  <c r="L173" i="1"/>
  <c r="L980" i="1"/>
  <c r="L81" i="1"/>
  <c r="L1014" i="1"/>
  <c r="L569" i="1"/>
  <c r="L928" i="1"/>
  <c r="L279" i="1"/>
  <c r="L934" i="1"/>
  <c r="L692" i="1"/>
  <c r="L674" i="1"/>
  <c r="L37" i="1"/>
  <c r="L406" i="1"/>
  <c r="L29" i="1"/>
  <c r="L50" i="1"/>
  <c r="L491" i="1"/>
  <c r="L787" i="1"/>
  <c r="L660" i="1"/>
  <c r="L778" i="1"/>
  <c r="L345" i="1"/>
  <c r="L422" i="1"/>
  <c r="L865" i="1"/>
  <c r="L157" i="1"/>
  <c r="L943" i="1"/>
  <c r="L624" i="1"/>
  <c r="L193" i="1"/>
  <c r="L944" i="1"/>
  <c r="L695" i="1"/>
  <c r="L842" i="1"/>
  <c r="L379" i="1"/>
  <c r="L426" i="1"/>
  <c r="L413" i="1"/>
  <c r="L926" i="1"/>
  <c r="L230" i="1"/>
  <c r="L526" i="1"/>
  <c r="L98" i="1"/>
  <c r="L510" i="1"/>
  <c r="L538" i="1"/>
  <c r="L913" i="1"/>
  <c r="L668" i="1"/>
  <c r="L937" i="1"/>
  <c r="L351" i="1"/>
  <c r="L523" i="1"/>
  <c r="L269" i="1"/>
  <c r="L513" i="1"/>
  <c r="L445" i="1"/>
  <c r="L373" i="1"/>
  <c r="L31" i="1"/>
  <c r="L961" i="1"/>
  <c r="L212" i="1"/>
  <c r="L411" i="1"/>
  <c r="L516" i="1"/>
  <c r="L664" i="1"/>
  <c r="L387" i="1"/>
  <c r="L102" i="1"/>
  <c r="L239" i="1"/>
  <c r="L313" i="1"/>
  <c r="L985" i="1"/>
  <c r="L1001" i="1"/>
  <c r="L819" i="1"/>
  <c r="L978" i="1"/>
  <c r="L792" i="1"/>
  <c r="L111" i="1"/>
  <c r="L585" i="1"/>
  <c r="L115" i="1"/>
  <c r="L729" i="1"/>
  <c r="L441" i="1"/>
  <c r="L511" i="1"/>
  <c r="L777" i="1"/>
  <c r="L1000" i="1"/>
  <c r="L577" i="1"/>
  <c r="L625" i="1"/>
  <c r="L316" i="1"/>
  <c r="L613" i="1"/>
  <c r="L895" i="1"/>
  <c r="L997" i="1"/>
  <c r="L995" i="1"/>
  <c r="L168" i="1"/>
  <c r="L214" i="1"/>
  <c r="L152" i="1"/>
  <c r="L635" i="1"/>
  <c r="L721" i="1"/>
  <c r="L267" i="1"/>
  <c r="L260" i="1"/>
  <c r="L77" i="1"/>
  <c r="L545" i="1"/>
  <c r="L360" i="1"/>
  <c r="L652" i="1"/>
  <c r="L59" i="1"/>
  <c r="L537" i="1"/>
  <c r="L734" i="1"/>
  <c r="L920" i="1"/>
  <c r="L223" i="1"/>
  <c r="L476" i="1"/>
  <c r="L764" i="1"/>
  <c r="L644" i="1"/>
  <c r="L33" i="1"/>
  <c r="L535" i="1"/>
  <c r="L389" i="1"/>
  <c r="L194" i="1"/>
  <c r="L568" i="1"/>
  <c r="L182" i="1"/>
  <c r="L303" i="1"/>
  <c r="L370" i="1"/>
  <c r="L874" i="1"/>
  <c r="L964" i="1"/>
  <c r="L53" i="1"/>
  <c r="L876" i="1"/>
  <c r="L901" i="1"/>
  <c r="L639" i="1"/>
  <c r="L591" i="1"/>
  <c r="L64" i="1"/>
  <c r="L119" i="1"/>
  <c r="L312" i="1"/>
  <c r="L156" i="1"/>
  <c r="L848" i="1"/>
  <c r="L605" i="1"/>
  <c r="L714" i="1"/>
  <c r="L28" i="1"/>
  <c r="L107" i="1"/>
  <c r="L322" i="1"/>
  <c r="L887" i="1"/>
  <c r="L200" i="1"/>
  <c r="L844" i="1"/>
  <c r="L22" i="1"/>
  <c r="L73" i="1"/>
  <c r="L972" i="1"/>
  <c r="L91" i="1"/>
  <c r="L685" i="1"/>
  <c r="L896" i="1"/>
  <c r="L988" i="1"/>
  <c r="L910" i="1"/>
  <c r="L672" i="1"/>
  <c r="L836" i="1"/>
  <c r="L838" i="1"/>
  <c r="L810" i="1"/>
  <c r="L701" i="1"/>
  <c r="L58" i="1"/>
  <c r="L958" i="1"/>
  <c r="L127" i="1"/>
  <c r="L878" i="1"/>
  <c r="L62" i="1"/>
  <c r="L38" i="1"/>
  <c r="L603" i="1"/>
  <c r="L65" i="1"/>
  <c r="L951" i="1"/>
  <c r="L949" i="1"/>
  <c r="L805" i="1"/>
  <c r="L857" i="1"/>
  <c r="L916" i="1"/>
  <c r="L243" i="1"/>
  <c r="L696" i="1"/>
  <c r="L965" i="1"/>
  <c r="L48" i="1"/>
  <c r="L698" i="1"/>
  <c r="L691" i="1"/>
  <c r="L319" i="1"/>
  <c r="L804" i="1"/>
  <c r="L63" i="1"/>
  <c r="L315" i="1"/>
  <c r="L683" i="1"/>
  <c r="L233" i="1"/>
  <c r="L440" i="1"/>
  <c r="L832" i="1"/>
  <c r="L353" i="1"/>
  <c r="L641" i="1"/>
  <c r="L745" i="1"/>
  <c r="L987" i="1"/>
  <c r="L67" i="1"/>
  <c r="L364" i="1"/>
  <c r="L941" i="1"/>
  <c r="L540" i="1"/>
  <c r="L484" i="1"/>
  <c r="L524" i="1"/>
  <c r="L899" i="1"/>
  <c r="L415" i="1"/>
  <c r="L973" i="1"/>
  <c r="L622" i="1"/>
  <c r="L890" i="1"/>
  <c r="L407" i="1"/>
  <c r="L465" i="1"/>
  <c r="L174" i="1"/>
  <c r="L1020" i="1"/>
  <c r="L815" i="1"/>
  <c r="L410" i="1"/>
  <c r="L120" i="1"/>
  <c r="L337" i="1"/>
  <c r="L771" i="1"/>
  <c r="L250" i="1"/>
  <c r="L209" i="1"/>
  <c r="L399" i="1"/>
  <c r="L974" i="1"/>
  <c r="L5" i="1"/>
  <c r="L621" i="1"/>
  <c r="L615" i="1"/>
  <c r="L419" i="1"/>
  <c r="L852" i="1"/>
  <c r="L294" i="1"/>
  <c r="L226" i="1"/>
  <c r="L374" i="1"/>
  <c r="L448" i="1"/>
  <c r="L232" i="1"/>
  <c r="L788" i="1"/>
  <c r="L211" i="1"/>
  <c r="L746" i="1"/>
  <c r="L221" i="1"/>
  <c r="L311" i="1"/>
  <c r="L228" i="1"/>
  <c r="L713" i="1"/>
  <c r="L970" i="1"/>
  <c r="L263" i="1"/>
  <c r="L177" i="1"/>
  <c r="L864" i="1"/>
  <c r="L181" i="1"/>
  <c r="L1004" i="1"/>
  <c r="L868" i="1"/>
  <c r="L259" i="1"/>
  <c r="L551" i="1"/>
  <c r="L416" i="1"/>
  <c r="L247" i="1"/>
  <c r="L588" i="1"/>
  <c r="L84" i="1"/>
  <c r="L900" i="1"/>
  <c r="L532" i="1"/>
  <c r="L352" i="1"/>
  <c r="L992" i="1"/>
  <c r="L959" i="1"/>
  <c r="L349" i="1"/>
  <c r="L372" i="1"/>
  <c r="L640" i="1"/>
  <c r="L509" i="1"/>
  <c r="L983" i="1"/>
  <c r="L786" i="1"/>
  <c r="L336" i="1"/>
  <c r="L362" i="1"/>
  <c r="L289" i="1"/>
  <c r="L791" i="1"/>
  <c r="L931" i="1"/>
  <c r="L823" i="1"/>
  <c r="L339" i="1"/>
  <c r="L604" i="1"/>
  <c r="L733" i="1"/>
  <c r="L7" i="1"/>
  <c r="L229" i="1"/>
  <c r="L252" i="1"/>
  <c r="L620" i="1"/>
  <c r="L395" i="1"/>
  <c r="L355" i="1"/>
  <c r="L686" i="1"/>
  <c r="L728" i="1"/>
  <c r="L861" i="1"/>
  <c r="L197" i="1"/>
  <c r="L818" i="1"/>
  <c r="L552" i="1"/>
  <c r="L86" i="1"/>
  <c r="L487" i="1"/>
  <c r="L619" i="1"/>
  <c r="L207" i="1"/>
  <c r="L592" i="1"/>
  <c r="L752" i="1"/>
  <c r="L967" i="1"/>
  <c r="L138" i="1"/>
  <c r="L299" i="1"/>
  <c r="L43" i="1"/>
  <c r="L321" i="1"/>
  <c r="L553" i="1"/>
  <c r="L307" i="1"/>
  <c r="L110" i="1"/>
  <c r="L392" i="1"/>
  <c r="L350" i="1"/>
  <c r="L273" i="1"/>
  <c r="L860" i="1"/>
  <c r="L508" i="1"/>
  <c r="L748" i="1"/>
  <c r="L47" i="1"/>
  <c r="L521" i="1"/>
  <c r="L682" i="1"/>
  <c r="L642" i="1"/>
  <c r="L180" i="1"/>
  <c r="L945" i="1"/>
  <c r="L940" i="1"/>
  <c r="L12" i="1"/>
  <c r="L847" i="1"/>
  <c r="L724" i="1"/>
  <c r="L366" i="1"/>
  <c r="L464" i="1"/>
  <c r="L1007" i="1"/>
  <c r="L94" i="1"/>
  <c r="L126" i="1"/>
  <c r="L184" i="1"/>
  <c r="L942" i="1"/>
  <c r="L975" i="1"/>
  <c r="L400" i="1"/>
  <c r="L790" i="1"/>
  <c r="L917" i="1"/>
  <c r="L80" i="1"/>
  <c r="L16" i="1"/>
  <c r="L716" i="1"/>
  <c r="L143" i="1"/>
  <c r="L542" i="1"/>
  <c r="L655" i="1"/>
  <c r="L550" i="1"/>
  <c r="L923" i="1"/>
  <c r="L648" i="1"/>
  <c r="L689" i="1"/>
  <c r="L998" i="1"/>
  <c r="L606" i="1"/>
  <c r="L986" i="1"/>
  <c r="L430" i="1"/>
  <c r="L166" i="1"/>
  <c r="L334" i="1"/>
  <c r="L277" i="1"/>
  <c r="L562" i="1"/>
  <c r="L8" i="1"/>
  <c r="L840" i="1"/>
  <c r="L515" i="1"/>
  <c r="L663" i="1"/>
  <c r="L118" i="1"/>
  <c r="L206" i="1"/>
  <c r="L291" i="1"/>
  <c r="L875" i="1"/>
  <c r="L161" i="1"/>
  <c r="L922" i="1"/>
  <c r="L429" i="1"/>
  <c r="L863" i="1"/>
  <c r="L573" i="1"/>
  <c r="L673" i="1"/>
  <c r="L295" i="1"/>
  <c r="L609" i="1"/>
  <c r="L1002" i="1"/>
  <c r="L694" i="1"/>
  <c r="L979" i="1"/>
  <c r="L335" i="1"/>
  <c r="L199" i="1"/>
  <c r="L293" i="1"/>
  <c r="L381" i="1"/>
  <c r="L27" i="1"/>
  <c r="L651" i="1"/>
  <c r="L816" i="1"/>
  <c r="L837" i="1"/>
  <c r="L534" i="1"/>
  <c r="L808" i="1"/>
  <c r="L134" i="1"/>
  <c r="L706" i="1"/>
  <c r="L489" i="1"/>
  <c r="L741" i="1"/>
  <c r="L179" i="1"/>
  <c r="L140" i="1"/>
  <c r="L421" i="1"/>
  <c r="L797" i="1"/>
  <c r="L314" i="1"/>
  <c r="L669" i="1"/>
  <c r="L135" i="1"/>
  <c r="L401" i="1"/>
  <c r="L288" i="1"/>
  <c r="L520" i="1"/>
  <c r="L317" i="1"/>
  <c r="L633" i="1"/>
  <c r="L880" i="1"/>
  <c r="L881" i="1"/>
  <c r="L457" i="1"/>
  <c r="L990" i="1"/>
  <c r="L383" i="1"/>
  <c r="L656" i="1"/>
  <c r="L466" i="1"/>
  <c r="L449" i="1"/>
  <c r="L320" i="1"/>
  <c r="L566" i="1"/>
  <c r="L536" i="1"/>
  <c r="L722" i="1"/>
  <c r="L474" i="1"/>
  <c r="L647" i="1"/>
  <c r="L811" i="1"/>
  <c r="L507" i="1"/>
  <c r="L703" i="1"/>
  <c r="L6" i="1"/>
  <c r="L581" i="1"/>
  <c r="L66" i="1"/>
  <c r="L772" i="1"/>
  <c r="L158" i="1"/>
  <c r="L541" i="1"/>
  <c r="L56" i="1"/>
  <c r="L444" i="1"/>
  <c r="L631" i="1"/>
  <c r="L438" i="1"/>
  <c r="L72" i="1"/>
  <c r="L903" i="1"/>
  <c r="L500" i="1"/>
  <c r="L601" i="1"/>
  <c r="L912" i="1"/>
  <c r="L224" i="1"/>
  <c r="L359" i="1"/>
  <c r="L153" i="1"/>
  <c r="L262" i="1"/>
  <c r="L103" i="1"/>
  <c r="L117" i="1"/>
  <c r="L253" i="1"/>
  <c r="L26" i="1"/>
  <c r="L891" i="1"/>
  <c r="L477" i="1"/>
  <c r="L768" i="1"/>
  <c r="L472" i="1"/>
  <c r="L482" i="1"/>
  <c r="L105" i="1"/>
  <c r="L486" i="1"/>
  <c r="L300" i="1"/>
  <c r="L338" i="1"/>
  <c r="L906" i="1"/>
  <c r="L237" i="1"/>
  <c r="L342" i="1"/>
  <c r="L969" i="1"/>
  <c r="L106" i="1"/>
  <c r="L776" i="1"/>
  <c r="L10" i="1"/>
  <c r="L265" i="1"/>
  <c r="L495" i="1"/>
  <c r="L877" i="1"/>
  <c r="L679" i="1"/>
  <c r="L697" i="1"/>
  <c r="L1024" i="1"/>
  <c r="L396" i="1"/>
  <c r="L425" i="1"/>
  <c r="L365" i="1"/>
  <c r="L993" i="1"/>
  <c r="L687" i="1"/>
  <c r="L272" i="1"/>
  <c r="L357" i="1"/>
  <c r="L281" i="1"/>
  <c r="L453" i="1"/>
  <c r="L217" i="1"/>
  <c r="L270" i="1"/>
  <c r="L800" i="1"/>
  <c r="L190" i="1"/>
  <c r="L894" i="1"/>
  <c r="L276" i="1"/>
  <c r="L248" i="1"/>
  <c r="L517" i="1"/>
  <c r="L907" i="1"/>
  <c r="L529" i="1"/>
  <c r="L162" i="1"/>
  <c r="L123" i="1"/>
  <c r="L1006" i="1"/>
  <c r="L287" i="1"/>
  <c r="L575" i="1"/>
  <c r="L754" i="1"/>
  <c r="L241" i="1"/>
  <c r="L1022" i="1"/>
  <c r="L1023" i="1"/>
  <c r="L795" i="1"/>
  <c r="L390" i="1"/>
  <c r="L738" i="1"/>
  <c r="L483" i="1"/>
  <c r="L283" i="1"/>
  <c r="L1025" i="1"/>
  <c r="L36" i="1"/>
  <c r="L285" i="1"/>
  <c r="L30" i="1"/>
  <c r="L414" i="1"/>
  <c r="L278" i="1"/>
  <c r="L817" i="1"/>
  <c r="L170" i="1"/>
  <c r="L502" i="1"/>
  <c r="L52" i="1"/>
  <c r="L192" i="1"/>
  <c r="L756" i="1"/>
  <c r="L725" i="1"/>
  <c r="L702" i="1"/>
  <c r="L70" i="1"/>
  <c r="L499" i="1"/>
  <c r="L684" i="1"/>
  <c r="L731" i="1"/>
  <c r="L976" i="1"/>
  <c r="L784" i="1"/>
  <c r="L79" i="1"/>
  <c r="L432" i="1"/>
  <c r="L208" i="1"/>
  <c r="L302" i="1"/>
  <c r="L675" i="1"/>
  <c r="L428" i="1"/>
  <c r="L757" i="1"/>
  <c r="L147" i="1"/>
  <c r="L434" i="1"/>
  <c r="L298" i="1"/>
  <c r="L924" i="1"/>
  <c r="L762" i="1"/>
  <c r="L412" i="1"/>
  <c r="L557" i="1"/>
  <c r="L796" i="1"/>
  <c r="L960" i="1"/>
  <c r="L617" i="1"/>
  <c r="L658" i="1"/>
  <c r="L608" i="1"/>
  <c r="L599" i="1"/>
  <c r="L149" i="1"/>
  <c r="L582" i="1"/>
  <c r="L594" i="1"/>
  <c r="L417" i="1"/>
  <c r="L955" i="1"/>
  <c r="L638" i="1"/>
  <c r="L45" i="1"/>
  <c r="L584" i="1"/>
  <c r="L727" i="1"/>
  <c r="L611" i="1"/>
  <c r="L546" i="1"/>
  <c r="L801" i="1"/>
  <c r="L459" i="1"/>
  <c r="L18" i="1"/>
  <c r="L341" i="1"/>
  <c r="L274" i="1"/>
  <c r="L344" i="1"/>
  <c r="L730" i="1"/>
  <c r="L246" i="1"/>
  <c r="L109" i="1"/>
  <c r="L470" i="1"/>
  <c r="L340" i="1"/>
  <c r="L726" i="1"/>
  <c r="L11" i="1"/>
  <c r="L597" i="1"/>
  <c r="L1012" i="1"/>
  <c r="L743" i="1"/>
  <c r="L825" i="1"/>
  <c r="L645" i="1"/>
  <c r="L533" i="1"/>
  <c r="L256" i="1"/>
  <c r="L452" i="1"/>
  <c r="L954" i="1"/>
  <c r="L275" i="1"/>
  <c r="L318" i="1"/>
  <c r="L699" i="1"/>
  <c r="L919" i="1"/>
  <c r="L83" i="1"/>
  <c r="L231" i="1"/>
  <c r="L882" i="1"/>
  <c r="L962" i="1"/>
  <c r="L927" i="1"/>
  <c r="L368" i="1"/>
  <c r="L92" i="1"/>
  <c r="L244" i="1"/>
  <c r="L154" i="1"/>
  <c r="L855" i="1"/>
  <c r="L830" i="1"/>
  <c r="L580" i="1"/>
  <c r="L41" i="1"/>
  <c r="L458" i="1"/>
  <c r="L155" i="1"/>
  <c r="L908" i="1"/>
  <c r="L548" i="1"/>
  <c r="L610" i="1"/>
  <c r="L492" i="1"/>
  <c r="L271" i="1"/>
  <c r="L822" i="1"/>
  <c r="L242" i="1"/>
  <c r="L966" i="1"/>
  <c r="L382" i="1"/>
  <c r="L841" i="1"/>
  <c r="L527" i="1"/>
  <c r="L122" i="1"/>
  <c r="L437" i="1"/>
  <c r="L160" i="1"/>
  <c r="L467" i="1"/>
  <c r="L447" i="1"/>
  <c r="L563" i="1"/>
  <c r="L333" i="1"/>
  <c r="L124" i="1"/>
  <c r="L21" i="1"/>
  <c r="L137" i="1"/>
  <c r="L866" i="1"/>
  <c r="L711" i="1"/>
  <c r="L87" i="1"/>
  <c r="L598" i="1"/>
  <c r="L595" i="1"/>
  <c r="L238" i="1"/>
  <c r="L773" i="1"/>
  <c r="L929" i="1"/>
  <c r="L783" i="1"/>
  <c r="L100" i="1"/>
  <c r="L104" i="1"/>
  <c r="L68" i="1"/>
  <c r="L473" i="1"/>
  <c r="L528" i="1"/>
  <c r="L567" i="1"/>
  <c r="L933" i="1"/>
  <c r="L503" i="1"/>
  <c r="L456" i="1"/>
  <c r="L397" i="1"/>
  <c r="L215" i="1"/>
  <c r="L403" i="1"/>
  <c r="L885" i="1"/>
  <c r="L950" i="1"/>
  <c r="L329" i="1"/>
  <c r="L133" i="1"/>
  <c r="L485" i="1"/>
  <c r="L435" i="1"/>
  <c r="L46" i="1"/>
  <c r="L888" i="1"/>
  <c r="L671" i="1"/>
  <c r="L330" i="1"/>
  <c r="L579" i="1"/>
  <c r="L630" i="1"/>
  <c r="L750" i="1"/>
  <c r="L779" i="1"/>
  <c r="L793" i="1"/>
  <c r="L996" i="1"/>
  <c r="L198" i="1"/>
  <c r="L812" i="1"/>
  <c r="L564" i="1"/>
  <c r="L893" i="1"/>
  <c r="L947" i="1"/>
  <c r="L858" i="1"/>
  <c r="L952" i="1"/>
  <c r="L593" i="1"/>
  <c r="L142" i="1"/>
  <c r="L554" i="1"/>
  <c r="L760" i="1"/>
  <c r="L851" i="1"/>
  <c r="L386" i="1"/>
  <c r="L883" i="1"/>
  <c r="L367" i="1"/>
  <c r="L657" i="1"/>
  <c r="L769" i="1"/>
  <c r="L204" i="1"/>
  <c r="L1015" i="1"/>
  <c r="L90" i="1"/>
  <c r="L831" i="1"/>
  <c r="L88" i="1"/>
  <c r="L497" i="1"/>
  <c r="L227" i="1"/>
  <c r="L834" i="1"/>
  <c r="L767" i="1"/>
  <c r="L859" i="1"/>
  <c r="L574" i="1"/>
  <c r="L763" i="1"/>
  <c r="L377" i="1"/>
  <c r="L44" i="1"/>
  <c r="L187" i="1"/>
  <c r="L963" i="1"/>
  <c r="L222" i="1"/>
  <c r="L96" i="1"/>
  <c r="L121" i="1"/>
  <c r="L798" i="1"/>
  <c r="L69" i="1"/>
  <c r="L921" i="1"/>
  <c r="L544" i="1"/>
  <c r="L1017" i="1"/>
  <c r="L654" i="1"/>
  <c r="L649" i="1"/>
  <c r="L586" i="1"/>
  <c r="L968" i="1"/>
  <c r="L775" i="1"/>
  <c r="L14" i="1"/>
  <c r="L114" i="1"/>
  <c r="L405" i="1"/>
  <c r="L196" i="1"/>
  <c r="L3" i="1"/>
  <c r="L76" i="1"/>
  <c r="L759" i="1"/>
  <c r="L280" i="1"/>
  <c r="L634" i="1"/>
  <c r="L139" i="1"/>
  <c r="L54" i="1"/>
  <c r="L994" i="1"/>
  <c r="L918" i="1"/>
  <c r="L719" i="1"/>
  <c r="L116" i="1"/>
  <c r="L690" i="1"/>
  <c r="L424" i="1"/>
  <c r="L19" i="1"/>
  <c r="L309" i="1"/>
  <c r="L565" i="1"/>
  <c r="L145" i="1"/>
  <c r="L1016" i="1"/>
  <c r="L539" i="1"/>
  <c r="L461" i="1"/>
  <c r="L530" i="1"/>
  <c r="L667" i="1"/>
  <c r="L1008" i="1"/>
  <c r="L34" i="1"/>
  <c r="L618" i="1"/>
  <c r="L854" i="1"/>
  <c r="L384" i="1"/>
  <c r="L167" i="1"/>
  <c r="L402" i="1"/>
  <c r="L409" i="1"/>
  <c r="L261" i="1"/>
  <c r="L717" i="1"/>
  <c r="L494" i="1"/>
  <c r="L326" i="1"/>
  <c r="L195" i="1"/>
  <c r="L971" i="1"/>
  <c r="L1005" i="1"/>
  <c r="L308" i="1"/>
  <c r="L172" i="1"/>
  <c r="L393" i="1"/>
  <c r="L636" i="1"/>
  <c r="L144" i="1"/>
  <c r="L210" i="1"/>
  <c r="L171" i="1"/>
  <c r="L245" i="1"/>
  <c r="L42" i="1"/>
  <c r="L310" i="1"/>
  <c r="L358" i="1"/>
  <c r="L1009" i="1"/>
  <c r="L235" i="1"/>
  <c r="L623" i="1"/>
  <c r="L982" i="1"/>
  <c r="L108" i="1"/>
  <c r="L827" i="1"/>
  <c r="L112" i="1"/>
  <c r="L561" i="1"/>
  <c r="L130" i="1"/>
  <c r="L897" i="1"/>
  <c r="L292" i="1"/>
  <c r="L129" i="1"/>
  <c r="L939" i="1"/>
  <c r="L89" i="1"/>
  <c r="L471" i="1"/>
  <c r="L761" i="1"/>
  <c r="L543" i="1"/>
  <c r="L835" i="1"/>
  <c r="L328" i="1"/>
  <c r="L614" i="1"/>
  <c r="L661" i="1"/>
  <c r="L807" i="1"/>
  <c r="L781" i="1"/>
  <c r="L872" i="1"/>
  <c r="L925" i="1"/>
  <c r="L498" i="1"/>
  <c r="L296" i="1"/>
  <c r="L780" i="1"/>
  <c r="L856" i="1"/>
  <c r="L824" i="1"/>
  <c r="L765" i="1"/>
  <c r="L51" i="1"/>
  <c r="L755" i="1"/>
  <c r="L670" i="1"/>
  <c r="L451" i="1"/>
  <c r="L71" i="1"/>
  <c r="L60" i="1"/>
  <c r="L136" i="1"/>
  <c r="L705" i="1"/>
  <c r="L571" i="1"/>
  <c r="L626" i="1"/>
  <c r="L587" i="1"/>
  <c r="L650" i="1"/>
  <c r="L853" i="1"/>
  <c r="L607" i="1"/>
  <c r="L737" i="1"/>
  <c r="L873" i="1"/>
  <c r="L23" i="1"/>
  <c r="L455" i="1"/>
  <c r="L420" i="1"/>
  <c r="L82" i="1"/>
  <c r="L85" i="1"/>
  <c r="L99" i="1"/>
  <c r="L932" i="1"/>
  <c r="L845" i="1"/>
  <c r="L268" i="1"/>
  <c r="L113" i="1"/>
  <c r="L558" i="1"/>
  <c r="L323" i="1"/>
  <c r="L898" i="1"/>
  <c r="L1013" i="1"/>
  <c r="L49" i="1"/>
  <c r="L814" i="1"/>
  <c r="L462" i="1"/>
  <c r="L826" i="1"/>
  <c r="L833" i="1"/>
  <c r="L977" i="1"/>
  <c r="L709" i="1"/>
  <c r="L371" i="1"/>
  <c r="L820" i="1"/>
  <c r="L347" i="1"/>
  <c r="L159" i="1"/>
  <c r="L693" i="1"/>
  <c r="L646" i="1"/>
  <c r="L829" i="1"/>
  <c r="L490" i="1"/>
  <c r="L576" i="1"/>
  <c r="L612" i="1"/>
  <c r="L9" i="1"/>
  <c r="L710" i="1"/>
  <c r="L678" i="1"/>
  <c r="L354" i="1"/>
  <c r="L991" i="1"/>
  <c r="L251" i="1"/>
  <c r="L680" i="1"/>
  <c r="L240" i="1"/>
  <c r="L849" i="1"/>
  <c r="L821" i="1"/>
  <c r="L24" i="1"/>
  <c r="L753" i="1"/>
  <c r="L766" i="1"/>
  <c r="L886" i="1"/>
  <c r="L493" i="1"/>
  <c r="L870" i="1"/>
  <c r="L740" i="1"/>
  <c r="L74" i="1"/>
  <c r="L806" i="1"/>
  <c r="L514" i="1"/>
  <c r="L707" i="1"/>
  <c r="L189" i="1"/>
  <c r="L953" i="1"/>
  <c r="L496" i="1"/>
  <c r="L469" i="1"/>
  <c r="L463" i="1"/>
  <c r="L431" i="1"/>
  <c r="L305" i="1"/>
  <c r="L4" i="1"/>
  <c r="L304" i="1"/>
  <c r="L578" i="1"/>
  <c r="L446" i="1"/>
  <c r="L258" i="1"/>
  <c r="L363" i="1"/>
  <c r="L869" i="1"/>
  <c r="L911" i="1"/>
  <c r="L25" i="1"/>
  <c r="L809" i="1"/>
  <c r="L282" i="1"/>
  <c r="L219" i="1"/>
  <c r="L749" i="1"/>
  <c r="L774" i="1"/>
  <c r="L803" i="1"/>
  <c r="L165" i="1"/>
  <c r="L7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<sst xmlns="http://schemas.openxmlformats.org/spreadsheetml/2006/main" count="48" uniqueCount="35">
  <si>
    <t>DATE</t>
  </si>
  <si>
    <t>PRIX</t>
  </si>
  <si>
    <t>LNR1J</t>
  </si>
  <si>
    <t>ALPHA</t>
  </si>
  <si>
    <t>BANDWIDTH</t>
  </si>
  <si>
    <t>Q ALPHA</t>
  </si>
  <si>
    <t>VaR</t>
  </si>
  <si>
    <t>x</t>
  </si>
  <si>
    <t>CDF KDE</t>
  </si>
  <si>
    <t>Alpha</t>
  </si>
  <si>
    <t>N2017-2018</t>
  </si>
  <si>
    <t>Nb Violations</t>
  </si>
  <si>
    <t>Prop. violations</t>
  </si>
  <si>
    <t>% violations</t>
  </si>
  <si>
    <t>alpha</t>
  </si>
  <si>
    <t>Var</t>
  </si>
  <si>
    <t>ES</t>
  </si>
  <si>
    <t>Q alpha</t>
  </si>
  <si>
    <t>ascending order</t>
  </si>
  <si>
    <t>Losses</t>
  </si>
  <si>
    <t>abs losses</t>
  </si>
  <si>
    <t>gain</t>
  </si>
  <si>
    <t>losses:</t>
  </si>
  <si>
    <t>n :</t>
  </si>
  <si>
    <t>k :</t>
  </si>
  <si>
    <t xml:space="preserve">n : </t>
  </si>
  <si>
    <t>n-k+1</t>
  </si>
  <si>
    <t>n-2*k+1</t>
  </si>
  <si>
    <t>n-4*k+1</t>
  </si>
  <si>
    <t>X(n-k+1)</t>
  </si>
  <si>
    <t>X(n-2k+1)</t>
  </si>
  <si>
    <t>X(n-4k+1)</t>
  </si>
  <si>
    <t>estimator</t>
  </si>
  <si>
    <t>Var(p)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</si>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</sst>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8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 Unicode MS"/>
    </font>
    <font>
      <b/>
      <sz val="11"/>
      <color theme="0"/>
      <name val="Aptos Narrow"/>
      <family val="2"/>
      <scheme val="minor"/>
    </font>
    <font>
      <b/>
      <i/>
      <sz val="36"/>
      <color rgb="FFFF000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i/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/>
    <xf numFmtId="14" fontId="2" fillId="2" borderId="2" xfId="0" applyNumberFormat="1" applyFont="1" applyFill="1" applyBorder="1" applyAlignment="1">
      <alignment vertical="center"/>
    </xf>
    <xf numFmtId="0" fontId="1" fillId="2" borderId="4" xfId="0" applyFont="1" applyFill="1" applyBorder="1"/>
    <xf numFmtId="0" fontId="1" fillId="4" borderId="0" xfId="0" applyFont="1" applyFill="1"/>
    <xf numFmtId="0" fontId="0" fillId="4" borderId="0" xfId="0" applyFill="1"/>
    <xf numFmtId="14" fontId="1" fillId="4" borderId="0" xfId="0" applyNumberFormat="1" applyFont="1" applyFill="1"/>
    <xf numFmtId="14" fontId="2" fillId="7" borderId="2" xfId="0" applyNumberFormat="1" applyFont="1" applyFill="1" applyBorder="1" applyAlignment="1">
      <alignment vertical="center"/>
    </xf>
    <xf numFmtId="0" fontId="1" fillId="7" borderId="4" xfId="0" applyFont="1" applyFill="1" applyBorder="1"/>
    <xf numFmtId="0" fontId="1" fillId="7" borderId="0" xfId="0" applyFont="1" applyFill="1"/>
    <xf numFmtId="14" fontId="5" fillId="8" borderId="3" xfId="0" applyNumberFormat="1" applyFont="1" applyFill="1" applyBorder="1"/>
    <xf numFmtId="0" fontId="5" fillId="8" borderId="1" xfId="0" applyFont="1" applyFill="1" applyBorder="1"/>
    <xf numFmtId="0" fontId="3" fillId="8" borderId="1" xfId="0" applyFont="1" applyFill="1" applyBorder="1"/>
    <xf numFmtId="0" fontId="4" fillId="4" borderId="0" xfId="0" applyFont="1" applyFill="1" applyAlignment="1">
      <alignment vertical="center"/>
    </xf>
    <xf numFmtId="0" fontId="0" fillId="9" borderId="6" xfId="0" applyFill="1" applyBorder="1"/>
    <xf numFmtId="0" fontId="0" fillId="9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7" fillId="10" borderId="5" xfId="0" applyFont="1" applyFill="1" applyBorder="1"/>
    <xf numFmtId="0" fontId="0" fillId="11" borderId="16" xfId="0" applyFill="1" applyBorder="1"/>
    <xf numFmtId="0" fontId="0" fillId="12" borderId="16" xfId="0" applyFill="1" applyBorder="1"/>
    <xf numFmtId="0" fontId="0" fillId="11" borderId="10" xfId="0" applyFill="1" applyBorder="1"/>
    <xf numFmtId="0" fontId="0" fillId="12" borderId="10" xfId="0" applyFill="1" applyBorder="1"/>
    <xf numFmtId="0" fontId="0" fillId="11" borderId="11" xfId="0" applyFill="1" applyBorder="1"/>
    <xf numFmtId="0" fontId="0" fillId="12" borderId="11" xfId="0" applyFill="1" applyBorder="1"/>
    <xf numFmtId="0" fontId="0" fillId="11" borderId="12" xfId="0" applyFill="1" applyBorder="1"/>
    <xf numFmtId="0" fontId="0" fillId="11" borderId="13" xfId="0" applyFill="1" applyBorder="1"/>
    <xf numFmtId="0" fontId="7" fillId="10" borderId="17" xfId="0" applyFont="1" applyFill="1" applyBorder="1"/>
    <xf numFmtId="0" fontId="0" fillId="12" borderId="8" xfId="0" applyFill="1" applyBorder="1"/>
    <xf numFmtId="0" fontId="0" fillId="12" borderId="9" xfId="0" applyFill="1" applyBorder="1"/>
    <xf numFmtId="0" fontId="7" fillId="10" borderId="12" xfId="0" applyFont="1" applyFill="1" applyBorder="1"/>
    <xf numFmtId="0" fontId="0" fillId="12" borderId="18" xfId="0" applyFill="1" applyBorder="1"/>
    <xf numFmtId="0" fontId="0" fillId="11" borderId="18" xfId="0" applyFill="1" applyBorder="1"/>
    <xf numFmtId="0" fontId="7" fillId="10" borderId="19" xfId="0" applyFont="1" applyFill="1" applyBorder="1"/>
    <xf numFmtId="0" fontId="0" fillId="12" borderId="20" xfId="0" applyFill="1" applyBorder="1"/>
    <xf numFmtId="0" fontId="0" fillId="11" borderId="20" xfId="0" applyFill="1" applyBorder="1"/>
    <xf numFmtId="0" fontId="0" fillId="11" borderId="21" xfId="0" applyFill="1" applyBorder="1"/>
    <xf numFmtId="0" fontId="0" fillId="13" borderId="6" xfId="0" applyFill="1" applyBorder="1"/>
    <xf numFmtId="0" fontId="0" fillId="13" borderId="7" xfId="0" applyFill="1" applyBorder="1"/>
    <xf numFmtId="0" fontId="6" fillId="3" borderId="19" xfId="0" applyFont="1" applyFill="1" applyBorder="1"/>
    <xf numFmtId="0" fontId="0" fillId="3" borderId="21" xfId="0" applyFill="1" applyBorder="1"/>
    <xf numFmtId="0" fontId="6" fillId="3" borderId="22" xfId="0" applyFont="1" applyFill="1" applyBorder="1"/>
    <xf numFmtId="0" fontId="0" fillId="3" borderId="23" xfId="0" applyFill="1" applyBorder="1"/>
    <xf numFmtId="0" fontId="6" fillId="6" borderId="8" xfId="0" applyFont="1" applyFill="1" applyBorder="1"/>
    <xf numFmtId="0" fontId="0" fillId="6" borderId="9" xfId="0" applyFill="1" applyBorder="1"/>
    <xf numFmtId="0" fontId="6" fillId="6" borderId="22" xfId="0" applyFont="1" applyFill="1" applyBorder="1"/>
    <xf numFmtId="0" fontId="0" fillId="6" borderId="23" xfId="0" applyFill="1" applyBorder="1"/>
    <xf numFmtId="0" fontId="6" fillId="5" borderId="8" xfId="0" applyFont="1" applyFill="1" applyBorder="1"/>
    <xf numFmtId="0" fontId="6" fillId="5" borderId="22" xfId="0" applyFont="1" applyFill="1" applyBorder="1"/>
    <xf numFmtId="0" fontId="0" fillId="5" borderId="23" xfId="0" applyFill="1" applyBorder="1"/>
    <xf numFmtId="14" fontId="5" fillId="8" borderId="24" xfId="0" applyNumberFormat="1" applyFont="1" applyFill="1" applyBorder="1"/>
    <xf numFmtId="164" fontId="1" fillId="2" borderId="25" xfId="0" applyNumberFormat="1" applyFont="1" applyFill="1" applyBorder="1"/>
    <xf numFmtId="0" fontId="1" fillId="2" borderId="2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série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Estimation_1516!$G$3:$G$1048576</c:f>
              <c:numCache>
                <c:formatCode>General</c:formatCode>
                <c:ptCount val="10485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3.715592846012571E-10</c:v>
                </c:pt>
                <c:pt idx="99">
                  <c:v>2.3273954726487896E-7</c:v>
                </c:pt>
                <c:pt idx="100">
                  <c:v>1.5090624582629017E-6</c:v>
                </c:pt>
                <c:pt idx="101">
                  <c:v>4.6367348469401756E-6</c:v>
                </c:pt>
                <c:pt idx="102">
                  <c:v>1.0311208141848934E-5</c:v>
                </c:pt>
                <c:pt idx="103">
                  <c:v>1.9121002315458462E-5</c:v>
                </c:pt>
                <c:pt idx="104">
                  <c:v>3.1552717554182846E-5</c:v>
                </c:pt>
                <c:pt idx="105">
                  <c:v>4.7996045928406483E-5</c:v>
                </c:pt>
                <c:pt idx="106">
                  <c:v>6.87487830625098E-5</c:v>
                </c:pt>
                <c:pt idx="107">
                  <c:v>9.4021839804896888E-5</c:v>
                </c:pt>
                <c:pt idx="108">
                  <c:v>1.2394425389802125E-4</c:v>
                </c:pt>
                <c:pt idx="109">
                  <c:v>1.5856820164841177E-4</c:v>
                </c:pt>
                <c:pt idx="110">
                  <c:v>1.9787400959669972E-4</c:v>
                </c:pt>
                <c:pt idx="111">
                  <c:v>2.4177516618764498E-4</c:v>
                </c:pt>
                <c:pt idx="112">
                  <c:v>2.9012333344016202E-4</c:v>
                </c:pt>
                <c:pt idx="113">
                  <c:v>3.4271335861734694E-4</c:v>
                </c:pt>
                <c:pt idx="114">
                  <c:v>3.9928828589650268E-4</c:v>
                </c:pt>
                <c:pt idx="115">
                  <c:v>4.5954436803916668E-4</c:v>
                </c:pt>
                <c:pt idx="116">
                  <c:v>5.2313607806113655E-4</c:v>
                </c:pt>
                <c:pt idx="117">
                  <c:v>5.8968112090249667E-4</c:v>
                </c:pt>
                <c:pt idx="118">
                  <c:v>6.5876544509764392E-4</c:v>
                </c:pt>
                <c:pt idx="119">
                  <c:v>7.2994825444531498E-4</c:v>
                </c:pt>
                <c:pt idx="120">
                  <c:v>8.0276701967861206E-4</c:v>
                </c:pt>
                <c:pt idx="121">
                  <c:v>8.7674249013502948E-4</c:v>
                </c:pt>
                <c:pt idx="122">
                  <c:v>9.5138370542647969E-4</c:v>
                </c:pt>
                <c:pt idx="123">
                  <c:v>1.0261930071093206E-3</c:v>
                </c:pt>
                <c:pt idx="124">
                  <c:v>1.1006710503543807E-3</c:v>
                </c:pt>
                <c:pt idx="125">
                  <c:v>1.1743218156169859E-3</c:v>
                </c:pt>
                <c:pt idx="126">
                  <c:v>1.2466576203069863E-3</c:v>
                </c:pt>
                <c:pt idx="127">
                  <c:v>1.317204130458782E-3</c:v>
                </c:pt>
                <c:pt idx="128">
                  <c:v>1.3855053724013495E-3</c:v>
                </c:pt>
                <c:pt idx="129">
                  <c:v>1.4511287444282689E-3</c:v>
                </c:pt>
                <c:pt idx="130">
                  <c:v>1.5136700284677487E-3</c:v>
                </c:pt>
                <c:pt idx="131">
                  <c:v>1.5727584017526533E-3</c:v>
                </c:pt>
                <c:pt idx="132">
                  <c:v>1.6280614484905297E-3</c:v>
                </c:pt>
                <c:pt idx="133">
                  <c:v>1.6792901715336325E-3</c:v>
                </c:pt>
                <c:pt idx="134">
                  <c:v>1.7262040040489509E-3</c:v>
                </c:pt>
                <c:pt idx="135">
                  <c:v>1.7686158211882362E-3</c:v>
                </c:pt>
                <c:pt idx="136">
                  <c:v>1.8063969517580257E-3</c:v>
                </c:pt>
                <c:pt idx="137">
                  <c:v>1.8394821898896712E-3</c:v>
                </c:pt>
                <c:pt idx="138">
                  <c:v>1.8678748067093652E-3</c:v>
                </c:pt>
                <c:pt idx="139">
                  <c:v>1.8916515620081655E-3</c:v>
                </c:pt>
                <c:pt idx="140">
                  <c:v>1.9109677159120239E-3</c:v>
                </c:pt>
                <c:pt idx="141">
                  <c:v>1.9260620405518098E-3</c:v>
                </c:pt>
                <c:pt idx="142">
                  <c:v>1.93726183173334E-3</c:v>
                </c:pt>
                <c:pt idx="143">
                  <c:v>1.9449879206074022E-3</c:v>
                </c:pt>
                <c:pt idx="144">
                  <c:v>1.9497596853397824E-3</c:v>
                </c:pt>
                <c:pt idx="145">
                  <c:v>1.9522000627812915E-3</c:v>
                </c:pt>
                <c:pt idx="146">
                  <c:v>1.953040560137791E-3</c:v>
                </c:pt>
                <c:pt idx="147">
                  <c:v>1.953125E-3</c:v>
                </c:pt>
                <c:pt idx="148">
                  <c:v>1.953125E-3</c:v>
                </c:pt>
                <c:pt idx="149">
                  <c:v>1.953125E-3</c:v>
                </c:pt>
                <c:pt idx="150">
                  <c:v>1.953125E-3</c:v>
                </c:pt>
                <c:pt idx="151">
                  <c:v>1.953125E-3</c:v>
                </c:pt>
                <c:pt idx="152">
                  <c:v>1.953125E-3</c:v>
                </c:pt>
                <c:pt idx="153">
                  <c:v>1.953125E-3</c:v>
                </c:pt>
                <c:pt idx="154">
                  <c:v>1.953125E-3</c:v>
                </c:pt>
                <c:pt idx="155">
                  <c:v>1.953125E-3</c:v>
                </c:pt>
                <c:pt idx="156">
                  <c:v>1.953125E-3</c:v>
                </c:pt>
                <c:pt idx="157">
                  <c:v>1.953125E-3</c:v>
                </c:pt>
                <c:pt idx="158">
                  <c:v>1.953125E-3</c:v>
                </c:pt>
                <c:pt idx="159">
                  <c:v>1.953125E-3</c:v>
                </c:pt>
                <c:pt idx="160">
                  <c:v>1.953125E-3</c:v>
                </c:pt>
                <c:pt idx="161">
                  <c:v>1.953125E-3</c:v>
                </c:pt>
                <c:pt idx="162">
                  <c:v>1.953125E-3</c:v>
                </c:pt>
                <c:pt idx="163">
                  <c:v>1.953125E-3</c:v>
                </c:pt>
                <c:pt idx="164">
                  <c:v>1.953125E-3</c:v>
                </c:pt>
                <c:pt idx="165">
                  <c:v>1.953125E-3</c:v>
                </c:pt>
                <c:pt idx="166">
                  <c:v>1.953125E-3</c:v>
                </c:pt>
                <c:pt idx="167">
                  <c:v>1.953125E-3</c:v>
                </c:pt>
                <c:pt idx="168">
                  <c:v>1.953125E-3</c:v>
                </c:pt>
                <c:pt idx="169">
                  <c:v>1.953125E-3</c:v>
                </c:pt>
                <c:pt idx="170">
                  <c:v>1.953125E-3</c:v>
                </c:pt>
                <c:pt idx="171">
                  <c:v>1.953125E-3</c:v>
                </c:pt>
                <c:pt idx="172">
                  <c:v>1.953125E-3</c:v>
                </c:pt>
                <c:pt idx="173">
                  <c:v>1.953125E-3</c:v>
                </c:pt>
                <c:pt idx="174">
                  <c:v>1.953125E-3</c:v>
                </c:pt>
                <c:pt idx="175">
                  <c:v>1.953125E-3</c:v>
                </c:pt>
                <c:pt idx="176">
                  <c:v>1.953125E-3</c:v>
                </c:pt>
                <c:pt idx="177">
                  <c:v>1.953125E-3</c:v>
                </c:pt>
                <c:pt idx="178">
                  <c:v>1.953125E-3</c:v>
                </c:pt>
                <c:pt idx="179">
                  <c:v>1.953125E-3</c:v>
                </c:pt>
                <c:pt idx="180">
                  <c:v>1.953125E-3</c:v>
                </c:pt>
                <c:pt idx="181">
                  <c:v>1.953125E-3</c:v>
                </c:pt>
                <c:pt idx="182">
                  <c:v>1.953125E-3</c:v>
                </c:pt>
                <c:pt idx="183">
                  <c:v>1.953125E-3</c:v>
                </c:pt>
                <c:pt idx="184">
                  <c:v>1.953125E-3</c:v>
                </c:pt>
                <c:pt idx="185">
                  <c:v>1.953125E-3</c:v>
                </c:pt>
                <c:pt idx="186">
                  <c:v>1.953125E-3</c:v>
                </c:pt>
                <c:pt idx="187">
                  <c:v>1.953125E-3</c:v>
                </c:pt>
                <c:pt idx="188">
                  <c:v>1.953125E-3</c:v>
                </c:pt>
                <c:pt idx="189">
                  <c:v>1.953125E-3</c:v>
                </c:pt>
                <c:pt idx="190">
                  <c:v>1.953125E-3</c:v>
                </c:pt>
                <c:pt idx="191">
                  <c:v>1.953125E-3</c:v>
                </c:pt>
                <c:pt idx="192">
                  <c:v>1.953125E-3</c:v>
                </c:pt>
                <c:pt idx="193">
                  <c:v>1.953125E-3</c:v>
                </c:pt>
                <c:pt idx="194">
                  <c:v>1.953125E-3</c:v>
                </c:pt>
                <c:pt idx="195">
                  <c:v>1.953125E-3</c:v>
                </c:pt>
                <c:pt idx="196">
                  <c:v>1.953125E-3</c:v>
                </c:pt>
                <c:pt idx="197">
                  <c:v>1.953125E-3</c:v>
                </c:pt>
                <c:pt idx="198">
                  <c:v>1.953125E-3</c:v>
                </c:pt>
                <c:pt idx="199">
                  <c:v>1.953125E-3</c:v>
                </c:pt>
                <c:pt idx="200">
                  <c:v>1.953125E-3</c:v>
                </c:pt>
                <c:pt idx="201">
                  <c:v>1.953125E-3</c:v>
                </c:pt>
                <c:pt idx="202">
                  <c:v>1.953125E-3</c:v>
                </c:pt>
                <c:pt idx="203">
                  <c:v>1.953125E-3</c:v>
                </c:pt>
                <c:pt idx="204">
                  <c:v>1.953125E-3</c:v>
                </c:pt>
                <c:pt idx="205">
                  <c:v>1.953125E-3</c:v>
                </c:pt>
                <c:pt idx="206">
                  <c:v>1.953125E-3</c:v>
                </c:pt>
                <c:pt idx="207">
                  <c:v>1.953125E-3</c:v>
                </c:pt>
                <c:pt idx="208">
                  <c:v>1.953125E-3</c:v>
                </c:pt>
                <c:pt idx="209">
                  <c:v>1.953125E-3</c:v>
                </c:pt>
                <c:pt idx="210">
                  <c:v>1.953125E-3</c:v>
                </c:pt>
                <c:pt idx="211">
                  <c:v>1.953125E-3</c:v>
                </c:pt>
                <c:pt idx="212">
                  <c:v>1.953125E-3</c:v>
                </c:pt>
                <c:pt idx="213">
                  <c:v>1.953125E-3</c:v>
                </c:pt>
                <c:pt idx="214">
                  <c:v>1.953125E-3</c:v>
                </c:pt>
                <c:pt idx="215">
                  <c:v>1.953125E-3</c:v>
                </c:pt>
                <c:pt idx="216">
                  <c:v>1.953125E-3</c:v>
                </c:pt>
                <c:pt idx="217">
                  <c:v>1.953125E-3</c:v>
                </c:pt>
                <c:pt idx="218">
                  <c:v>1.953125E-3</c:v>
                </c:pt>
                <c:pt idx="219">
                  <c:v>1.953125E-3</c:v>
                </c:pt>
                <c:pt idx="220">
                  <c:v>1.953125E-3</c:v>
                </c:pt>
                <c:pt idx="221">
                  <c:v>1.953125E-3</c:v>
                </c:pt>
                <c:pt idx="222">
                  <c:v>1.953125E-3</c:v>
                </c:pt>
                <c:pt idx="223">
                  <c:v>1.953125E-3</c:v>
                </c:pt>
                <c:pt idx="224">
                  <c:v>1.953125E-3</c:v>
                </c:pt>
                <c:pt idx="225">
                  <c:v>1.953125E-3</c:v>
                </c:pt>
                <c:pt idx="226">
                  <c:v>1.953125E-3</c:v>
                </c:pt>
                <c:pt idx="227">
                  <c:v>1.953125E-3</c:v>
                </c:pt>
                <c:pt idx="228">
                  <c:v>1.953125E-3</c:v>
                </c:pt>
                <c:pt idx="229">
                  <c:v>1.953125E-3</c:v>
                </c:pt>
                <c:pt idx="230">
                  <c:v>1.953125E-3</c:v>
                </c:pt>
                <c:pt idx="231">
                  <c:v>1.953125E-3</c:v>
                </c:pt>
                <c:pt idx="232">
                  <c:v>1.953125E-3</c:v>
                </c:pt>
                <c:pt idx="233">
                  <c:v>1.953125E-3</c:v>
                </c:pt>
                <c:pt idx="234">
                  <c:v>1.953125E-3</c:v>
                </c:pt>
                <c:pt idx="235">
                  <c:v>1.953125E-3</c:v>
                </c:pt>
                <c:pt idx="236">
                  <c:v>1.953125E-3</c:v>
                </c:pt>
                <c:pt idx="237">
                  <c:v>1.953125E-3</c:v>
                </c:pt>
                <c:pt idx="238">
                  <c:v>1.953125E-3</c:v>
                </c:pt>
                <c:pt idx="239">
                  <c:v>1.953125E-3</c:v>
                </c:pt>
                <c:pt idx="240">
                  <c:v>1.953125E-3</c:v>
                </c:pt>
                <c:pt idx="241">
                  <c:v>1.953125E-3</c:v>
                </c:pt>
                <c:pt idx="242">
                  <c:v>1.953125E-3</c:v>
                </c:pt>
                <c:pt idx="243">
                  <c:v>1.953125E-3</c:v>
                </c:pt>
                <c:pt idx="244">
                  <c:v>1.953125E-3</c:v>
                </c:pt>
                <c:pt idx="245">
                  <c:v>1.953125E-3</c:v>
                </c:pt>
                <c:pt idx="246">
                  <c:v>1.953125E-3</c:v>
                </c:pt>
                <c:pt idx="247">
                  <c:v>1.953125E-3</c:v>
                </c:pt>
                <c:pt idx="248">
                  <c:v>1.953125E-3</c:v>
                </c:pt>
                <c:pt idx="249">
                  <c:v>1.953125E-3</c:v>
                </c:pt>
                <c:pt idx="250">
                  <c:v>1.953125E-3</c:v>
                </c:pt>
                <c:pt idx="251">
                  <c:v>1.953125E-3</c:v>
                </c:pt>
                <c:pt idx="252">
                  <c:v>1.953125E-3</c:v>
                </c:pt>
                <c:pt idx="253">
                  <c:v>1.953125E-3</c:v>
                </c:pt>
                <c:pt idx="254">
                  <c:v>1.953125E-3</c:v>
                </c:pt>
                <c:pt idx="255">
                  <c:v>1.953125E-3</c:v>
                </c:pt>
                <c:pt idx="256">
                  <c:v>1.953125E-3</c:v>
                </c:pt>
                <c:pt idx="257">
                  <c:v>1.953125E-3</c:v>
                </c:pt>
                <c:pt idx="258">
                  <c:v>1.953125E-3</c:v>
                </c:pt>
                <c:pt idx="259">
                  <c:v>1.953125E-3</c:v>
                </c:pt>
                <c:pt idx="260">
                  <c:v>1.953125E-3</c:v>
                </c:pt>
                <c:pt idx="261">
                  <c:v>1.953125E-3</c:v>
                </c:pt>
                <c:pt idx="262">
                  <c:v>1.953125E-3</c:v>
                </c:pt>
                <c:pt idx="263">
                  <c:v>1.953125E-3</c:v>
                </c:pt>
                <c:pt idx="264">
                  <c:v>1.953125E-3</c:v>
                </c:pt>
                <c:pt idx="265">
                  <c:v>1.953125E-3</c:v>
                </c:pt>
                <c:pt idx="266">
                  <c:v>1.953125E-3</c:v>
                </c:pt>
                <c:pt idx="267">
                  <c:v>1.953125E-3</c:v>
                </c:pt>
                <c:pt idx="268">
                  <c:v>1.953125E-3</c:v>
                </c:pt>
                <c:pt idx="269">
                  <c:v>1.953125E-3</c:v>
                </c:pt>
                <c:pt idx="270">
                  <c:v>1.953125E-3</c:v>
                </c:pt>
                <c:pt idx="271">
                  <c:v>1.953125E-3</c:v>
                </c:pt>
                <c:pt idx="272">
                  <c:v>1.953125E-3</c:v>
                </c:pt>
                <c:pt idx="273">
                  <c:v>1.953125E-3</c:v>
                </c:pt>
                <c:pt idx="274">
                  <c:v>1.953125E-3</c:v>
                </c:pt>
                <c:pt idx="275">
                  <c:v>1.953125E-3</c:v>
                </c:pt>
                <c:pt idx="276">
                  <c:v>1.953125E-3</c:v>
                </c:pt>
                <c:pt idx="277">
                  <c:v>1.953125E-3</c:v>
                </c:pt>
                <c:pt idx="278">
                  <c:v>1.953125E-3</c:v>
                </c:pt>
                <c:pt idx="279">
                  <c:v>1.953125E-3</c:v>
                </c:pt>
                <c:pt idx="280">
                  <c:v>1.953125E-3</c:v>
                </c:pt>
                <c:pt idx="281">
                  <c:v>1.953125E-3</c:v>
                </c:pt>
                <c:pt idx="282">
                  <c:v>1.953125E-3</c:v>
                </c:pt>
                <c:pt idx="283">
                  <c:v>1.953125E-3</c:v>
                </c:pt>
                <c:pt idx="284">
                  <c:v>1.953125E-3</c:v>
                </c:pt>
                <c:pt idx="285">
                  <c:v>1.953125E-3</c:v>
                </c:pt>
                <c:pt idx="286">
                  <c:v>1.953125E-3</c:v>
                </c:pt>
                <c:pt idx="287">
                  <c:v>1.953125E-3</c:v>
                </c:pt>
                <c:pt idx="288">
                  <c:v>1.953125E-3</c:v>
                </c:pt>
                <c:pt idx="289">
                  <c:v>1.953125E-3</c:v>
                </c:pt>
                <c:pt idx="290">
                  <c:v>1.953125E-3</c:v>
                </c:pt>
                <c:pt idx="291">
                  <c:v>1.953125E-3</c:v>
                </c:pt>
                <c:pt idx="292">
                  <c:v>1.953125E-3</c:v>
                </c:pt>
                <c:pt idx="293">
                  <c:v>1.953125E-3</c:v>
                </c:pt>
                <c:pt idx="294">
                  <c:v>1.953125E-3</c:v>
                </c:pt>
                <c:pt idx="295">
                  <c:v>1.953125E-3</c:v>
                </c:pt>
                <c:pt idx="296">
                  <c:v>1.953125E-3</c:v>
                </c:pt>
                <c:pt idx="297">
                  <c:v>1.953125E-3</c:v>
                </c:pt>
                <c:pt idx="298">
                  <c:v>1.953125E-3</c:v>
                </c:pt>
                <c:pt idx="299">
                  <c:v>1.953125E-3</c:v>
                </c:pt>
                <c:pt idx="300">
                  <c:v>1.953125E-3</c:v>
                </c:pt>
                <c:pt idx="301">
                  <c:v>1.953125E-3</c:v>
                </c:pt>
                <c:pt idx="302">
                  <c:v>1.953125E-3</c:v>
                </c:pt>
                <c:pt idx="303">
                  <c:v>1.953125E-3</c:v>
                </c:pt>
                <c:pt idx="304">
                  <c:v>1.953125E-3</c:v>
                </c:pt>
                <c:pt idx="305">
                  <c:v>1.953125E-3</c:v>
                </c:pt>
                <c:pt idx="306">
                  <c:v>1.953125E-3</c:v>
                </c:pt>
                <c:pt idx="307">
                  <c:v>1.953125E-3</c:v>
                </c:pt>
                <c:pt idx="308">
                  <c:v>1.953125E-3</c:v>
                </c:pt>
                <c:pt idx="309">
                  <c:v>1.953125E-3</c:v>
                </c:pt>
                <c:pt idx="310">
                  <c:v>1.953125E-3</c:v>
                </c:pt>
                <c:pt idx="311">
                  <c:v>1.953125E-3</c:v>
                </c:pt>
                <c:pt idx="312">
                  <c:v>1.953125E-3</c:v>
                </c:pt>
                <c:pt idx="313">
                  <c:v>1.953125E-3</c:v>
                </c:pt>
                <c:pt idx="314">
                  <c:v>1.953125E-3</c:v>
                </c:pt>
                <c:pt idx="315">
                  <c:v>1.953125E-3</c:v>
                </c:pt>
                <c:pt idx="316">
                  <c:v>1.953125E-3</c:v>
                </c:pt>
                <c:pt idx="317">
                  <c:v>1.953125E-3</c:v>
                </c:pt>
                <c:pt idx="318">
                  <c:v>1.953125E-3</c:v>
                </c:pt>
                <c:pt idx="319">
                  <c:v>1.953125E-3</c:v>
                </c:pt>
                <c:pt idx="320">
                  <c:v>1.953125E-3</c:v>
                </c:pt>
                <c:pt idx="321">
                  <c:v>1.953125E-3</c:v>
                </c:pt>
                <c:pt idx="322">
                  <c:v>1.953125E-3</c:v>
                </c:pt>
                <c:pt idx="323">
                  <c:v>1.953125E-3</c:v>
                </c:pt>
                <c:pt idx="324">
                  <c:v>1.953125E-3</c:v>
                </c:pt>
                <c:pt idx="325">
                  <c:v>1.953125E-3</c:v>
                </c:pt>
                <c:pt idx="326">
                  <c:v>1.953125E-3</c:v>
                </c:pt>
                <c:pt idx="327">
                  <c:v>1.953125E-3</c:v>
                </c:pt>
                <c:pt idx="328">
                  <c:v>1.953125E-3</c:v>
                </c:pt>
                <c:pt idx="329">
                  <c:v>1.953125E-3</c:v>
                </c:pt>
                <c:pt idx="330">
                  <c:v>1.953125E-3</c:v>
                </c:pt>
                <c:pt idx="331">
                  <c:v>1.953125E-3</c:v>
                </c:pt>
                <c:pt idx="332">
                  <c:v>1.953125E-3</c:v>
                </c:pt>
                <c:pt idx="333">
                  <c:v>1.953125E-3</c:v>
                </c:pt>
                <c:pt idx="334">
                  <c:v>1.953125E-3</c:v>
                </c:pt>
                <c:pt idx="335">
                  <c:v>1.953125E-3</c:v>
                </c:pt>
                <c:pt idx="336">
                  <c:v>1.953125E-3</c:v>
                </c:pt>
                <c:pt idx="337">
                  <c:v>1.953125E-3</c:v>
                </c:pt>
                <c:pt idx="338">
                  <c:v>1.953125E-3</c:v>
                </c:pt>
                <c:pt idx="339">
                  <c:v>1.953125E-3</c:v>
                </c:pt>
                <c:pt idx="340">
                  <c:v>1.953125E-3</c:v>
                </c:pt>
                <c:pt idx="341">
                  <c:v>1.953125E-3</c:v>
                </c:pt>
                <c:pt idx="342">
                  <c:v>1.953125E-3</c:v>
                </c:pt>
                <c:pt idx="343">
                  <c:v>1.953125E-3</c:v>
                </c:pt>
                <c:pt idx="344">
                  <c:v>1.953125E-3</c:v>
                </c:pt>
                <c:pt idx="345">
                  <c:v>1.953125E-3</c:v>
                </c:pt>
                <c:pt idx="346">
                  <c:v>1.953125E-3</c:v>
                </c:pt>
                <c:pt idx="347">
                  <c:v>1.953125E-3</c:v>
                </c:pt>
                <c:pt idx="348">
                  <c:v>1.953125E-3</c:v>
                </c:pt>
                <c:pt idx="349">
                  <c:v>1.953125E-3</c:v>
                </c:pt>
                <c:pt idx="350">
                  <c:v>1.953125E-3</c:v>
                </c:pt>
                <c:pt idx="351">
                  <c:v>1.953125E-3</c:v>
                </c:pt>
                <c:pt idx="352">
                  <c:v>1.953125E-3</c:v>
                </c:pt>
                <c:pt idx="353">
                  <c:v>1.953125E-3</c:v>
                </c:pt>
                <c:pt idx="354">
                  <c:v>1.953125E-3</c:v>
                </c:pt>
                <c:pt idx="355">
                  <c:v>1.953125E-3</c:v>
                </c:pt>
                <c:pt idx="356">
                  <c:v>1.953125E-3</c:v>
                </c:pt>
                <c:pt idx="357">
                  <c:v>1.953125E-3</c:v>
                </c:pt>
                <c:pt idx="358">
                  <c:v>1.953125E-3</c:v>
                </c:pt>
                <c:pt idx="359">
                  <c:v>1.953125E-3</c:v>
                </c:pt>
                <c:pt idx="360">
                  <c:v>1.953125E-3</c:v>
                </c:pt>
                <c:pt idx="361">
                  <c:v>1.953125E-3</c:v>
                </c:pt>
                <c:pt idx="362">
                  <c:v>1.953125E-3</c:v>
                </c:pt>
                <c:pt idx="363">
                  <c:v>1.953125E-3</c:v>
                </c:pt>
                <c:pt idx="364">
                  <c:v>1.953125E-3</c:v>
                </c:pt>
                <c:pt idx="365">
                  <c:v>1.953125E-3</c:v>
                </c:pt>
                <c:pt idx="366">
                  <c:v>1.953125E-3</c:v>
                </c:pt>
                <c:pt idx="367">
                  <c:v>1.953125E-3</c:v>
                </c:pt>
                <c:pt idx="368">
                  <c:v>1.953125E-3</c:v>
                </c:pt>
                <c:pt idx="369">
                  <c:v>1.953125E-3</c:v>
                </c:pt>
                <c:pt idx="370">
                  <c:v>1.953125E-3</c:v>
                </c:pt>
                <c:pt idx="371">
                  <c:v>1.953125E-3</c:v>
                </c:pt>
                <c:pt idx="372">
                  <c:v>1.953125E-3</c:v>
                </c:pt>
                <c:pt idx="373">
                  <c:v>1.953125E-3</c:v>
                </c:pt>
                <c:pt idx="374">
                  <c:v>1.953125E-3</c:v>
                </c:pt>
                <c:pt idx="375">
                  <c:v>1.953125E-3</c:v>
                </c:pt>
                <c:pt idx="376">
                  <c:v>1.953125E-3</c:v>
                </c:pt>
                <c:pt idx="377">
                  <c:v>1.953125E-3</c:v>
                </c:pt>
                <c:pt idx="378">
                  <c:v>1.953125E-3</c:v>
                </c:pt>
                <c:pt idx="379">
                  <c:v>1.953125E-3</c:v>
                </c:pt>
                <c:pt idx="380">
                  <c:v>1.953125E-3</c:v>
                </c:pt>
                <c:pt idx="381">
                  <c:v>1.953125E-3</c:v>
                </c:pt>
                <c:pt idx="382">
                  <c:v>1.953125E-3</c:v>
                </c:pt>
                <c:pt idx="383">
                  <c:v>1.953125E-3</c:v>
                </c:pt>
                <c:pt idx="384">
                  <c:v>1.953125E-3</c:v>
                </c:pt>
                <c:pt idx="385">
                  <c:v>1.953125E-3</c:v>
                </c:pt>
                <c:pt idx="386">
                  <c:v>1.953125E-3</c:v>
                </c:pt>
                <c:pt idx="387">
                  <c:v>1.953125E-3</c:v>
                </c:pt>
                <c:pt idx="388">
                  <c:v>1.953125E-3</c:v>
                </c:pt>
                <c:pt idx="389">
                  <c:v>1.953125E-3</c:v>
                </c:pt>
                <c:pt idx="390">
                  <c:v>1.953125E-3</c:v>
                </c:pt>
                <c:pt idx="391">
                  <c:v>1.953125E-3</c:v>
                </c:pt>
                <c:pt idx="392">
                  <c:v>1.953125E-3</c:v>
                </c:pt>
                <c:pt idx="393">
                  <c:v>1.953125E-3</c:v>
                </c:pt>
                <c:pt idx="394">
                  <c:v>1.953125E-3</c:v>
                </c:pt>
                <c:pt idx="395">
                  <c:v>1.953125E-3</c:v>
                </c:pt>
                <c:pt idx="396">
                  <c:v>1.953125E-3</c:v>
                </c:pt>
                <c:pt idx="397">
                  <c:v>1.953125E-3</c:v>
                </c:pt>
                <c:pt idx="398">
                  <c:v>1.953125E-3</c:v>
                </c:pt>
                <c:pt idx="399">
                  <c:v>1.953125E-3</c:v>
                </c:pt>
                <c:pt idx="400">
                  <c:v>1.953125E-3</c:v>
                </c:pt>
                <c:pt idx="401">
                  <c:v>1.953125E-3</c:v>
                </c:pt>
                <c:pt idx="402">
                  <c:v>1.953125E-3</c:v>
                </c:pt>
                <c:pt idx="403">
                  <c:v>1.953125E-3</c:v>
                </c:pt>
                <c:pt idx="404">
                  <c:v>1.953125E-3</c:v>
                </c:pt>
                <c:pt idx="405">
                  <c:v>1.953125E-3</c:v>
                </c:pt>
                <c:pt idx="406">
                  <c:v>1.953125E-3</c:v>
                </c:pt>
                <c:pt idx="407">
                  <c:v>1.953125E-3</c:v>
                </c:pt>
                <c:pt idx="408">
                  <c:v>1.953125E-3</c:v>
                </c:pt>
                <c:pt idx="409">
                  <c:v>1.953125E-3</c:v>
                </c:pt>
                <c:pt idx="410">
                  <c:v>1.953125E-3</c:v>
                </c:pt>
                <c:pt idx="411">
                  <c:v>1.953125E-3</c:v>
                </c:pt>
                <c:pt idx="412">
                  <c:v>1.953125E-3</c:v>
                </c:pt>
                <c:pt idx="413">
                  <c:v>1.953125E-3</c:v>
                </c:pt>
                <c:pt idx="414">
                  <c:v>1.953125E-3</c:v>
                </c:pt>
                <c:pt idx="415">
                  <c:v>1.953125E-3</c:v>
                </c:pt>
                <c:pt idx="416">
                  <c:v>1.953125E-3</c:v>
                </c:pt>
                <c:pt idx="417">
                  <c:v>1.953125E-3</c:v>
                </c:pt>
                <c:pt idx="418">
                  <c:v>1.953125E-3</c:v>
                </c:pt>
                <c:pt idx="419">
                  <c:v>1.953125E-3</c:v>
                </c:pt>
                <c:pt idx="420">
                  <c:v>1.953125E-3</c:v>
                </c:pt>
                <c:pt idx="421">
                  <c:v>1.953125E-3</c:v>
                </c:pt>
                <c:pt idx="422">
                  <c:v>1.953125E-3</c:v>
                </c:pt>
                <c:pt idx="423">
                  <c:v>1.953125E-3</c:v>
                </c:pt>
                <c:pt idx="424">
                  <c:v>1.953125E-3</c:v>
                </c:pt>
                <c:pt idx="425">
                  <c:v>1.953125E-3</c:v>
                </c:pt>
                <c:pt idx="426">
                  <c:v>1.953125E-3</c:v>
                </c:pt>
                <c:pt idx="427">
                  <c:v>1.953125E-3</c:v>
                </c:pt>
                <c:pt idx="428">
                  <c:v>1.953125E-3</c:v>
                </c:pt>
                <c:pt idx="429">
                  <c:v>1.953125E-3</c:v>
                </c:pt>
                <c:pt idx="430">
                  <c:v>1.953125E-3</c:v>
                </c:pt>
                <c:pt idx="431">
                  <c:v>1.953125E-3</c:v>
                </c:pt>
                <c:pt idx="432">
                  <c:v>1.953125E-3</c:v>
                </c:pt>
                <c:pt idx="433">
                  <c:v>1.953125E-3</c:v>
                </c:pt>
                <c:pt idx="434">
                  <c:v>1.953125E-3</c:v>
                </c:pt>
                <c:pt idx="435">
                  <c:v>1.953125E-3</c:v>
                </c:pt>
                <c:pt idx="436">
                  <c:v>1.953125E-3</c:v>
                </c:pt>
                <c:pt idx="437">
                  <c:v>1.953125E-3</c:v>
                </c:pt>
                <c:pt idx="438">
                  <c:v>1.953125E-3</c:v>
                </c:pt>
                <c:pt idx="439">
                  <c:v>1.953125E-3</c:v>
                </c:pt>
                <c:pt idx="440">
                  <c:v>1.953125E-3</c:v>
                </c:pt>
                <c:pt idx="441">
                  <c:v>1.953125E-3</c:v>
                </c:pt>
                <c:pt idx="442">
                  <c:v>1.953125E-3</c:v>
                </c:pt>
                <c:pt idx="443">
                  <c:v>1.953125E-3</c:v>
                </c:pt>
                <c:pt idx="444">
                  <c:v>1.953125E-3</c:v>
                </c:pt>
                <c:pt idx="445">
                  <c:v>1.953125E-3</c:v>
                </c:pt>
                <c:pt idx="446">
                  <c:v>1.953125E-3</c:v>
                </c:pt>
                <c:pt idx="447">
                  <c:v>1.953125E-3</c:v>
                </c:pt>
                <c:pt idx="448">
                  <c:v>1.953125E-3</c:v>
                </c:pt>
                <c:pt idx="449">
                  <c:v>1.953125E-3</c:v>
                </c:pt>
                <c:pt idx="450">
                  <c:v>1.953125E-3</c:v>
                </c:pt>
                <c:pt idx="451">
                  <c:v>1.953125E-3</c:v>
                </c:pt>
                <c:pt idx="452">
                  <c:v>1.953125E-3</c:v>
                </c:pt>
                <c:pt idx="453">
                  <c:v>1.953125E-3</c:v>
                </c:pt>
                <c:pt idx="454">
                  <c:v>1.953125E-3</c:v>
                </c:pt>
                <c:pt idx="455">
                  <c:v>1.953125E-3</c:v>
                </c:pt>
                <c:pt idx="456">
                  <c:v>1.953125E-3</c:v>
                </c:pt>
                <c:pt idx="457">
                  <c:v>1.953125E-3</c:v>
                </c:pt>
                <c:pt idx="458">
                  <c:v>1.953125E-3</c:v>
                </c:pt>
                <c:pt idx="459">
                  <c:v>1.953125E-3</c:v>
                </c:pt>
                <c:pt idx="460">
                  <c:v>1.953125E-3</c:v>
                </c:pt>
                <c:pt idx="461">
                  <c:v>1.953125E-3</c:v>
                </c:pt>
                <c:pt idx="462">
                  <c:v>1.953125E-3</c:v>
                </c:pt>
                <c:pt idx="463">
                  <c:v>1.953125E-3</c:v>
                </c:pt>
                <c:pt idx="464">
                  <c:v>1.953125E-3</c:v>
                </c:pt>
                <c:pt idx="465">
                  <c:v>1.953125E-3</c:v>
                </c:pt>
                <c:pt idx="466">
                  <c:v>1.953125E-3</c:v>
                </c:pt>
                <c:pt idx="467">
                  <c:v>1.953125E-3</c:v>
                </c:pt>
                <c:pt idx="468">
                  <c:v>1.953125E-3</c:v>
                </c:pt>
                <c:pt idx="469">
                  <c:v>1.953125E-3</c:v>
                </c:pt>
                <c:pt idx="470">
                  <c:v>1.953125E-3</c:v>
                </c:pt>
                <c:pt idx="471">
                  <c:v>1.953125E-3</c:v>
                </c:pt>
                <c:pt idx="472">
                  <c:v>1.953125E-3</c:v>
                </c:pt>
                <c:pt idx="473">
                  <c:v>1.953125E-3</c:v>
                </c:pt>
                <c:pt idx="474">
                  <c:v>1.953125E-3</c:v>
                </c:pt>
                <c:pt idx="475">
                  <c:v>1.953125E-3</c:v>
                </c:pt>
                <c:pt idx="476">
                  <c:v>1.953125E-3</c:v>
                </c:pt>
                <c:pt idx="477">
                  <c:v>1.953125E-3</c:v>
                </c:pt>
                <c:pt idx="478">
                  <c:v>1.953125E-3</c:v>
                </c:pt>
                <c:pt idx="479">
                  <c:v>1.953125E-3</c:v>
                </c:pt>
                <c:pt idx="480">
                  <c:v>1.953125E-3</c:v>
                </c:pt>
                <c:pt idx="481">
                  <c:v>1.953125E-3</c:v>
                </c:pt>
                <c:pt idx="482">
                  <c:v>1.953125E-3</c:v>
                </c:pt>
                <c:pt idx="483">
                  <c:v>1.953125E-3</c:v>
                </c:pt>
                <c:pt idx="484">
                  <c:v>1.953125E-3</c:v>
                </c:pt>
                <c:pt idx="485">
                  <c:v>1.953125E-3</c:v>
                </c:pt>
                <c:pt idx="486">
                  <c:v>1.9531306262630423E-3</c:v>
                </c:pt>
                <c:pt idx="487">
                  <c:v>1.9534965351588099E-3</c:v>
                </c:pt>
                <c:pt idx="488">
                  <c:v>1.9550715575983122E-3</c:v>
                </c:pt>
                <c:pt idx="489">
                  <c:v>1.9586410418110708E-3</c:v>
                </c:pt>
                <c:pt idx="490">
                  <c:v>1.9648793624058251E-3</c:v>
                </c:pt>
                <c:pt idx="491">
                  <c:v>1.9743549320405548E-3</c:v>
                </c:pt>
                <c:pt idx="492">
                  <c:v>1.9875352130925088E-3</c:v>
                </c:pt>
                <c:pt idx="493">
                  <c:v>2.0047917293282307E-3</c:v>
                </c:pt>
                <c:pt idx="494">
                  <c:v>2.0264050775735849E-3</c:v>
                </c:pt>
                <c:pt idx="495">
                  <c:v>2.0525699393837832E-3</c:v>
                </c:pt>
                <c:pt idx="496">
                  <c:v>2.0834000927134107E-3</c:v>
                </c:pt>
                <c:pt idx="497">
                  <c:v>2.118933423586454E-3</c:v>
                </c:pt>
                <c:pt idx="498">
                  <c:v>2.159136937766325E-3</c:v>
                </c:pt>
                <c:pt idx="499">
                  <c:v>2.2039117724258882E-3</c:v>
                </c:pt>
                <c:pt idx="500">
                  <c:v>2.2530982078174887E-3</c:v>
                </c:pt>
                <c:pt idx="501">
                  <c:v>2.3064806789429761E-3</c:v>
                </c:pt>
                <c:pt idx="502">
                  <c:v>2.3637927872237315E-3</c:v>
                </c:pt>
                <c:pt idx="503">
                  <c:v>2.4247223121706954E-3</c:v>
                </c:pt>
                <c:pt idx="504">
                  <c:v>2.4889162230543917E-3</c:v>
                </c:pt>
                <c:pt idx="505">
                  <c:v>2.5559856905749568E-3</c:v>
                </c:pt>
                <c:pt idx="506">
                  <c:v>2.6255110985321634E-3</c:v>
                </c:pt>
                <c:pt idx="507">
                  <c:v>2.6970470554954478E-3</c:v>
                </c:pt>
                <c:pt idx="508">
                  <c:v>2.7701274064739359E-3</c:v>
                </c:pt>
                <c:pt idx="509">
                  <c:v>2.844270244586472E-3</c:v>
                </c:pt>
                <c:pt idx="510">
                  <c:v>2.9189829227316416E-3</c:v>
                </c:pt>
                <c:pt idx="511">
                  <c:v>2.9937670652577988E-3</c:v>
                </c:pt>
                <c:pt idx="512">
                  <c:v>3.0681235796330949E-3</c:v>
                </c:pt>
                <c:pt idx="513">
                  <c:v>3.1415578099364952E-3</c:v>
                </c:pt>
                <c:pt idx="514">
                  <c:v>3.2137953130924961E-3</c:v>
                </c:pt>
                <c:pt idx="515">
                  <c:v>3.2851665020490767E-3</c:v>
                </c:pt>
                <c:pt idx="516">
                  <c:v>3.3560361217461533E-3</c:v>
                </c:pt>
                <c:pt idx="517">
                  <c:v>3.4270233249368426E-3</c:v>
                </c:pt>
                <c:pt idx="518">
                  <c:v>3.4991697531081977E-3</c:v>
                </c:pt>
                <c:pt idx="519">
                  <c:v>3.5733883952228625E-3</c:v>
                </c:pt>
                <c:pt idx="520">
                  <c:v>3.6504234997411259E-3</c:v>
                </c:pt>
                <c:pt idx="521">
                  <c:v>3.730865609630994E-3</c:v>
                </c:pt>
                <c:pt idx="522">
                  <c:v>3.8151665973782728E-3</c:v>
                </c:pt>
                <c:pt idx="523">
                  <c:v>3.9036547122488115E-3</c:v>
                </c:pt>
                <c:pt idx="524">
                  <c:v>3.9967321097084335E-3</c:v>
                </c:pt>
                <c:pt idx="525">
                  <c:v>4.095308921267346E-3</c:v>
                </c:pt>
                <c:pt idx="526">
                  <c:v>4.200250276302519E-3</c:v>
                </c:pt>
                <c:pt idx="527">
                  <c:v>4.3122454201021823E-3</c:v>
                </c:pt>
                <c:pt idx="528">
                  <c:v>4.431827760545932E-3</c:v>
                </c:pt>
                <c:pt idx="529">
                  <c:v>4.5594136272053181E-3</c:v>
                </c:pt>
                <c:pt idx="530">
                  <c:v>4.6957498529430529E-3</c:v>
                </c:pt>
                <c:pt idx="531">
                  <c:v>4.8418818339192125E-3</c:v>
                </c:pt>
                <c:pt idx="532">
                  <c:v>4.998687288030464E-3</c:v>
                </c:pt>
                <c:pt idx="533">
                  <c:v>5.1668781602057243E-3</c:v>
                </c:pt>
                <c:pt idx="534">
                  <c:v>5.3470256807562977E-3</c:v>
                </c:pt>
                <c:pt idx="535">
                  <c:v>5.5395754441830529E-3</c:v>
                </c:pt>
                <c:pt idx="536">
                  <c:v>5.7444557860678392E-3</c:v>
                </c:pt>
                <c:pt idx="537">
                  <c:v>5.960891555743939E-3</c:v>
                </c:pt>
                <c:pt idx="538">
                  <c:v>6.1880271391347328E-3</c:v>
                </c:pt>
                <c:pt idx="539">
                  <c:v>6.4254637720846247E-3</c:v>
                </c:pt>
                <c:pt idx="540">
                  <c:v>6.6727704213695631E-3</c:v>
                </c:pt>
                <c:pt idx="541">
                  <c:v>6.9292932148852472E-3</c:v>
                </c:pt>
                <c:pt idx="542">
                  <c:v>7.1941804193600195E-3</c:v>
                </c:pt>
                <c:pt idx="543">
                  <c:v>7.4664074987050265E-3</c:v>
                </c:pt>
                <c:pt idx="544">
                  <c:v>7.7448859711679845E-3</c:v>
                </c:pt>
                <c:pt idx="545">
                  <c:v>8.0294333709472095E-3</c:v>
                </c:pt>
                <c:pt idx="546">
                  <c:v>8.3203680400421708E-3</c:v>
                </c:pt>
                <c:pt idx="547">
                  <c:v>8.6177286212163664E-3</c:v>
                </c:pt>
                <c:pt idx="548">
                  <c:v>8.9212872745438321E-3</c:v>
                </c:pt>
                <c:pt idx="549">
                  <c:v>9.2305849436358275E-3</c:v>
                </c:pt>
                <c:pt idx="550">
                  <c:v>9.545182016681213E-3</c:v>
                </c:pt>
                <c:pt idx="551">
                  <c:v>9.8650659053068999E-3</c:v>
                </c:pt>
                <c:pt idx="552">
                  <c:v>1.0190104170457315E-2</c:v>
                </c:pt>
                <c:pt idx="553">
                  <c:v>1.0519961362950454E-2</c:v>
                </c:pt>
                <c:pt idx="554">
                  <c:v>1.0854350121936317E-2</c:v>
                </c:pt>
                <c:pt idx="555">
                  <c:v>1.1193450546097434E-2</c:v>
                </c:pt>
                <c:pt idx="556">
                  <c:v>1.1537369603713066E-2</c:v>
                </c:pt>
                <c:pt idx="557">
                  <c:v>1.1886109484038159E-2</c:v>
                </c:pt>
                <c:pt idx="558">
                  <c:v>1.2240105221079468E-2</c:v>
                </c:pt>
                <c:pt idx="559">
                  <c:v>1.2599988720247351E-2</c:v>
                </c:pt>
                <c:pt idx="560">
                  <c:v>1.2966294435059963E-2</c:v>
                </c:pt>
                <c:pt idx="561">
                  <c:v>1.3339966945718826E-2</c:v>
                </c:pt>
                <c:pt idx="562">
                  <c:v>1.3722251074445815E-2</c:v>
                </c:pt>
                <c:pt idx="563">
                  <c:v>1.4114039791354329E-2</c:v>
                </c:pt>
                <c:pt idx="564">
                  <c:v>1.4515464023512073E-2</c:v>
                </c:pt>
                <c:pt idx="565">
                  <c:v>1.4926432970883011E-2</c:v>
                </c:pt>
                <c:pt idx="566">
                  <c:v>1.5346370729753221E-2</c:v>
                </c:pt>
                <c:pt idx="567">
                  <c:v>1.577404206100565E-2</c:v>
                </c:pt>
                <c:pt idx="568">
                  <c:v>1.6208076929998962E-2</c:v>
                </c:pt>
                <c:pt idx="569">
                  <c:v>1.6647054833483395E-2</c:v>
                </c:pt>
                <c:pt idx="570">
                  <c:v>1.7089673868957572E-2</c:v>
                </c:pt>
                <c:pt idx="571">
                  <c:v>1.7535693526617074E-2</c:v>
                </c:pt>
                <c:pt idx="572">
                  <c:v>1.7985741371849905E-2</c:v>
                </c:pt>
                <c:pt idx="573">
                  <c:v>1.8440932432398211E-2</c:v>
                </c:pt>
                <c:pt idx="574">
                  <c:v>1.890274610658417E-2</c:v>
                </c:pt>
                <c:pt idx="575">
                  <c:v>1.9372642420245195E-2</c:v>
                </c:pt>
                <c:pt idx="576">
                  <c:v>1.9851687826712087E-2</c:v>
                </c:pt>
                <c:pt idx="577">
                  <c:v>2.0340737414377266E-2</c:v>
                </c:pt>
                <c:pt idx="578">
                  <c:v>2.0840954390113908E-2</c:v>
                </c:pt>
                <c:pt idx="579">
                  <c:v>2.1352869640632592E-2</c:v>
                </c:pt>
                <c:pt idx="580">
                  <c:v>2.1876586283478081E-2</c:v>
                </c:pt>
                <c:pt idx="581">
                  <c:v>2.2412348660732939E-2</c:v>
                </c:pt>
                <c:pt idx="582">
                  <c:v>2.2960131292176927E-2</c:v>
                </c:pt>
                <c:pt idx="583">
                  <c:v>2.3520159132876584E-2</c:v>
                </c:pt>
                <c:pt idx="584">
                  <c:v>2.4092693582269533E-2</c:v>
                </c:pt>
                <c:pt idx="585">
                  <c:v>2.4677734450749028E-2</c:v>
                </c:pt>
                <c:pt idx="586">
                  <c:v>2.5275101055918663E-2</c:v>
                </c:pt>
                <c:pt idx="587">
                  <c:v>2.5884734280896507E-2</c:v>
                </c:pt>
                <c:pt idx="588">
                  <c:v>2.650624669557422E-2</c:v>
                </c:pt>
                <c:pt idx="589">
                  <c:v>2.7138907631576968E-2</c:v>
                </c:pt>
                <c:pt idx="590">
                  <c:v>2.7781851942096505E-2</c:v>
                </c:pt>
                <c:pt idx="591">
                  <c:v>2.8434155177310752E-2</c:v>
                </c:pt>
                <c:pt idx="592">
                  <c:v>2.9095011142381125E-2</c:v>
                </c:pt>
                <c:pt idx="593">
                  <c:v>2.976519965999893E-2</c:v>
                </c:pt>
                <c:pt idx="594">
                  <c:v>3.0446076564362226E-2</c:v>
                </c:pt>
                <c:pt idx="595">
                  <c:v>3.1138039884979721E-2</c:v>
                </c:pt>
                <c:pt idx="596">
                  <c:v>3.1841087321368186E-2</c:v>
                </c:pt>
                <c:pt idx="597">
                  <c:v>3.2554914404525445E-2</c:v>
                </c:pt>
                <c:pt idx="598">
                  <c:v>3.3278998887140643E-2</c:v>
                </c:pt>
                <c:pt idx="599">
                  <c:v>3.4012414104286154E-2</c:v>
                </c:pt>
                <c:pt idx="600">
                  <c:v>3.4753583182308465E-2</c:v>
                </c:pt>
                <c:pt idx="601">
                  <c:v>3.5501820493288122E-2</c:v>
                </c:pt>
                <c:pt idx="602">
                  <c:v>3.6256944988970669E-2</c:v>
                </c:pt>
                <c:pt idx="603">
                  <c:v>3.7018366497931242E-2</c:v>
                </c:pt>
                <c:pt idx="604">
                  <c:v>3.778491622580582E-2</c:v>
                </c:pt>
                <c:pt idx="605">
                  <c:v>3.8555815351112056E-2</c:v>
                </c:pt>
                <c:pt idx="606">
                  <c:v>3.9330247517792481E-2</c:v>
                </c:pt>
                <c:pt idx="607">
                  <c:v>4.010737007008229E-2</c:v>
                </c:pt>
                <c:pt idx="608">
                  <c:v>4.0887396013416066E-2</c:v>
                </c:pt>
                <c:pt idx="609">
                  <c:v>4.1670779498224834E-2</c:v>
                </c:pt>
                <c:pt idx="610">
                  <c:v>4.2457403288157093E-2</c:v>
                </c:pt>
                <c:pt idx="611">
                  <c:v>4.324752043679761E-2</c:v>
                </c:pt>
                <c:pt idx="612">
                  <c:v>4.4041582953205975E-2</c:v>
                </c:pt>
                <c:pt idx="613">
                  <c:v>4.4840410007414393E-2</c:v>
                </c:pt>
                <c:pt idx="614">
                  <c:v>4.5645638576937923E-2</c:v>
                </c:pt>
                <c:pt idx="615">
                  <c:v>4.6459110136795677E-2</c:v>
                </c:pt>
                <c:pt idx="616">
                  <c:v>4.7283251153163772E-2</c:v>
                </c:pt>
                <c:pt idx="617">
                  <c:v>4.8120888647171789E-2</c:v>
                </c:pt>
                <c:pt idx="618">
                  <c:v>4.8975633715622871E-2</c:v>
                </c:pt>
                <c:pt idx="619">
                  <c:v>4.9852071124740688E-2</c:v>
                </c:pt>
                <c:pt idx="620">
                  <c:v>5.075368272601679E-2</c:v>
                </c:pt>
                <c:pt idx="621">
                  <c:v>5.1683022678568794E-2</c:v>
                </c:pt>
                <c:pt idx="622">
                  <c:v>5.2642788708885252E-2</c:v>
                </c:pt>
                <c:pt idx="623">
                  <c:v>5.3634907840059011E-2</c:v>
                </c:pt>
                <c:pt idx="624">
                  <c:v>5.4661271229262828E-2</c:v>
                </c:pt>
                <c:pt idx="625">
                  <c:v>5.572381398709899E-2</c:v>
                </c:pt>
                <c:pt idx="626">
                  <c:v>5.6824637740408662E-2</c:v>
                </c:pt>
                <c:pt idx="627">
                  <c:v>5.7964556120044981E-2</c:v>
                </c:pt>
                <c:pt idx="628">
                  <c:v>5.9143399405767003E-2</c:v>
                </c:pt>
                <c:pt idx="629">
                  <c:v>6.036003054514931E-2</c:v>
                </c:pt>
                <c:pt idx="630">
                  <c:v>6.1613388558631861E-2</c:v>
                </c:pt>
                <c:pt idx="631">
                  <c:v>6.2902992588714068E-2</c:v>
                </c:pt>
                <c:pt idx="632">
                  <c:v>6.42277642686232E-2</c:v>
                </c:pt>
                <c:pt idx="633">
                  <c:v>6.5585894051960955E-2</c:v>
                </c:pt>
                <c:pt idx="634">
                  <c:v>6.6974943609436677E-2</c:v>
                </c:pt>
                <c:pt idx="635">
                  <c:v>6.8392271855003947E-2</c:v>
                </c:pt>
                <c:pt idx="636">
                  <c:v>6.9835472839182067E-2</c:v>
                </c:pt>
                <c:pt idx="637">
                  <c:v>7.1303225719199559E-2</c:v>
                </c:pt>
                <c:pt idx="638">
                  <c:v>7.2794894818122069E-2</c:v>
                </c:pt>
                <c:pt idx="639">
                  <c:v>7.4309350625892404E-2</c:v>
                </c:pt>
                <c:pt idx="640">
                  <c:v>7.5845436158328797E-2</c:v>
                </c:pt>
                <c:pt idx="641">
                  <c:v>7.7402410004327141E-2</c:v>
                </c:pt>
                <c:pt idx="642">
                  <c:v>7.897958179374831E-2</c:v>
                </c:pt>
                <c:pt idx="643">
                  <c:v>8.0575596686954659E-2</c:v>
                </c:pt>
                <c:pt idx="644">
                  <c:v>8.2189492579763754E-2</c:v>
                </c:pt>
                <c:pt idx="645">
                  <c:v>8.3820314623928388E-2</c:v>
                </c:pt>
                <c:pt idx="646">
                  <c:v>8.546661113263887E-2</c:v>
                </c:pt>
                <c:pt idx="647">
                  <c:v>8.7126935981102827E-2</c:v>
                </c:pt>
                <c:pt idx="648">
                  <c:v>8.8799812344480811E-2</c:v>
                </c:pt>
                <c:pt idx="649">
                  <c:v>9.0484328679660622E-2</c:v>
                </c:pt>
                <c:pt idx="650">
                  <c:v>9.217951712032843E-2</c:v>
                </c:pt>
                <c:pt idx="651">
                  <c:v>9.3884768259286211E-2</c:v>
                </c:pt>
                <c:pt idx="652">
                  <c:v>9.559981062250604E-2</c:v>
                </c:pt>
                <c:pt idx="653">
                  <c:v>9.732457992089652E-2</c:v>
                </c:pt>
                <c:pt idx="654">
                  <c:v>9.9059825077985539E-2</c:v>
                </c:pt>
                <c:pt idx="655">
                  <c:v>0.10080836015335796</c:v>
                </c:pt>
                <c:pt idx="656">
                  <c:v>0.10257353209425818</c:v>
                </c:pt>
                <c:pt idx="657">
                  <c:v>0.104358931031413</c:v>
                </c:pt>
                <c:pt idx="658">
                  <c:v>0.10616889537601007</c:v>
                </c:pt>
                <c:pt idx="659">
                  <c:v>0.10800795755492261</c:v>
                </c:pt>
                <c:pt idx="660">
                  <c:v>0.1098806808240536</c:v>
                </c:pt>
                <c:pt idx="661">
                  <c:v>0.11179204201274033</c:v>
                </c:pt>
                <c:pt idx="662">
                  <c:v>0.11374723857593222</c:v>
                </c:pt>
                <c:pt idx="663">
                  <c:v>0.11575133370106669</c:v>
                </c:pt>
                <c:pt idx="664">
                  <c:v>0.11780945726173285</c:v>
                </c:pt>
                <c:pt idx="665">
                  <c:v>0.1199257965292931</c:v>
                </c:pt>
                <c:pt idx="666">
                  <c:v>0.12210300720956779</c:v>
                </c:pt>
                <c:pt idx="667">
                  <c:v>0.12434213651132976</c:v>
                </c:pt>
                <c:pt idx="668">
                  <c:v>0.12664274989882296</c:v>
                </c:pt>
                <c:pt idx="669">
                  <c:v>0.12900549860661961</c:v>
                </c:pt>
                <c:pt idx="670">
                  <c:v>0.13143227842100194</c:v>
                </c:pt>
                <c:pt idx="671">
                  <c:v>0.13392492251318283</c:v>
                </c:pt>
                <c:pt idx="672">
                  <c:v>0.13648443690139647</c:v>
                </c:pt>
                <c:pt idx="673">
                  <c:v>0.13911162173951525</c:v>
                </c:pt>
                <c:pt idx="674">
                  <c:v>0.14180673042913675</c:v>
                </c:pt>
                <c:pt idx="675">
                  <c:v>0.14456931892335501</c:v>
                </c:pt>
                <c:pt idx="676">
                  <c:v>0.14739978311859323</c:v>
                </c:pt>
                <c:pt idx="677">
                  <c:v>0.15029914499907732</c:v>
                </c:pt>
                <c:pt idx="678">
                  <c:v>0.15326777096569774</c:v>
                </c:pt>
                <c:pt idx="679">
                  <c:v>0.15630675524924384</c:v>
                </c:pt>
                <c:pt idx="680">
                  <c:v>0.1594173947942634</c:v>
                </c:pt>
                <c:pt idx="681">
                  <c:v>0.16260103601796819</c:v>
                </c:pt>
                <c:pt idx="682">
                  <c:v>0.16585799873329937</c:v>
                </c:pt>
                <c:pt idx="683">
                  <c:v>0.16918758219303306</c:v>
                </c:pt>
                <c:pt idx="684">
                  <c:v>0.17258862710626896</c:v>
                </c:pt>
                <c:pt idx="685">
                  <c:v>0.17605891095498696</c:v>
                </c:pt>
                <c:pt idx="686">
                  <c:v>0.17959420081996449</c:v>
                </c:pt>
                <c:pt idx="687">
                  <c:v>0.18318947021078444</c:v>
                </c:pt>
                <c:pt idx="688">
                  <c:v>0.18684059807841044</c:v>
                </c:pt>
                <c:pt idx="689">
                  <c:v>0.19054417378242841</c:v>
                </c:pt>
                <c:pt idx="690">
                  <c:v>0.19429717896431281</c:v>
                </c:pt>
                <c:pt idx="691">
                  <c:v>0.19809577226322314</c:v>
                </c:pt>
                <c:pt idx="692">
                  <c:v>0.20193620197959866</c:v>
                </c:pt>
                <c:pt idx="693">
                  <c:v>0.20581480074114458</c:v>
                </c:pt>
                <c:pt idx="694">
                  <c:v>0.2097285614866912</c:v>
                </c:pt>
                <c:pt idx="695">
                  <c:v>0.21367600936796705</c:v>
                </c:pt>
                <c:pt idx="696">
                  <c:v>0.2176567883961871</c:v>
                </c:pt>
                <c:pt idx="697">
                  <c:v>0.22167186174145151</c:v>
                </c:pt>
                <c:pt idx="698">
                  <c:v>0.22572489934466786</c:v>
                </c:pt>
                <c:pt idx="699">
                  <c:v>0.22982187668986909</c:v>
                </c:pt>
                <c:pt idx="700">
                  <c:v>0.23396824020843004</c:v>
                </c:pt>
                <c:pt idx="701">
                  <c:v>0.23816884493664162</c:v>
                </c:pt>
                <c:pt idx="702">
                  <c:v>0.24242893649238997</c:v>
                </c:pt>
                <c:pt idx="703">
                  <c:v>0.24675495925487165</c:v>
                </c:pt>
                <c:pt idx="704">
                  <c:v>0.251150893884519</c:v>
                </c:pt>
                <c:pt idx="705">
                  <c:v>0.25561897769671288</c:v>
                </c:pt>
                <c:pt idx="706">
                  <c:v>0.26016080172600387</c:v>
                </c:pt>
                <c:pt idx="707">
                  <c:v>0.26477771547245094</c:v>
                </c:pt>
                <c:pt idx="708">
                  <c:v>0.26947092043151322</c:v>
                </c:pt>
                <c:pt idx="709">
                  <c:v>0.27424096262945596</c:v>
                </c:pt>
                <c:pt idx="710">
                  <c:v>0.27908715198608941</c:v>
                </c:pt>
                <c:pt idx="711">
                  <c:v>0.28400709597598534</c:v>
                </c:pt>
                <c:pt idx="712">
                  <c:v>0.28899702314497366</c:v>
                </c:pt>
                <c:pt idx="713">
                  <c:v>0.29405328846789314</c:v>
                </c:pt>
                <c:pt idx="714">
                  <c:v>0.29917229349641339</c:v>
                </c:pt>
                <c:pt idx="715">
                  <c:v>0.30435147110585392</c:v>
                </c:pt>
                <c:pt idx="716">
                  <c:v>0.30958971921587336</c:v>
                </c:pt>
                <c:pt idx="717">
                  <c:v>0.31488674319570248</c:v>
                </c:pt>
                <c:pt idx="718">
                  <c:v>0.3202426301312456</c:v>
                </c:pt>
                <c:pt idx="719">
                  <c:v>0.32565863478611062</c:v>
                </c:pt>
                <c:pt idx="720">
                  <c:v>0.33113657337024321</c:v>
                </c:pt>
                <c:pt idx="721">
                  <c:v>0.33667773175316112</c:v>
                </c:pt>
                <c:pt idx="722">
                  <c:v>0.34227987496083045</c:v>
                </c:pt>
                <c:pt idx="723">
                  <c:v>0.34793879248920007</c:v>
                </c:pt>
                <c:pt idx="724">
                  <c:v>0.3536490358204466</c:v>
                </c:pt>
                <c:pt idx="725">
                  <c:v>0.3594036087416243</c:v>
                </c:pt>
                <c:pt idx="726">
                  <c:v>0.36519630340772136</c:v>
                </c:pt>
                <c:pt idx="727">
                  <c:v>0.37102145158189903</c:v>
                </c:pt>
                <c:pt idx="728">
                  <c:v>0.37687131591678591</c:v>
                </c:pt>
                <c:pt idx="729">
                  <c:v>0.38273697904536602</c:v>
                </c:pt>
                <c:pt idx="730">
                  <c:v>0.38861121311342578</c:v>
                </c:pt>
                <c:pt idx="731">
                  <c:v>0.39448926537228252</c:v>
                </c:pt>
                <c:pt idx="732">
                  <c:v>0.40036733268409036</c:v>
                </c:pt>
                <c:pt idx="733">
                  <c:v>0.40624172245544243</c:v>
                </c:pt>
                <c:pt idx="734">
                  <c:v>0.41210932118466664</c:v>
                </c:pt>
                <c:pt idx="735">
                  <c:v>0.41796855850103776</c:v>
                </c:pt>
                <c:pt idx="736">
                  <c:v>0.42381988157113837</c:v>
                </c:pt>
                <c:pt idx="737">
                  <c:v>0.4296657557911</c:v>
                </c:pt>
                <c:pt idx="738">
                  <c:v>0.43551015350597738</c:v>
                </c:pt>
                <c:pt idx="739">
                  <c:v>0.44135722491659179</c:v>
                </c:pt>
                <c:pt idx="740">
                  <c:v>0.44721145398162393</c:v>
                </c:pt>
                <c:pt idx="741">
                  <c:v>0.45307594609111379</c:v>
                </c:pt>
                <c:pt idx="742">
                  <c:v>0.45895406591147808</c:v>
                </c:pt>
                <c:pt idx="743">
                  <c:v>0.46484967079450579</c:v>
                </c:pt>
                <c:pt idx="744">
                  <c:v>0.47076514430608202</c:v>
                </c:pt>
                <c:pt idx="745">
                  <c:v>0.47670407367435091</c:v>
                </c:pt>
                <c:pt idx="746">
                  <c:v>0.48267123736917505</c:v>
                </c:pt>
                <c:pt idx="747">
                  <c:v>0.48867082344550411</c:v>
                </c:pt>
                <c:pt idx="748">
                  <c:v>0.49470416910210346</c:v>
                </c:pt>
                <c:pt idx="749">
                  <c:v>0.50077076348951621</c:v>
                </c:pt>
                <c:pt idx="750">
                  <c:v>0.50686954400920914</c:v>
                </c:pt>
                <c:pt idx="751">
                  <c:v>0.51299709129099791</c:v>
                </c:pt>
                <c:pt idx="752">
                  <c:v>0.51914689904941935</c:v>
                </c:pt>
                <c:pt idx="753">
                  <c:v>0.52531248344654013</c:v>
                </c:pt>
                <c:pt idx="754">
                  <c:v>0.5314872733428383</c:v>
                </c:pt>
                <c:pt idx="755">
                  <c:v>0.53766479375280962</c:v>
                </c:pt>
                <c:pt idx="756">
                  <c:v>0.54383809192110588</c:v>
                </c:pt>
                <c:pt idx="757">
                  <c:v>0.54999897161432709</c:v>
                </c:pt>
                <c:pt idx="758">
                  <c:v>0.5561387427142569</c:v>
                </c:pt>
                <c:pt idx="759">
                  <c:v>0.56224872384406055</c:v>
                </c:pt>
                <c:pt idx="760">
                  <c:v>0.56832129931970676</c:v>
                </c:pt>
                <c:pt idx="761">
                  <c:v>0.57434927005535685</c:v>
                </c:pt>
                <c:pt idx="762">
                  <c:v>0.58032446427865625</c:v>
                </c:pt>
                <c:pt idx="763">
                  <c:v>0.58623968239783408</c:v>
                </c:pt>
                <c:pt idx="764">
                  <c:v>0.59208987292928028</c:v>
                </c:pt>
                <c:pt idx="765">
                  <c:v>0.59787132315480485</c:v>
                </c:pt>
                <c:pt idx="766">
                  <c:v>0.60358167652004746</c:v>
                </c:pt>
                <c:pt idx="767">
                  <c:v>0.60921822526740643</c:v>
                </c:pt>
                <c:pt idx="768">
                  <c:v>0.61477610670993099</c:v>
                </c:pt>
                <c:pt idx="769">
                  <c:v>0.62024846987554316</c:v>
                </c:pt>
                <c:pt idx="770">
                  <c:v>0.62562906340507829</c:v>
                </c:pt>
                <c:pt idx="771">
                  <c:v>0.63091476902743582</c:v>
                </c:pt>
                <c:pt idx="772">
                  <c:v>0.63610559362478836</c:v>
                </c:pt>
                <c:pt idx="773">
                  <c:v>0.64120276733444459</c:v>
                </c:pt>
                <c:pt idx="774">
                  <c:v>0.64620940312385389</c:v>
                </c:pt>
                <c:pt idx="775">
                  <c:v>0.65112964198052559</c:v>
                </c:pt>
                <c:pt idx="776">
                  <c:v>0.65596883963943731</c:v>
                </c:pt>
                <c:pt idx="777">
                  <c:v>0.66073352475953473</c:v>
                </c:pt>
                <c:pt idx="778">
                  <c:v>0.66543153449524761</c:v>
                </c:pt>
                <c:pt idx="779">
                  <c:v>0.67006915839849124</c:v>
                </c:pt>
                <c:pt idx="780">
                  <c:v>0.67465063837993411</c:v>
                </c:pt>
                <c:pt idx="781">
                  <c:v>0.67918139611852157</c:v>
                </c:pt>
                <c:pt idx="782">
                  <c:v>0.68366843515319475</c:v>
                </c:pt>
                <c:pt idx="783">
                  <c:v>0.68811789100431342</c:v>
                </c:pt>
                <c:pt idx="784">
                  <c:v>0.69253550783336337</c:v>
                </c:pt>
                <c:pt idx="785">
                  <c:v>0.6969270859741048</c:v>
                </c:pt>
                <c:pt idx="786">
                  <c:v>0.70129721957619995</c:v>
                </c:pt>
                <c:pt idx="787">
                  <c:v>0.70565103607539437</c:v>
                </c:pt>
                <c:pt idx="788">
                  <c:v>0.70999453049180439</c:v>
                </c:pt>
                <c:pt idx="789">
                  <c:v>0.71433235153262598</c:v>
                </c:pt>
                <c:pt idx="790">
                  <c:v>0.71866800629392291</c:v>
                </c:pt>
                <c:pt idx="791">
                  <c:v>0.72300406255407001</c:v>
                </c:pt>
                <c:pt idx="792">
                  <c:v>0.72734322220771663</c:v>
                </c:pt>
                <c:pt idx="793">
                  <c:v>0.73168863489582281</c:v>
                </c:pt>
                <c:pt idx="794">
                  <c:v>0.73604136629743755</c:v>
                </c:pt>
                <c:pt idx="795">
                  <c:v>0.74040039017820281</c:v>
                </c:pt>
                <c:pt idx="796">
                  <c:v>0.74476081065062782</c:v>
                </c:pt>
                <c:pt idx="797">
                  <c:v>0.749115216388622</c:v>
                </c:pt>
                <c:pt idx="798">
                  <c:v>0.75345483608931063</c:v>
                </c:pt>
                <c:pt idx="799">
                  <c:v>0.75776964942478409</c:v>
                </c:pt>
                <c:pt idx="800">
                  <c:v>0.76204975118652263</c:v>
                </c:pt>
                <c:pt idx="801">
                  <c:v>0.76628498539454248</c:v>
                </c:pt>
                <c:pt idx="802">
                  <c:v>0.77046564872413359</c:v>
                </c:pt>
                <c:pt idx="803">
                  <c:v>0.77458333386169909</c:v>
                </c:pt>
                <c:pt idx="804">
                  <c:v>0.77862963624014792</c:v>
                </c:pt>
                <c:pt idx="805">
                  <c:v>0.78259698790454379</c:v>
                </c:pt>
                <c:pt idx="806">
                  <c:v>0.7864803598999035</c:v>
                </c:pt>
                <c:pt idx="807">
                  <c:v>0.790275691603474</c:v>
                </c:pt>
                <c:pt idx="808">
                  <c:v>0.79398153695440488</c:v>
                </c:pt>
                <c:pt idx="809">
                  <c:v>0.7975986079277384</c:v>
                </c:pt>
                <c:pt idx="810">
                  <c:v>0.80112978580478056</c:v>
                </c:pt>
                <c:pt idx="811">
                  <c:v>0.80457977428519134</c:v>
                </c:pt>
                <c:pt idx="812">
                  <c:v>0.80795390143075629</c:v>
                </c:pt>
                <c:pt idx="813">
                  <c:v>0.8112560852830718</c:v>
                </c:pt>
                <c:pt idx="814">
                  <c:v>0.81448927090579692</c:v>
                </c:pt>
                <c:pt idx="815">
                  <c:v>0.8176570509872636</c:v>
                </c:pt>
                <c:pt idx="816">
                  <c:v>0.82076441243563836</c:v>
                </c:pt>
                <c:pt idx="817">
                  <c:v>0.82381802424729611</c:v>
                </c:pt>
                <c:pt idx="818">
                  <c:v>0.82682543012509568</c:v>
                </c:pt>
                <c:pt idx="819">
                  <c:v>0.82979339454366341</c:v>
                </c:pt>
                <c:pt idx="820">
                  <c:v>0.83272794571492792</c:v>
                </c:pt>
                <c:pt idx="821">
                  <c:v>0.83563381353613642</c:v>
                </c:pt>
                <c:pt idx="822">
                  <c:v>0.83851607248312376</c:v>
                </c:pt>
                <c:pt idx="823">
                  <c:v>0.84137861390113611</c:v>
                </c:pt>
                <c:pt idx="824">
                  <c:v>0.84422356916460894</c:v>
                </c:pt>
                <c:pt idx="825">
                  <c:v>0.84705351271767382</c:v>
                </c:pt>
                <c:pt idx="826">
                  <c:v>0.8498713162973679</c:v>
                </c:pt>
                <c:pt idx="827">
                  <c:v>0.85268137969864377</c:v>
                </c:pt>
                <c:pt idx="828">
                  <c:v>0.85548947279821053</c:v>
                </c:pt>
                <c:pt idx="829">
                  <c:v>0.85830088881950262</c:v>
                </c:pt>
                <c:pt idx="830">
                  <c:v>0.86111856442241452</c:v>
                </c:pt>
                <c:pt idx="831">
                  <c:v>0.86394380926747438</c:v>
                </c:pt>
                <c:pt idx="832">
                  <c:v>0.86677850490147801</c:v>
                </c:pt>
                <c:pt idx="833">
                  <c:v>0.86962450859034912</c:v>
                </c:pt>
                <c:pt idx="834">
                  <c:v>0.87248231383895247</c:v>
                </c:pt>
                <c:pt idx="835">
                  <c:v>0.87535074950792313</c:v>
                </c:pt>
                <c:pt idx="836">
                  <c:v>0.87822541931813802</c:v>
                </c:pt>
                <c:pt idx="837">
                  <c:v>0.88109957864950528</c:v>
                </c:pt>
                <c:pt idx="838">
                  <c:v>0.88396679790154786</c:v>
                </c:pt>
                <c:pt idx="839">
                  <c:v>0.88682153140000752</c:v>
                </c:pt>
                <c:pt idx="840">
                  <c:v>0.88965774758152383</c:v>
                </c:pt>
                <c:pt idx="841">
                  <c:v>0.89246764855764016</c:v>
                </c:pt>
                <c:pt idx="842">
                  <c:v>0.8952425858983778</c:v>
                </c:pt>
                <c:pt idx="843">
                  <c:v>0.89797304662544475</c:v>
                </c:pt>
                <c:pt idx="844">
                  <c:v>0.90064855102702535</c:v>
                </c:pt>
                <c:pt idx="845">
                  <c:v>0.90325923477744019</c:v>
                </c:pt>
                <c:pt idx="846">
                  <c:v>0.9057965904940829</c:v>
                </c:pt>
                <c:pt idx="847">
                  <c:v>0.90825373004161392</c:v>
                </c:pt>
                <c:pt idx="848">
                  <c:v>0.91062607193525857</c:v>
                </c:pt>
                <c:pt idx="849">
                  <c:v>0.91291102355838394</c:v>
                </c:pt>
                <c:pt idx="850">
                  <c:v>0.91510860526597471</c:v>
                </c:pt>
                <c:pt idx="851">
                  <c:v>0.91722019494240892</c:v>
                </c:pt>
                <c:pt idx="852">
                  <c:v>0.91924793827029028</c:v>
                </c:pt>
                <c:pt idx="853">
                  <c:v>0.92119431006908925</c:v>
                </c:pt>
                <c:pt idx="854">
                  <c:v>0.92306186948581748</c:v>
                </c:pt>
                <c:pt idx="855">
                  <c:v>0.92485293052541939</c:v>
                </c:pt>
                <c:pt idx="856">
                  <c:v>0.92657059181371582</c:v>
                </c:pt>
                <c:pt idx="857">
                  <c:v>0.92821801382841473</c:v>
                </c:pt>
                <c:pt idx="858">
                  <c:v>0.9297982333530509</c:v>
                </c:pt>
                <c:pt idx="859">
                  <c:v>0.93131465422786019</c:v>
                </c:pt>
                <c:pt idx="860">
                  <c:v>0.93277056813964976</c:v>
                </c:pt>
                <c:pt idx="861">
                  <c:v>0.93416898034973572</c:v>
                </c:pt>
                <c:pt idx="862">
                  <c:v>0.93551358625156822</c:v>
                </c:pt>
                <c:pt idx="863">
                  <c:v>0.93680870430338814</c:v>
                </c:pt>
                <c:pt idx="864">
                  <c:v>0.93805785630771965</c:v>
                </c:pt>
                <c:pt idx="865">
                  <c:v>0.93926380470105408</c:v>
                </c:pt>
                <c:pt idx="866">
                  <c:v>0.940428251366343</c:v>
                </c:pt>
                <c:pt idx="867">
                  <c:v>0.94155260954807873</c:v>
                </c:pt>
                <c:pt idx="868">
                  <c:v>0.94263899365727422</c:v>
                </c:pt>
                <c:pt idx="869">
                  <c:v>0.94369113226519297</c:v>
                </c:pt>
                <c:pt idx="870">
                  <c:v>0.94471407203194824</c:v>
                </c:pt>
                <c:pt idx="871">
                  <c:v>0.9457131594543795</c:v>
                </c:pt>
                <c:pt idx="872">
                  <c:v>0.94669440374546876</c:v>
                </c:pt>
                <c:pt idx="873">
                  <c:v>0.94766462658111417</c:v>
                </c:pt>
                <c:pt idx="874">
                  <c:v>0.94862986998172516</c:v>
                </c:pt>
                <c:pt idx="875">
                  <c:v>0.94959550962298767</c:v>
                </c:pt>
                <c:pt idx="876">
                  <c:v>0.95056378646334394</c:v>
                </c:pt>
                <c:pt idx="877">
                  <c:v>0.95153378389159426</c:v>
                </c:pt>
                <c:pt idx="878">
                  <c:v>0.95250411244586131</c:v>
                </c:pt>
                <c:pt idx="879">
                  <c:v>0.95347382752630838</c:v>
                </c:pt>
                <c:pt idx="880">
                  <c:v>0.95444252032960186</c:v>
                </c:pt>
                <c:pt idx="881">
                  <c:v>0.95541004362125659</c:v>
                </c:pt>
                <c:pt idx="882">
                  <c:v>0.95637529598628246</c:v>
                </c:pt>
                <c:pt idx="883">
                  <c:v>0.95733645187476613</c:v>
                </c:pt>
                <c:pt idx="884">
                  <c:v>0.95829179888792482</c:v>
                </c:pt>
                <c:pt idx="885">
                  <c:v>0.95923987282449208</c:v>
                </c:pt>
                <c:pt idx="886">
                  <c:v>0.96017938585753548</c:v>
                </c:pt>
                <c:pt idx="887">
                  <c:v>0.96110933784776176</c:v>
                </c:pt>
                <c:pt idx="888">
                  <c:v>0.96202898553999128</c:v>
                </c:pt>
                <c:pt idx="889">
                  <c:v>0.96293720390478987</c:v>
                </c:pt>
                <c:pt idx="890">
                  <c:v>0.96383268940019406</c:v>
                </c:pt>
                <c:pt idx="891">
                  <c:v>0.96471487375545895</c:v>
                </c:pt>
                <c:pt idx="892">
                  <c:v>0.9655839654030709</c:v>
                </c:pt>
                <c:pt idx="893">
                  <c:v>0.96644080537259236</c:v>
                </c:pt>
                <c:pt idx="894">
                  <c:v>0.96728697854528412</c:v>
                </c:pt>
                <c:pt idx="895">
                  <c:v>0.96812371880625625</c:v>
                </c:pt>
                <c:pt idx="896">
                  <c:v>0.96895180849379636</c:v>
                </c:pt>
                <c:pt idx="897">
                  <c:v>0.96977110983146941</c:v>
                </c:pt>
                <c:pt idx="898">
                  <c:v>0.97058103712411292</c:v>
                </c:pt>
                <c:pt idx="899">
                  <c:v>0.97137988047146473</c:v>
                </c:pt>
                <c:pt idx="900">
                  <c:v>0.97216569473032644</c:v>
                </c:pt>
                <c:pt idx="901">
                  <c:v>0.97293676264971907</c:v>
                </c:pt>
                <c:pt idx="902">
                  <c:v>0.97369168594260258</c:v>
                </c:pt>
                <c:pt idx="903">
                  <c:v>0.97442947549593528</c:v>
                </c:pt>
                <c:pt idx="904">
                  <c:v>0.975149747831354</c:v>
                </c:pt>
                <c:pt idx="905">
                  <c:v>0.9758529952343844</c:v>
                </c:pt>
                <c:pt idx="906">
                  <c:v>0.97653981589828798</c:v>
                </c:pt>
                <c:pt idx="907">
                  <c:v>0.97721066229434506</c:v>
                </c:pt>
                <c:pt idx="908">
                  <c:v>0.97786489112928354</c:v>
                </c:pt>
                <c:pt idx="909">
                  <c:v>0.97850179294427808</c:v>
                </c:pt>
                <c:pt idx="910">
                  <c:v>0.9791209460253063</c:v>
                </c:pt>
                <c:pt idx="911">
                  <c:v>0.97972229658987242</c:v>
                </c:pt>
                <c:pt idx="912">
                  <c:v>0.98030623897372549</c:v>
                </c:pt>
                <c:pt idx="913">
                  <c:v>0.98087367522393676</c:v>
                </c:pt>
                <c:pt idx="914">
                  <c:v>0.98142561482333679</c:v>
                </c:pt>
                <c:pt idx="915">
                  <c:v>0.98196315459073413</c:v>
                </c:pt>
                <c:pt idx="916">
                  <c:v>0.98248751817809588</c:v>
                </c:pt>
                <c:pt idx="917">
                  <c:v>0.9829998750386334</c:v>
                </c:pt>
                <c:pt idx="918">
                  <c:v>0.98350018546194307</c:v>
                </c:pt>
                <c:pt idx="919">
                  <c:v>0.98398732335679273</c:v>
                </c:pt>
                <c:pt idx="920">
                  <c:v>0.98445989200388162</c:v>
                </c:pt>
                <c:pt idx="921">
                  <c:v>0.98491647199836174</c:v>
                </c:pt>
                <c:pt idx="922">
                  <c:v>0.98535532370679446</c:v>
                </c:pt>
                <c:pt idx="923">
                  <c:v>0.98577493572346597</c:v>
                </c:pt>
                <c:pt idx="924">
                  <c:v>0.98617414511481649</c:v>
                </c:pt>
                <c:pt idx="925">
                  <c:v>0.98655218252447108</c:v>
                </c:pt>
                <c:pt idx="926">
                  <c:v>0.98690871727827023</c:v>
                </c:pt>
                <c:pt idx="927">
                  <c:v>0.98724398596755436</c:v>
                </c:pt>
                <c:pt idx="928">
                  <c:v>0.98755892290474945</c:v>
                </c:pt>
                <c:pt idx="929">
                  <c:v>0.98785408615359471</c:v>
                </c:pt>
                <c:pt idx="930">
                  <c:v>0.98812984829641781</c:v>
                </c:pt>
                <c:pt idx="931">
                  <c:v>0.988387438316503</c:v>
                </c:pt>
                <c:pt idx="932">
                  <c:v>0.98862856824874057</c:v>
                </c:pt>
                <c:pt idx="933">
                  <c:v>0.98885520909933833</c:v>
                </c:pt>
                <c:pt idx="934">
                  <c:v>0.98906966348835657</c:v>
                </c:pt>
                <c:pt idx="935">
                  <c:v>0.98927487380199175</c:v>
                </c:pt>
                <c:pt idx="936">
                  <c:v>0.98947321139326649</c:v>
                </c:pt>
                <c:pt idx="937">
                  <c:v>0.98966657191096319</c:v>
                </c:pt>
                <c:pt idx="938">
                  <c:v>0.98985695291631726</c:v>
                </c:pt>
                <c:pt idx="939">
                  <c:v>0.99004647182619077</c:v>
                </c:pt>
                <c:pt idx="940">
                  <c:v>0.99023688791415088</c:v>
                </c:pt>
                <c:pt idx="941">
                  <c:v>0.99042964871938977</c:v>
                </c:pt>
                <c:pt idx="942">
                  <c:v>0.99062593922783315</c:v>
                </c:pt>
                <c:pt idx="943">
                  <c:v>0.99082573752380343</c:v>
                </c:pt>
                <c:pt idx="944">
                  <c:v>0.99102862541762349</c:v>
                </c:pt>
                <c:pt idx="945">
                  <c:v>0.99123416388418062</c:v>
                </c:pt>
                <c:pt idx="946">
                  <c:v>0.99144191945884552</c:v>
                </c:pt>
                <c:pt idx="947">
                  <c:v>0.99165148929582236</c:v>
                </c:pt>
                <c:pt idx="948">
                  <c:v>0.99186252622649984</c:v>
                </c:pt>
                <c:pt idx="949">
                  <c:v>0.9920747638177998</c:v>
                </c:pt>
                <c:pt idx="950">
                  <c:v>0.99228804143052807</c:v>
                </c:pt>
                <c:pt idx="951">
                  <c:v>0.9925023292777253</c:v>
                </c:pt>
                <c:pt idx="952">
                  <c:v>0.99271775348301583</c:v>
                </c:pt>
                <c:pt idx="953">
                  <c:v>0.9929344787821559</c:v>
                </c:pt>
                <c:pt idx="954">
                  <c:v>0.9931521429471335</c:v>
                </c:pt>
                <c:pt idx="955">
                  <c:v>0.99336984826293062</c:v>
                </c:pt>
                <c:pt idx="956">
                  <c:v>0.99358619704901163</c:v>
                </c:pt>
                <c:pt idx="957">
                  <c:v>0.99379977354185278</c:v>
                </c:pt>
                <c:pt idx="958">
                  <c:v>0.99400919112919572</c:v>
                </c:pt>
                <c:pt idx="959">
                  <c:v>0.99421310738505819</c:v>
                </c:pt>
                <c:pt idx="960">
                  <c:v>0.99441023910474302</c:v>
                </c:pt>
                <c:pt idx="961">
                  <c:v>0.9945993773398496</c:v>
                </c:pt>
                <c:pt idx="962">
                  <c:v>0.99477940243328244</c:v>
                </c:pt>
                <c:pt idx="963">
                  <c:v>0.99494929905426233</c:v>
                </c:pt>
                <c:pt idx="964">
                  <c:v>0.99510817123333617</c:v>
                </c:pt>
                <c:pt idx="965">
                  <c:v>0.99525525739738652</c:v>
                </c:pt>
                <c:pt idx="966">
                  <c:v>0.99538994540464276</c:v>
                </c:pt>
                <c:pt idx="967">
                  <c:v>0.99551178757969006</c:v>
                </c:pt>
                <c:pt idx="968">
                  <c:v>0.99562051574847998</c:v>
                </c:pt>
                <c:pt idx="969">
                  <c:v>0.99571614223089755</c:v>
                </c:pt>
                <c:pt idx="970">
                  <c:v>0.99579947732969376</c:v>
                </c:pt>
                <c:pt idx="971">
                  <c:v>0.99587172493860165</c:v>
                </c:pt>
                <c:pt idx="972">
                  <c:v>0.99593421621018652</c:v>
                </c:pt>
                <c:pt idx="973">
                  <c:v>0.99598842842726842</c:v>
                </c:pt>
                <c:pt idx="974">
                  <c:v>0.99603600504960355</c:v>
                </c:pt>
                <c:pt idx="975">
                  <c:v>0.99607877576056325</c:v>
                </c:pt>
                <c:pt idx="976">
                  <c:v>0.9961186549620894</c:v>
                </c:pt>
                <c:pt idx="977">
                  <c:v>0.99615724247704751</c:v>
                </c:pt>
                <c:pt idx="978">
                  <c:v>0.99619664444895828</c:v>
                </c:pt>
                <c:pt idx="979">
                  <c:v>0.99623902328998648</c:v>
                </c:pt>
                <c:pt idx="980">
                  <c:v>0.99628586674527664</c:v>
                </c:pt>
                <c:pt idx="981">
                  <c:v>0.99633837882266119</c:v>
                </c:pt>
                <c:pt idx="982">
                  <c:v>0.99639770812380235</c:v>
                </c:pt>
                <c:pt idx="983">
                  <c:v>0.99646492211819571</c:v>
                </c:pt>
                <c:pt idx="984">
                  <c:v>0.99654047937378432</c:v>
                </c:pt>
                <c:pt idx="985">
                  <c:v>0.996624320387129</c:v>
                </c:pt>
                <c:pt idx="986">
                  <c:v>0.99671625091774407</c:v>
                </c:pt>
                <c:pt idx="987">
                  <c:v>0.99681596089363778</c:v>
                </c:pt>
                <c:pt idx="988">
                  <c:v>0.99692303443465258</c:v>
                </c:pt>
                <c:pt idx="989">
                  <c:v>0.99703695987580465</c:v>
                </c:pt>
                <c:pt idx="990">
                  <c:v>0.99715713979062393</c:v>
                </c:pt>
                <c:pt idx="991">
                  <c:v>0.99728290101449524</c:v>
                </c:pt>
                <c:pt idx="992">
                  <c:v>0.9974135046679965</c:v>
                </c:pt>
                <c:pt idx="993">
                  <c:v>0.99754815618024062</c:v>
                </c:pt>
                <c:pt idx="994">
                  <c:v>0.99768601531221435</c:v>
                </c:pt>
                <c:pt idx="995">
                  <c:v>0.99782620618011886</c:v>
                </c:pt>
                <c:pt idx="996">
                  <c:v>0.99796782727870958</c:v>
                </c:pt>
                <c:pt idx="997">
                  <c:v>0.99810996150463616</c:v>
                </c:pt>
                <c:pt idx="998">
                  <c:v>0.99825168617978299</c:v>
                </c:pt>
                <c:pt idx="999">
                  <c:v>0.99839208307460903</c:v>
                </c:pt>
                <c:pt idx="1000">
                  <c:v>0.9985302484314873</c:v>
                </c:pt>
                <c:pt idx="1001">
                  <c:v>0.9986653029880459</c:v>
                </c:pt>
                <c:pt idx="1002">
                  <c:v>0.99879640200050723</c:v>
                </c:pt>
                <c:pt idx="1003">
                  <c:v>0.99892274526702873</c:v>
                </c:pt>
                <c:pt idx="1004">
                  <c:v>0.99904358715104224</c:v>
                </c:pt>
                <c:pt idx="1005">
                  <c:v>0.99915824660459474</c:v>
                </c:pt>
                <c:pt idx="1006">
                  <c:v>0.99926611719168779</c:v>
                </c:pt>
                <c:pt idx="1007">
                  <c:v>0.9993666771116182</c:v>
                </c:pt>
                <c:pt idx="1008">
                  <c:v>0.99945949922231736</c:v>
                </c:pt>
                <c:pt idx="1009">
                  <c:v>0.99954426106369176</c:v>
                </c:pt>
                <c:pt idx="1010">
                  <c:v>0.99962075488096325</c:v>
                </c:pt>
                <c:pt idx="1011">
                  <c:v>0.99968889764800861</c:v>
                </c:pt>
                <c:pt idx="1012">
                  <c:v>0.99974874109069956</c:v>
                </c:pt>
                <c:pt idx="1013">
                  <c:v>0.99980048171024372</c:v>
                </c:pt>
                <c:pt idx="1014">
                  <c:v>0.99984447080652306</c:v>
                </c:pt>
                <c:pt idx="1015">
                  <c:v>0.99988122450143579</c:v>
                </c:pt>
                <c:pt idx="1016">
                  <c:v>0.99991143376223501</c:v>
                </c:pt>
                <c:pt idx="1017">
                  <c:v>0.99993597442486926</c:v>
                </c:pt>
                <c:pt idx="1018">
                  <c:v>0.99995580292669883</c:v>
                </c:pt>
                <c:pt idx="1019">
                  <c:v>0.99997137680449488</c:v>
                </c:pt>
                <c:pt idx="1020">
                  <c:v>0.99998301305321158</c:v>
                </c:pt>
                <c:pt idx="1021">
                  <c:v>0.99999112128388834</c:v>
                </c:pt>
                <c:pt idx="1022">
                  <c:v>0.99999620906729036</c:v>
                </c:pt>
              </c:numCache>
            </c:numRef>
          </c:xVal>
          <c:yVal>
            <c:numRef>
              <c:f>Estimation_1516!$H$3:$H$1048576</c:f>
              <c:numCache>
                <c:formatCode>General</c:formatCode>
                <c:ptCount val="1048574"/>
                <c:pt idx="0">
                  <c:v>-0.22462855031216636</c:v>
                </c:pt>
                <c:pt idx="1">
                  <c:v>-0.22432855031216636</c:v>
                </c:pt>
                <c:pt idx="2">
                  <c:v>-0.22402855031216637</c:v>
                </c:pt>
                <c:pt idx="3">
                  <c:v>-0.22372855031216637</c:v>
                </c:pt>
                <c:pt idx="4">
                  <c:v>-0.22342855031216638</c:v>
                </c:pt>
                <c:pt idx="5">
                  <c:v>-0.22312855031216638</c:v>
                </c:pt>
                <c:pt idx="6">
                  <c:v>-0.22282855031216639</c:v>
                </c:pt>
                <c:pt idx="7">
                  <c:v>-0.2225285503121664</c:v>
                </c:pt>
                <c:pt idx="8">
                  <c:v>-0.2222285503121664</c:v>
                </c:pt>
                <c:pt idx="9">
                  <c:v>-0.22192855031216641</c:v>
                </c:pt>
                <c:pt idx="10">
                  <c:v>-0.22162855031216641</c:v>
                </c:pt>
                <c:pt idx="11">
                  <c:v>-0.22132855031216642</c:v>
                </c:pt>
                <c:pt idx="12">
                  <c:v>-0.22102855031216642</c:v>
                </c:pt>
                <c:pt idx="13">
                  <c:v>-0.22072855031216643</c:v>
                </c:pt>
                <c:pt idx="14">
                  <c:v>-0.22042855031216643</c:v>
                </c:pt>
                <c:pt idx="15">
                  <c:v>-0.22012855031216644</c:v>
                </c:pt>
                <c:pt idx="16">
                  <c:v>-0.21982855031216644</c:v>
                </c:pt>
                <c:pt idx="17">
                  <c:v>-0.21952855031216645</c:v>
                </c:pt>
                <c:pt idx="18">
                  <c:v>-0.21922855031216645</c:v>
                </c:pt>
                <c:pt idx="19">
                  <c:v>-0.21892855031216646</c:v>
                </c:pt>
                <c:pt idx="20">
                  <c:v>-0.21862855031216646</c:v>
                </c:pt>
                <c:pt idx="21">
                  <c:v>-0.21832855031216647</c:v>
                </c:pt>
                <c:pt idx="22">
                  <c:v>-0.21802855031216647</c:v>
                </c:pt>
                <c:pt idx="23">
                  <c:v>-0.21772855031216648</c:v>
                </c:pt>
                <c:pt idx="24">
                  <c:v>-0.21742855031216649</c:v>
                </c:pt>
                <c:pt idx="25">
                  <c:v>-0.21712855031216649</c:v>
                </c:pt>
                <c:pt idx="26">
                  <c:v>-0.2168285503121665</c:v>
                </c:pt>
                <c:pt idx="27">
                  <c:v>-0.2165285503121665</c:v>
                </c:pt>
                <c:pt idx="28">
                  <c:v>-0.21622855031216651</c:v>
                </c:pt>
                <c:pt idx="29">
                  <c:v>-0.21592855031216651</c:v>
                </c:pt>
                <c:pt idx="30">
                  <c:v>-0.21562855031216652</c:v>
                </c:pt>
                <c:pt idx="31">
                  <c:v>-0.21532855031216652</c:v>
                </c:pt>
                <c:pt idx="32">
                  <c:v>-0.21502855031216653</c:v>
                </c:pt>
                <c:pt idx="33">
                  <c:v>-0.21472855031216653</c:v>
                </c:pt>
                <c:pt idx="34">
                  <c:v>-0.21442855031216654</c:v>
                </c:pt>
                <c:pt idx="35">
                  <c:v>-0.21412855031216654</c:v>
                </c:pt>
                <c:pt idx="36">
                  <c:v>-0.21382855031216655</c:v>
                </c:pt>
                <c:pt idx="37">
                  <c:v>-0.21352855031216655</c:v>
                </c:pt>
                <c:pt idx="38">
                  <c:v>-0.21322855031216656</c:v>
                </c:pt>
                <c:pt idx="39">
                  <c:v>-0.21292855031216656</c:v>
                </c:pt>
                <c:pt idx="40">
                  <c:v>-0.21262855031216657</c:v>
                </c:pt>
                <c:pt idx="41">
                  <c:v>-0.21232855031216658</c:v>
                </c:pt>
                <c:pt idx="42">
                  <c:v>-0.21202855031216658</c:v>
                </c:pt>
                <c:pt idx="43">
                  <c:v>-0.21172855031216659</c:v>
                </c:pt>
                <c:pt idx="44">
                  <c:v>-0.21142855031216659</c:v>
                </c:pt>
                <c:pt idx="45">
                  <c:v>-0.2111285503121666</c:v>
                </c:pt>
                <c:pt idx="46">
                  <c:v>-0.2108285503121666</c:v>
                </c:pt>
                <c:pt idx="47">
                  <c:v>-0.21052855031216661</c:v>
                </c:pt>
                <c:pt idx="48">
                  <c:v>-0.21022855031216661</c:v>
                </c:pt>
                <c:pt idx="49">
                  <c:v>-0.20992855031216662</c:v>
                </c:pt>
                <c:pt idx="50">
                  <c:v>-0.20962855031216662</c:v>
                </c:pt>
                <c:pt idx="51">
                  <c:v>-0.20932855031216663</c:v>
                </c:pt>
                <c:pt idx="52">
                  <c:v>-0.20902855031216663</c:v>
                </c:pt>
                <c:pt idx="53">
                  <c:v>-0.20872855031216664</c:v>
                </c:pt>
                <c:pt idx="54">
                  <c:v>-0.20842855031216664</c:v>
                </c:pt>
                <c:pt idx="55">
                  <c:v>-0.20812855031216665</c:v>
                </c:pt>
                <c:pt idx="56">
                  <c:v>-0.20782855031216665</c:v>
                </c:pt>
                <c:pt idx="57">
                  <c:v>-0.20752855031216666</c:v>
                </c:pt>
                <c:pt idx="58">
                  <c:v>-0.20722855031216666</c:v>
                </c:pt>
                <c:pt idx="59">
                  <c:v>-0.20692855031216667</c:v>
                </c:pt>
                <c:pt idx="60">
                  <c:v>-0.20662855031216668</c:v>
                </c:pt>
                <c:pt idx="61">
                  <c:v>-0.20632855031216668</c:v>
                </c:pt>
                <c:pt idx="62">
                  <c:v>-0.20602855031216669</c:v>
                </c:pt>
                <c:pt idx="63">
                  <c:v>-0.20572855031216669</c:v>
                </c:pt>
                <c:pt idx="64">
                  <c:v>-0.2054285503121667</c:v>
                </c:pt>
                <c:pt idx="65">
                  <c:v>-0.2051285503121667</c:v>
                </c:pt>
                <c:pt idx="66">
                  <c:v>-0.20482855031216671</c:v>
                </c:pt>
                <c:pt idx="67">
                  <c:v>-0.20452855031216671</c:v>
                </c:pt>
                <c:pt idx="68">
                  <c:v>-0.20422855031216672</c:v>
                </c:pt>
                <c:pt idx="69">
                  <c:v>-0.20392855031216672</c:v>
                </c:pt>
                <c:pt idx="70">
                  <c:v>-0.20362855031216673</c:v>
                </c:pt>
                <c:pt idx="71">
                  <c:v>-0.20332855031216673</c:v>
                </c:pt>
                <c:pt idx="72">
                  <c:v>-0.20302855031216674</c:v>
                </c:pt>
                <c:pt idx="73">
                  <c:v>-0.20272855031216674</c:v>
                </c:pt>
                <c:pt idx="74">
                  <c:v>-0.20242855031216675</c:v>
                </c:pt>
                <c:pt idx="75">
                  <c:v>-0.20212855031216675</c:v>
                </c:pt>
                <c:pt idx="76">
                  <c:v>-0.20182855031216676</c:v>
                </c:pt>
                <c:pt idx="77">
                  <c:v>-0.20152855031216677</c:v>
                </c:pt>
                <c:pt idx="78">
                  <c:v>-0.20122855031216677</c:v>
                </c:pt>
                <c:pt idx="79">
                  <c:v>-0.20092855031216678</c:v>
                </c:pt>
                <c:pt idx="80">
                  <c:v>-0.20062855031216678</c:v>
                </c:pt>
                <c:pt idx="81">
                  <c:v>-0.20032855031216679</c:v>
                </c:pt>
                <c:pt idx="82">
                  <c:v>-0.20002855031216679</c:v>
                </c:pt>
                <c:pt idx="83">
                  <c:v>-0.1997285503121668</c:v>
                </c:pt>
                <c:pt idx="84">
                  <c:v>-0.1994285503121668</c:v>
                </c:pt>
                <c:pt idx="85">
                  <c:v>-0.19912855031216681</c:v>
                </c:pt>
                <c:pt idx="86">
                  <c:v>-0.19882855031216681</c:v>
                </c:pt>
                <c:pt idx="87">
                  <c:v>-0.19852855031216682</c:v>
                </c:pt>
                <c:pt idx="88">
                  <c:v>-0.19822855031216682</c:v>
                </c:pt>
                <c:pt idx="89">
                  <c:v>-0.19792855031216683</c:v>
                </c:pt>
                <c:pt idx="90">
                  <c:v>-0.19762855031216683</c:v>
                </c:pt>
                <c:pt idx="91">
                  <c:v>-0.19732855031216684</c:v>
                </c:pt>
                <c:pt idx="92">
                  <c:v>-0.19702855031216684</c:v>
                </c:pt>
                <c:pt idx="93">
                  <c:v>-0.19672855031216685</c:v>
                </c:pt>
                <c:pt idx="94">
                  <c:v>-0.19642855031216686</c:v>
                </c:pt>
                <c:pt idx="95">
                  <c:v>-0.19612855031216686</c:v>
                </c:pt>
                <c:pt idx="96">
                  <c:v>-0.19582855031216687</c:v>
                </c:pt>
                <c:pt idx="97">
                  <c:v>-0.19552855031216687</c:v>
                </c:pt>
                <c:pt idx="98">
                  <c:v>-0.19522855031216688</c:v>
                </c:pt>
                <c:pt idx="99">
                  <c:v>-0.19492855031216688</c:v>
                </c:pt>
                <c:pt idx="100">
                  <c:v>-0.19462855031216689</c:v>
                </c:pt>
                <c:pt idx="101">
                  <c:v>-0.19432855031216689</c:v>
                </c:pt>
                <c:pt idx="102">
                  <c:v>-0.1940285503121669</c:v>
                </c:pt>
                <c:pt idx="103">
                  <c:v>-0.1937285503121669</c:v>
                </c:pt>
                <c:pt idx="104">
                  <c:v>-0.19342855031216691</c:v>
                </c:pt>
                <c:pt idx="105">
                  <c:v>-0.19312855031216691</c:v>
                </c:pt>
                <c:pt idx="106">
                  <c:v>-0.19282855031216692</c:v>
                </c:pt>
                <c:pt idx="107">
                  <c:v>-0.19252855031216692</c:v>
                </c:pt>
                <c:pt idx="108">
                  <c:v>-0.19222855031216693</c:v>
                </c:pt>
                <c:pt idx="109">
                  <c:v>-0.19192855031216693</c:v>
                </c:pt>
                <c:pt idx="110">
                  <c:v>-0.19162855031216694</c:v>
                </c:pt>
                <c:pt idx="111">
                  <c:v>-0.19132855031216695</c:v>
                </c:pt>
                <c:pt idx="112">
                  <c:v>-0.19102855031216695</c:v>
                </c:pt>
                <c:pt idx="113">
                  <c:v>-0.19072855031216696</c:v>
                </c:pt>
                <c:pt idx="114">
                  <c:v>-0.19042855031216696</c:v>
                </c:pt>
                <c:pt idx="115">
                  <c:v>-0.19012855031216697</c:v>
                </c:pt>
                <c:pt idx="116">
                  <c:v>-0.18982855031216697</c:v>
                </c:pt>
                <c:pt idx="117">
                  <c:v>-0.18952855031216698</c:v>
                </c:pt>
                <c:pt idx="118">
                  <c:v>-0.18922855031216698</c:v>
                </c:pt>
                <c:pt idx="119">
                  <c:v>-0.18892855031216699</c:v>
                </c:pt>
                <c:pt idx="120">
                  <c:v>-0.18862855031216699</c:v>
                </c:pt>
                <c:pt idx="121">
                  <c:v>-0.188328550312167</c:v>
                </c:pt>
                <c:pt idx="122">
                  <c:v>-0.188028550312167</c:v>
                </c:pt>
                <c:pt idx="123">
                  <c:v>-0.18772855031216701</c:v>
                </c:pt>
                <c:pt idx="124">
                  <c:v>-0.18742855031216701</c:v>
                </c:pt>
                <c:pt idx="125">
                  <c:v>-0.18712855031216702</c:v>
                </c:pt>
                <c:pt idx="126">
                  <c:v>-0.18682855031216702</c:v>
                </c:pt>
                <c:pt idx="127">
                  <c:v>-0.18652855031216703</c:v>
                </c:pt>
                <c:pt idx="128">
                  <c:v>-0.18622855031216703</c:v>
                </c:pt>
                <c:pt idx="129">
                  <c:v>-0.18592855031216704</c:v>
                </c:pt>
                <c:pt idx="130">
                  <c:v>-0.18562855031216705</c:v>
                </c:pt>
                <c:pt idx="131">
                  <c:v>-0.18532855031216705</c:v>
                </c:pt>
                <c:pt idx="132">
                  <c:v>-0.18502855031216706</c:v>
                </c:pt>
                <c:pt idx="133">
                  <c:v>-0.18472855031216706</c:v>
                </c:pt>
                <c:pt idx="134">
                  <c:v>-0.18442855031216707</c:v>
                </c:pt>
                <c:pt idx="135">
                  <c:v>-0.18412855031216707</c:v>
                </c:pt>
                <c:pt idx="136">
                  <c:v>-0.18382855031216708</c:v>
                </c:pt>
                <c:pt idx="137">
                  <c:v>-0.18352855031216708</c:v>
                </c:pt>
                <c:pt idx="138">
                  <c:v>-0.18322855031216709</c:v>
                </c:pt>
                <c:pt idx="139">
                  <c:v>-0.18292855031216709</c:v>
                </c:pt>
                <c:pt idx="140">
                  <c:v>-0.1826285503121671</c:v>
                </c:pt>
                <c:pt idx="141">
                  <c:v>-0.1823285503121671</c:v>
                </c:pt>
                <c:pt idx="142">
                  <c:v>-0.18202855031216711</c:v>
                </c:pt>
                <c:pt idx="143">
                  <c:v>-0.18172855031216711</c:v>
                </c:pt>
                <c:pt idx="144">
                  <c:v>-0.18142855031216712</c:v>
                </c:pt>
                <c:pt idx="145">
                  <c:v>-0.18112855031216712</c:v>
                </c:pt>
                <c:pt idx="146">
                  <c:v>-0.18082855031216713</c:v>
                </c:pt>
                <c:pt idx="147">
                  <c:v>-0.18052855031216714</c:v>
                </c:pt>
                <c:pt idx="148">
                  <c:v>-0.18022855031216714</c:v>
                </c:pt>
                <c:pt idx="149">
                  <c:v>-0.17992855031216715</c:v>
                </c:pt>
                <c:pt idx="150">
                  <c:v>-0.17962855031216715</c:v>
                </c:pt>
                <c:pt idx="151">
                  <c:v>-0.17932855031216716</c:v>
                </c:pt>
                <c:pt idx="152">
                  <c:v>-0.17902855031216716</c:v>
                </c:pt>
                <c:pt idx="153">
                  <c:v>-0.17872855031216717</c:v>
                </c:pt>
                <c:pt idx="154">
                  <c:v>-0.17842855031216717</c:v>
                </c:pt>
                <c:pt idx="155">
                  <c:v>-0.17812855031216718</c:v>
                </c:pt>
                <c:pt idx="156">
                  <c:v>-0.17782855031216718</c:v>
                </c:pt>
                <c:pt idx="157">
                  <c:v>-0.17752855031216719</c:v>
                </c:pt>
                <c:pt idx="158">
                  <c:v>-0.17722855031216719</c:v>
                </c:pt>
                <c:pt idx="159">
                  <c:v>-0.1769285503121672</c:v>
                </c:pt>
                <c:pt idx="160">
                  <c:v>-0.1766285503121672</c:v>
                </c:pt>
                <c:pt idx="161">
                  <c:v>-0.17632855031216721</c:v>
                </c:pt>
                <c:pt idx="162">
                  <c:v>-0.17602855031216721</c:v>
                </c:pt>
                <c:pt idx="163">
                  <c:v>-0.17572855031216722</c:v>
                </c:pt>
                <c:pt idx="164">
                  <c:v>-0.17542855031216723</c:v>
                </c:pt>
                <c:pt idx="165">
                  <c:v>-0.17512855031216723</c:v>
                </c:pt>
                <c:pt idx="166">
                  <c:v>-0.17482855031216724</c:v>
                </c:pt>
                <c:pt idx="167">
                  <c:v>-0.17452855031216724</c:v>
                </c:pt>
                <c:pt idx="168">
                  <c:v>-0.17422855031216725</c:v>
                </c:pt>
                <c:pt idx="169">
                  <c:v>-0.17392855031216725</c:v>
                </c:pt>
                <c:pt idx="170">
                  <c:v>-0.17362855031216726</c:v>
                </c:pt>
                <c:pt idx="171">
                  <c:v>-0.17332855031216726</c:v>
                </c:pt>
                <c:pt idx="172">
                  <c:v>-0.17302855031216727</c:v>
                </c:pt>
                <c:pt idx="173">
                  <c:v>-0.17272855031216727</c:v>
                </c:pt>
                <c:pt idx="174">
                  <c:v>-0.17242855031216728</c:v>
                </c:pt>
                <c:pt idx="175">
                  <c:v>-0.17212855031216728</c:v>
                </c:pt>
                <c:pt idx="176">
                  <c:v>-0.17182855031216729</c:v>
                </c:pt>
                <c:pt idx="177">
                  <c:v>-0.17152855031216729</c:v>
                </c:pt>
                <c:pt idx="178">
                  <c:v>-0.1712285503121673</c:v>
                </c:pt>
                <c:pt idx="179">
                  <c:v>-0.1709285503121673</c:v>
                </c:pt>
                <c:pt idx="180">
                  <c:v>-0.17062855031216731</c:v>
                </c:pt>
                <c:pt idx="181">
                  <c:v>-0.17032855031216732</c:v>
                </c:pt>
                <c:pt idx="182">
                  <c:v>-0.17002855031216732</c:v>
                </c:pt>
                <c:pt idx="183">
                  <c:v>-0.16972855031216733</c:v>
                </c:pt>
                <c:pt idx="184">
                  <c:v>-0.16942855031216733</c:v>
                </c:pt>
                <c:pt idx="185">
                  <c:v>-0.16912855031216734</c:v>
                </c:pt>
                <c:pt idx="186">
                  <c:v>-0.16882855031216734</c:v>
                </c:pt>
                <c:pt idx="187">
                  <c:v>-0.16852855031216735</c:v>
                </c:pt>
                <c:pt idx="188">
                  <c:v>-0.16822855031216735</c:v>
                </c:pt>
                <c:pt idx="189">
                  <c:v>-0.16792855031216736</c:v>
                </c:pt>
                <c:pt idx="190">
                  <c:v>-0.16762855031216736</c:v>
                </c:pt>
                <c:pt idx="191">
                  <c:v>-0.16732855031216737</c:v>
                </c:pt>
                <c:pt idx="192">
                  <c:v>-0.16702855031216737</c:v>
                </c:pt>
                <c:pt idx="193">
                  <c:v>-0.16672855031216738</c:v>
                </c:pt>
                <c:pt idx="194">
                  <c:v>-0.16642855031216738</c:v>
                </c:pt>
                <c:pt idx="195">
                  <c:v>-0.16612855031216739</c:v>
                </c:pt>
                <c:pt idx="196">
                  <c:v>-0.16582855031216739</c:v>
                </c:pt>
                <c:pt idx="197">
                  <c:v>-0.1655285503121674</c:v>
                </c:pt>
                <c:pt idx="198">
                  <c:v>-0.1652285503121674</c:v>
                </c:pt>
                <c:pt idx="199">
                  <c:v>-0.16492855031216741</c:v>
                </c:pt>
                <c:pt idx="200">
                  <c:v>-0.16462855031216742</c:v>
                </c:pt>
                <c:pt idx="201">
                  <c:v>-0.16432855031216742</c:v>
                </c:pt>
                <c:pt idx="202">
                  <c:v>-0.16402855031216743</c:v>
                </c:pt>
                <c:pt idx="203">
                  <c:v>-0.16372855031216743</c:v>
                </c:pt>
                <c:pt idx="204">
                  <c:v>-0.16342855031216744</c:v>
                </c:pt>
                <c:pt idx="205">
                  <c:v>-0.16312855031216744</c:v>
                </c:pt>
                <c:pt idx="206">
                  <c:v>-0.16282855031216745</c:v>
                </c:pt>
                <c:pt idx="207">
                  <c:v>-0.16252855031216745</c:v>
                </c:pt>
                <c:pt idx="208">
                  <c:v>-0.16222855031216746</c:v>
                </c:pt>
                <c:pt idx="209">
                  <c:v>-0.16192855031216746</c:v>
                </c:pt>
                <c:pt idx="210">
                  <c:v>-0.16162855031216747</c:v>
                </c:pt>
                <c:pt idx="211">
                  <c:v>-0.16132855031216747</c:v>
                </c:pt>
                <c:pt idx="212">
                  <c:v>-0.16102855031216748</c:v>
                </c:pt>
                <c:pt idx="213">
                  <c:v>-0.16072855031216748</c:v>
                </c:pt>
                <c:pt idx="214">
                  <c:v>-0.16042855031216749</c:v>
                </c:pt>
                <c:pt idx="215">
                  <c:v>-0.16012855031216749</c:v>
                </c:pt>
                <c:pt idx="216">
                  <c:v>-0.1598285503121675</c:v>
                </c:pt>
                <c:pt idx="217">
                  <c:v>-0.15952855031216751</c:v>
                </c:pt>
                <c:pt idx="218">
                  <c:v>-0.15922855031216751</c:v>
                </c:pt>
                <c:pt idx="219">
                  <c:v>-0.15892855031216752</c:v>
                </c:pt>
                <c:pt idx="220">
                  <c:v>-0.15862855031216752</c:v>
                </c:pt>
                <c:pt idx="221">
                  <c:v>-0.15832855031216753</c:v>
                </c:pt>
                <c:pt idx="222">
                  <c:v>-0.15802855031216753</c:v>
                </c:pt>
                <c:pt idx="223">
                  <c:v>-0.15772855031216754</c:v>
                </c:pt>
                <c:pt idx="224">
                  <c:v>-0.15742855031216754</c:v>
                </c:pt>
                <c:pt idx="225">
                  <c:v>-0.15712855031216755</c:v>
                </c:pt>
                <c:pt idx="226">
                  <c:v>-0.15682855031216755</c:v>
                </c:pt>
                <c:pt idx="227">
                  <c:v>-0.15652855031216756</c:v>
                </c:pt>
                <c:pt idx="228">
                  <c:v>-0.15622855031216756</c:v>
                </c:pt>
                <c:pt idx="229">
                  <c:v>-0.15592855031216757</c:v>
                </c:pt>
                <c:pt idx="230">
                  <c:v>-0.15562855031216757</c:v>
                </c:pt>
                <c:pt idx="231">
                  <c:v>-0.15532855031216758</c:v>
                </c:pt>
                <c:pt idx="232">
                  <c:v>-0.15502855031216758</c:v>
                </c:pt>
                <c:pt idx="233">
                  <c:v>-0.15472855031216759</c:v>
                </c:pt>
                <c:pt idx="234">
                  <c:v>-0.1544285503121676</c:v>
                </c:pt>
                <c:pt idx="235">
                  <c:v>-0.1541285503121676</c:v>
                </c:pt>
                <c:pt idx="236">
                  <c:v>-0.15382855031216761</c:v>
                </c:pt>
                <c:pt idx="237">
                  <c:v>-0.15352855031216761</c:v>
                </c:pt>
                <c:pt idx="238">
                  <c:v>-0.15322855031216762</c:v>
                </c:pt>
                <c:pt idx="239">
                  <c:v>-0.15292855031216762</c:v>
                </c:pt>
                <c:pt idx="240">
                  <c:v>-0.15262855031216763</c:v>
                </c:pt>
                <c:pt idx="241">
                  <c:v>-0.15232855031216763</c:v>
                </c:pt>
                <c:pt idx="242">
                  <c:v>-0.15202855031216764</c:v>
                </c:pt>
                <c:pt idx="243">
                  <c:v>-0.15172855031216764</c:v>
                </c:pt>
                <c:pt idx="244">
                  <c:v>-0.15142855031216765</c:v>
                </c:pt>
                <c:pt idx="245">
                  <c:v>-0.15112855031216765</c:v>
                </c:pt>
                <c:pt idx="246">
                  <c:v>-0.15082855031216766</c:v>
                </c:pt>
                <c:pt idx="247">
                  <c:v>-0.15052855031216766</c:v>
                </c:pt>
                <c:pt idx="248">
                  <c:v>-0.15022855031216767</c:v>
                </c:pt>
                <c:pt idx="249">
                  <c:v>-0.14992855031216767</c:v>
                </c:pt>
                <c:pt idx="250">
                  <c:v>-0.14962855031216768</c:v>
                </c:pt>
                <c:pt idx="251">
                  <c:v>-0.14932855031216768</c:v>
                </c:pt>
                <c:pt idx="252">
                  <c:v>-0.14902855031216769</c:v>
                </c:pt>
                <c:pt idx="253">
                  <c:v>-0.1487285503121677</c:v>
                </c:pt>
                <c:pt idx="254">
                  <c:v>-0.1484285503121677</c:v>
                </c:pt>
                <c:pt idx="255">
                  <c:v>-0.14812855031216771</c:v>
                </c:pt>
                <c:pt idx="256">
                  <c:v>-0.14782855031216771</c:v>
                </c:pt>
                <c:pt idx="257">
                  <c:v>-0.14752855031216772</c:v>
                </c:pt>
                <c:pt idx="258">
                  <c:v>-0.14722855031216772</c:v>
                </c:pt>
                <c:pt idx="259">
                  <c:v>-0.14692855031216773</c:v>
                </c:pt>
                <c:pt idx="260">
                  <c:v>-0.14662855031216773</c:v>
                </c:pt>
                <c:pt idx="261">
                  <c:v>-0.14632855031216774</c:v>
                </c:pt>
                <c:pt idx="262">
                  <c:v>-0.14602855031216774</c:v>
                </c:pt>
                <c:pt idx="263">
                  <c:v>-0.14572855031216775</c:v>
                </c:pt>
                <c:pt idx="264">
                  <c:v>-0.14542855031216775</c:v>
                </c:pt>
                <c:pt idx="265">
                  <c:v>-0.14512855031216776</c:v>
                </c:pt>
                <c:pt idx="266">
                  <c:v>-0.14482855031216776</c:v>
                </c:pt>
                <c:pt idx="267">
                  <c:v>-0.14452855031216777</c:v>
                </c:pt>
                <c:pt idx="268">
                  <c:v>-0.14422855031216777</c:v>
                </c:pt>
                <c:pt idx="269">
                  <c:v>-0.14392855031216778</c:v>
                </c:pt>
                <c:pt idx="270">
                  <c:v>-0.14362855031216779</c:v>
                </c:pt>
                <c:pt idx="271">
                  <c:v>-0.14332855031216779</c:v>
                </c:pt>
                <c:pt idx="272">
                  <c:v>-0.1430285503121678</c:v>
                </c:pt>
                <c:pt idx="273">
                  <c:v>-0.1427285503121678</c:v>
                </c:pt>
                <c:pt idx="274">
                  <c:v>-0.14242855031216781</c:v>
                </c:pt>
                <c:pt idx="275">
                  <c:v>-0.14212855031216781</c:v>
                </c:pt>
                <c:pt idx="276">
                  <c:v>-0.14182855031216782</c:v>
                </c:pt>
                <c:pt idx="277">
                  <c:v>-0.14152855031216782</c:v>
                </c:pt>
                <c:pt idx="278">
                  <c:v>-0.14122855031216783</c:v>
                </c:pt>
                <c:pt idx="279">
                  <c:v>-0.14092855031216783</c:v>
                </c:pt>
                <c:pt idx="280">
                  <c:v>-0.14062855031216784</c:v>
                </c:pt>
                <c:pt idx="281">
                  <c:v>-0.14032855031216784</c:v>
                </c:pt>
                <c:pt idx="282">
                  <c:v>-0.14002855031216785</c:v>
                </c:pt>
                <c:pt idx="283">
                  <c:v>-0.13972855031216785</c:v>
                </c:pt>
                <c:pt idx="284">
                  <c:v>-0.13942855031216786</c:v>
                </c:pt>
                <c:pt idx="285">
                  <c:v>-0.13912855031216786</c:v>
                </c:pt>
                <c:pt idx="286">
                  <c:v>-0.13882855031216787</c:v>
                </c:pt>
                <c:pt idx="287">
                  <c:v>-0.13852855031216788</c:v>
                </c:pt>
                <c:pt idx="288">
                  <c:v>-0.13822855031216788</c:v>
                </c:pt>
                <c:pt idx="289">
                  <c:v>-0.13792855031216789</c:v>
                </c:pt>
                <c:pt idx="290">
                  <c:v>-0.13762855031216789</c:v>
                </c:pt>
                <c:pt idx="291">
                  <c:v>-0.1373285503121679</c:v>
                </c:pt>
                <c:pt idx="292">
                  <c:v>-0.1370285503121679</c:v>
                </c:pt>
                <c:pt idx="293">
                  <c:v>-0.13672855031216791</c:v>
                </c:pt>
                <c:pt idx="294">
                  <c:v>-0.13642855031216791</c:v>
                </c:pt>
                <c:pt idx="295">
                  <c:v>-0.13612855031216792</c:v>
                </c:pt>
                <c:pt idx="296">
                  <c:v>-0.13582855031216792</c:v>
                </c:pt>
                <c:pt idx="297">
                  <c:v>-0.13552855031216793</c:v>
                </c:pt>
                <c:pt idx="298">
                  <c:v>-0.13522855031216793</c:v>
                </c:pt>
                <c:pt idx="299">
                  <c:v>-0.13492855031216794</c:v>
                </c:pt>
                <c:pt idx="300">
                  <c:v>-0.13462855031216794</c:v>
                </c:pt>
                <c:pt idx="301">
                  <c:v>-0.13432855031216795</c:v>
                </c:pt>
                <c:pt idx="302">
                  <c:v>-0.13402855031216795</c:v>
                </c:pt>
                <c:pt idx="303">
                  <c:v>-0.13372855031216796</c:v>
                </c:pt>
                <c:pt idx="304">
                  <c:v>-0.13342855031216797</c:v>
                </c:pt>
                <c:pt idx="305">
                  <c:v>-0.13312855031216797</c:v>
                </c:pt>
                <c:pt idx="306">
                  <c:v>-0.13282855031216798</c:v>
                </c:pt>
                <c:pt idx="307">
                  <c:v>-0.13252855031216798</c:v>
                </c:pt>
                <c:pt idx="308">
                  <c:v>-0.13222855031216799</c:v>
                </c:pt>
                <c:pt idx="309">
                  <c:v>-0.13192855031216799</c:v>
                </c:pt>
                <c:pt idx="310">
                  <c:v>-0.131628550312168</c:v>
                </c:pt>
                <c:pt idx="311">
                  <c:v>-0.131328550312168</c:v>
                </c:pt>
                <c:pt idx="312">
                  <c:v>-0.13102855031216801</c:v>
                </c:pt>
                <c:pt idx="313">
                  <c:v>-0.13072855031216801</c:v>
                </c:pt>
                <c:pt idx="314">
                  <c:v>-0.13042855031216802</c:v>
                </c:pt>
                <c:pt idx="315">
                  <c:v>-0.13012855031216802</c:v>
                </c:pt>
                <c:pt idx="316">
                  <c:v>-0.12982855031216803</c:v>
                </c:pt>
                <c:pt idx="317">
                  <c:v>-0.12952855031216803</c:v>
                </c:pt>
                <c:pt idx="318">
                  <c:v>-0.12922855031216804</c:v>
                </c:pt>
                <c:pt idx="319">
                  <c:v>-0.12892855031216804</c:v>
                </c:pt>
                <c:pt idx="320">
                  <c:v>-0.12862855031216805</c:v>
                </c:pt>
                <c:pt idx="321">
                  <c:v>-0.12832855031216805</c:v>
                </c:pt>
                <c:pt idx="322">
                  <c:v>-0.12802855031216806</c:v>
                </c:pt>
                <c:pt idx="323">
                  <c:v>-0.12772855031216807</c:v>
                </c:pt>
                <c:pt idx="324">
                  <c:v>-0.12742855031216807</c:v>
                </c:pt>
                <c:pt idx="325">
                  <c:v>-0.12712855031216808</c:v>
                </c:pt>
                <c:pt idx="326">
                  <c:v>-0.12682855031216808</c:v>
                </c:pt>
                <c:pt idx="327">
                  <c:v>-0.12652855031216809</c:v>
                </c:pt>
                <c:pt idx="328">
                  <c:v>-0.12622855031216809</c:v>
                </c:pt>
                <c:pt idx="329">
                  <c:v>-0.1259285503121681</c:v>
                </c:pt>
                <c:pt idx="330">
                  <c:v>-0.1256285503121681</c:v>
                </c:pt>
                <c:pt idx="331">
                  <c:v>-0.12532855031216811</c:v>
                </c:pt>
                <c:pt idx="332">
                  <c:v>-0.12502855031216811</c:v>
                </c:pt>
                <c:pt idx="333">
                  <c:v>-0.12472855031216812</c:v>
                </c:pt>
                <c:pt idx="334">
                  <c:v>-0.12442855031216812</c:v>
                </c:pt>
                <c:pt idx="335">
                  <c:v>-0.12412855031216813</c:v>
                </c:pt>
                <c:pt idx="336">
                  <c:v>-0.12382855031216813</c:v>
                </c:pt>
                <c:pt idx="337">
                  <c:v>-0.12352855031216814</c:v>
                </c:pt>
                <c:pt idx="338">
                  <c:v>-0.12322855031216814</c:v>
                </c:pt>
                <c:pt idx="339">
                  <c:v>-0.12292855031216815</c:v>
                </c:pt>
                <c:pt idx="340">
                  <c:v>-0.12262855031216816</c:v>
                </c:pt>
                <c:pt idx="341">
                  <c:v>-0.12232855031216816</c:v>
                </c:pt>
                <c:pt idx="342">
                  <c:v>-0.12202855031216817</c:v>
                </c:pt>
                <c:pt idx="343">
                  <c:v>-0.12172855031216817</c:v>
                </c:pt>
                <c:pt idx="344">
                  <c:v>-0.12142855031216818</c:v>
                </c:pt>
                <c:pt idx="345">
                  <c:v>-0.12112855031216818</c:v>
                </c:pt>
                <c:pt idx="346">
                  <c:v>-0.12082855031216819</c:v>
                </c:pt>
                <c:pt idx="347">
                  <c:v>-0.12052855031216819</c:v>
                </c:pt>
                <c:pt idx="348">
                  <c:v>-0.1202285503121682</c:v>
                </c:pt>
                <c:pt idx="349">
                  <c:v>-0.1199285503121682</c:v>
                </c:pt>
                <c:pt idx="350">
                  <c:v>-0.11962855031216821</c:v>
                </c:pt>
                <c:pt idx="351">
                  <c:v>-0.11932855031216821</c:v>
                </c:pt>
                <c:pt idx="352">
                  <c:v>-0.11902855031216822</c:v>
                </c:pt>
                <c:pt idx="353">
                  <c:v>-0.11872855031216822</c:v>
                </c:pt>
                <c:pt idx="354">
                  <c:v>-0.11842855031216823</c:v>
                </c:pt>
                <c:pt idx="355">
                  <c:v>-0.11812855031216823</c:v>
                </c:pt>
                <c:pt idx="356">
                  <c:v>-0.11782855031216824</c:v>
                </c:pt>
                <c:pt idx="357">
                  <c:v>-0.11752855031216825</c:v>
                </c:pt>
                <c:pt idx="358">
                  <c:v>-0.11722855031216825</c:v>
                </c:pt>
                <c:pt idx="359">
                  <c:v>-0.11692855031216826</c:v>
                </c:pt>
                <c:pt idx="360">
                  <c:v>-0.11662855031216826</c:v>
                </c:pt>
                <c:pt idx="361">
                  <c:v>-0.11632855031216827</c:v>
                </c:pt>
                <c:pt idx="362">
                  <c:v>-0.11602855031216827</c:v>
                </c:pt>
                <c:pt idx="363">
                  <c:v>-0.11572855031216828</c:v>
                </c:pt>
                <c:pt idx="364">
                  <c:v>-0.11542855031216828</c:v>
                </c:pt>
                <c:pt idx="365">
                  <c:v>-0.11512855031216829</c:v>
                </c:pt>
                <c:pt idx="366">
                  <c:v>-0.11482855031216829</c:v>
                </c:pt>
                <c:pt idx="367">
                  <c:v>-0.1145285503121683</c:v>
                </c:pt>
                <c:pt idx="368">
                  <c:v>-0.1142285503121683</c:v>
                </c:pt>
                <c:pt idx="369">
                  <c:v>-0.11392855031216831</c:v>
                </c:pt>
                <c:pt idx="370">
                  <c:v>-0.11362855031216831</c:v>
                </c:pt>
                <c:pt idx="371">
                  <c:v>-0.11332855031216832</c:v>
                </c:pt>
                <c:pt idx="372">
                  <c:v>-0.11302855031216832</c:v>
                </c:pt>
                <c:pt idx="373">
                  <c:v>-0.11272855031216833</c:v>
                </c:pt>
                <c:pt idx="374">
                  <c:v>-0.11242855031216833</c:v>
                </c:pt>
                <c:pt idx="375">
                  <c:v>-0.11212855031216834</c:v>
                </c:pt>
                <c:pt idx="376">
                  <c:v>-0.11182855031216835</c:v>
                </c:pt>
                <c:pt idx="377">
                  <c:v>-0.11152855031216835</c:v>
                </c:pt>
                <c:pt idx="378">
                  <c:v>-0.11122855031216836</c:v>
                </c:pt>
                <c:pt idx="379">
                  <c:v>-0.11092855031216836</c:v>
                </c:pt>
                <c:pt idx="380">
                  <c:v>-0.11062855031216837</c:v>
                </c:pt>
                <c:pt idx="381">
                  <c:v>-0.11032855031216837</c:v>
                </c:pt>
                <c:pt idx="382">
                  <c:v>-0.11002855031216838</c:v>
                </c:pt>
                <c:pt idx="383">
                  <c:v>-0.10972855031216838</c:v>
                </c:pt>
                <c:pt idx="384">
                  <c:v>-0.10942855031216839</c:v>
                </c:pt>
                <c:pt idx="385">
                  <c:v>-0.10912855031216839</c:v>
                </c:pt>
                <c:pt idx="386">
                  <c:v>-0.1088285503121684</c:v>
                </c:pt>
                <c:pt idx="387">
                  <c:v>-0.1085285503121684</c:v>
                </c:pt>
                <c:pt idx="388">
                  <c:v>-0.10822855031216841</c:v>
                </c:pt>
                <c:pt idx="389">
                  <c:v>-0.10792855031216841</c:v>
                </c:pt>
                <c:pt idx="390">
                  <c:v>-0.10762855031216842</c:v>
                </c:pt>
                <c:pt idx="391">
                  <c:v>-0.10732855031216842</c:v>
                </c:pt>
                <c:pt idx="392">
                  <c:v>-0.10702855031216843</c:v>
                </c:pt>
                <c:pt idx="393">
                  <c:v>-0.10672855031216844</c:v>
                </c:pt>
                <c:pt idx="394">
                  <c:v>-0.10642855031216844</c:v>
                </c:pt>
                <c:pt idx="395">
                  <c:v>-0.10612855031216845</c:v>
                </c:pt>
                <c:pt idx="396">
                  <c:v>-0.10582855031216845</c:v>
                </c:pt>
                <c:pt idx="397">
                  <c:v>-0.10552855031216846</c:v>
                </c:pt>
                <c:pt idx="398">
                  <c:v>-0.10522855031216846</c:v>
                </c:pt>
                <c:pt idx="399">
                  <c:v>-0.10492855031216847</c:v>
                </c:pt>
                <c:pt idx="400">
                  <c:v>-0.10462855031216847</c:v>
                </c:pt>
                <c:pt idx="401">
                  <c:v>-0.10432855031216848</c:v>
                </c:pt>
                <c:pt idx="402">
                  <c:v>-0.10402855031216848</c:v>
                </c:pt>
                <c:pt idx="403">
                  <c:v>-0.10372855031216849</c:v>
                </c:pt>
                <c:pt idx="404">
                  <c:v>-0.10342855031216849</c:v>
                </c:pt>
                <c:pt idx="405">
                  <c:v>-0.1031285503121685</c:v>
                </c:pt>
                <c:pt idx="406">
                  <c:v>-0.1028285503121685</c:v>
                </c:pt>
                <c:pt idx="407">
                  <c:v>-0.10252855031216851</c:v>
                </c:pt>
                <c:pt idx="408">
                  <c:v>-0.10222855031216851</c:v>
                </c:pt>
                <c:pt idx="409">
                  <c:v>-0.10192855031216852</c:v>
                </c:pt>
                <c:pt idx="410">
                  <c:v>-0.10162855031216853</c:v>
                </c:pt>
                <c:pt idx="411">
                  <c:v>-0.10132855031216853</c:v>
                </c:pt>
                <c:pt idx="412">
                  <c:v>-0.10102855031216854</c:v>
                </c:pt>
                <c:pt idx="413">
                  <c:v>-0.10072855031216854</c:v>
                </c:pt>
                <c:pt idx="414">
                  <c:v>-0.10042855031216855</c:v>
                </c:pt>
                <c:pt idx="415">
                  <c:v>-0.10012855031216855</c:v>
                </c:pt>
                <c:pt idx="416">
                  <c:v>-9.9828550312168557E-2</c:v>
                </c:pt>
                <c:pt idx="417">
                  <c:v>-9.9528550312168562E-2</c:v>
                </c:pt>
                <c:pt idx="418">
                  <c:v>-9.9228550312168567E-2</c:v>
                </c:pt>
                <c:pt idx="419">
                  <c:v>-9.8928550312168573E-2</c:v>
                </c:pt>
                <c:pt idx="420">
                  <c:v>-9.8628550312168578E-2</c:v>
                </c:pt>
                <c:pt idx="421">
                  <c:v>-9.8328550312168583E-2</c:v>
                </c:pt>
                <c:pt idx="422">
                  <c:v>-9.8028550312168589E-2</c:v>
                </c:pt>
                <c:pt idx="423">
                  <c:v>-9.7728550312168594E-2</c:v>
                </c:pt>
                <c:pt idx="424">
                  <c:v>-9.7428550312168599E-2</c:v>
                </c:pt>
                <c:pt idx="425">
                  <c:v>-9.7128550312168604E-2</c:v>
                </c:pt>
                <c:pt idx="426">
                  <c:v>-9.682855031216861E-2</c:v>
                </c:pt>
                <c:pt idx="427">
                  <c:v>-9.6528550312168615E-2</c:v>
                </c:pt>
                <c:pt idx="428">
                  <c:v>-9.622855031216862E-2</c:v>
                </c:pt>
                <c:pt idx="429">
                  <c:v>-9.5928550312168626E-2</c:v>
                </c:pt>
                <c:pt idx="430">
                  <c:v>-9.5628550312168631E-2</c:v>
                </c:pt>
                <c:pt idx="431">
                  <c:v>-9.5328550312168636E-2</c:v>
                </c:pt>
                <c:pt idx="432">
                  <c:v>-9.5028550312168641E-2</c:v>
                </c:pt>
                <c:pt idx="433">
                  <c:v>-9.4728550312168647E-2</c:v>
                </c:pt>
                <c:pt idx="434">
                  <c:v>-9.4428550312168652E-2</c:v>
                </c:pt>
                <c:pt idx="435">
                  <c:v>-9.4128550312168657E-2</c:v>
                </c:pt>
                <c:pt idx="436">
                  <c:v>-9.3828550312168663E-2</c:v>
                </c:pt>
                <c:pt idx="437">
                  <c:v>-9.3528550312168668E-2</c:v>
                </c:pt>
                <c:pt idx="438">
                  <c:v>-9.3228550312168673E-2</c:v>
                </c:pt>
                <c:pt idx="439">
                  <c:v>-9.2928550312168678E-2</c:v>
                </c:pt>
                <c:pt idx="440">
                  <c:v>-9.2628550312168684E-2</c:v>
                </c:pt>
                <c:pt idx="441">
                  <c:v>-9.2328550312168689E-2</c:v>
                </c:pt>
                <c:pt idx="442">
                  <c:v>-9.2028550312168694E-2</c:v>
                </c:pt>
                <c:pt idx="443">
                  <c:v>-9.17285503121687E-2</c:v>
                </c:pt>
                <c:pt idx="444">
                  <c:v>-9.1428550312168705E-2</c:v>
                </c:pt>
                <c:pt idx="445">
                  <c:v>-9.112855031216871E-2</c:v>
                </c:pt>
                <c:pt idx="446">
                  <c:v>-9.0828550312168715E-2</c:v>
                </c:pt>
                <c:pt idx="447">
                  <c:v>-9.0528550312168721E-2</c:v>
                </c:pt>
                <c:pt idx="448">
                  <c:v>-9.0228550312168726E-2</c:v>
                </c:pt>
                <c:pt idx="449">
                  <c:v>-8.9928550312168731E-2</c:v>
                </c:pt>
                <c:pt idx="450">
                  <c:v>-8.9628550312168737E-2</c:v>
                </c:pt>
                <c:pt idx="451">
                  <c:v>-8.9328550312168742E-2</c:v>
                </c:pt>
                <c:pt idx="452">
                  <c:v>-8.9028550312168747E-2</c:v>
                </c:pt>
                <c:pt idx="453">
                  <c:v>-8.8728550312168752E-2</c:v>
                </c:pt>
                <c:pt idx="454">
                  <c:v>-8.8428550312168758E-2</c:v>
                </c:pt>
                <c:pt idx="455">
                  <c:v>-8.8128550312168763E-2</c:v>
                </c:pt>
                <c:pt idx="456">
                  <c:v>-8.7828550312168768E-2</c:v>
                </c:pt>
                <c:pt idx="457">
                  <c:v>-8.7528550312168774E-2</c:v>
                </c:pt>
                <c:pt idx="458">
                  <c:v>-8.7228550312168779E-2</c:v>
                </c:pt>
                <c:pt idx="459">
                  <c:v>-8.6928550312168784E-2</c:v>
                </c:pt>
                <c:pt idx="460">
                  <c:v>-8.6628550312168789E-2</c:v>
                </c:pt>
                <c:pt idx="461">
                  <c:v>-8.6328550312168795E-2</c:v>
                </c:pt>
                <c:pt idx="462">
                  <c:v>-8.60285503121688E-2</c:v>
                </c:pt>
                <c:pt idx="463">
                  <c:v>-8.5728550312168805E-2</c:v>
                </c:pt>
                <c:pt idx="464">
                  <c:v>-8.5428550312168811E-2</c:v>
                </c:pt>
                <c:pt idx="465">
                  <c:v>-8.5128550312168816E-2</c:v>
                </c:pt>
                <c:pt idx="466">
                  <c:v>-8.4828550312168821E-2</c:v>
                </c:pt>
                <c:pt idx="467">
                  <c:v>-8.4528550312168826E-2</c:v>
                </c:pt>
                <c:pt idx="468">
                  <c:v>-8.4228550312168832E-2</c:v>
                </c:pt>
                <c:pt idx="469">
                  <c:v>-8.3928550312168837E-2</c:v>
                </c:pt>
                <c:pt idx="470">
                  <c:v>-8.3628550312168842E-2</c:v>
                </c:pt>
                <c:pt idx="471">
                  <c:v>-8.3328550312168848E-2</c:v>
                </c:pt>
                <c:pt idx="472">
                  <c:v>-8.3028550312168853E-2</c:v>
                </c:pt>
                <c:pt idx="473">
                  <c:v>-8.2728550312168858E-2</c:v>
                </c:pt>
                <c:pt idx="474">
                  <c:v>-8.2428550312168863E-2</c:v>
                </c:pt>
                <c:pt idx="475">
                  <c:v>-8.2128550312168869E-2</c:v>
                </c:pt>
                <c:pt idx="476">
                  <c:v>-8.1828550312168874E-2</c:v>
                </c:pt>
                <c:pt idx="477">
                  <c:v>-8.1528550312168879E-2</c:v>
                </c:pt>
                <c:pt idx="478">
                  <c:v>-8.1228550312168885E-2</c:v>
                </c:pt>
                <c:pt idx="479">
                  <c:v>-8.092855031216889E-2</c:v>
                </c:pt>
                <c:pt idx="480">
                  <c:v>-8.0628550312168895E-2</c:v>
                </c:pt>
                <c:pt idx="481">
                  <c:v>-8.03285503121689E-2</c:v>
                </c:pt>
                <c:pt idx="482">
                  <c:v>-8.0028550312168906E-2</c:v>
                </c:pt>
                <c:pt idx="483">
                  <c:v>-7.9728550312168911E-2</c:v>
                </c:pt>
                <c:pt idx="484">
                  <c:v>-7.9428550312168916E-2</c:v>
                </c:pt>
                <c:pt idx="485">
                  <c:v>-7.9128550312168922E-2</c:v>
                </c:pt>
                <c:pt idx="486">
                  <c:v>-7.8828550312168927E-2</c:v>
                </c:pt>
                <c:pt idx="487">
                  <c:v>-7.8528550312168932E-2</c:v>
                </c:pt>
                <c:pt idx="488">
                  <c:v>-7.8228550312168937E-2</c:v>
                </c:pt>
                <c:pt idx="489">
                  <c:v>-7.7928550312168943E-2</c:v>
                </c:pt>
                <c:pt idx="490">
                  <c:v>-7.7628550312168948E-2</c:v>
                </c:pt>
                <c:pt idx="491">
                  <c:v>-7.7328550312168953E-2</c:v>
                </c:pt>
                <c:pt idx="492">
                  <c:v>-7.7028550312168959E-2</c:v>
                </c:pt>
                <c:pt idx="493">
                  <c:v>-7.6728550312168964E-2</c:v>
                </c:pt>
                <c:pt idx="494">
                  <c:v>-7.6428550312168969E-2</c:v>
                </c:pt>
                <c:pt idx="495">
                  <c:v>-7.6128550312168974E-2</c:v>
                </c:pt>
                <c:pt idx="496">
                  <c:v>-7.582855031216898E-2</c:v>
                </c:pt>
                <c:pt idx="497">
                  <c:v>-7.5528550312168985E-2</c:v>
                </c:pt>
                <c:pt idx="498">
                  <c:v>-7.522855031216899E-2</c:v>
                </c:pt>
                <c:pt idx="499">
                  <c:v>-7.4928550312168996E-2</c:v>
                </c:pt>
                <c:pt idx="500">
                  <c:v>-7.4628550312169001E-2</c:v>
                </c:pt>
                <c:pt idx="501">
                  <c:v>-7.4328550312169006E-2</c:v>
                </c:pt>
                <c:pt idx="502">
                  <c:v>-7.4028550312169011E-2</c:v>
                </c:pt>
                <c:pt idx="503">
                  <c:v>-7.3728550312169017E-2</c:v>
                </c:pt>
                <c:pt idx="504">
                  <c:v>-7.3428550312169022E-2</c:v>
                </c:pt>
                <c:pt idx="505">
                  <c:v>-7.3128550312169027E-2</c:v>
                </c:pt>
                <c:pt idx="506">
                  <c:v>-7.2828550312169033E-2</c:v>
                </c:pt>
                <c:pt idx="507">
                  <c:v>-7.2528550312169038E-2</c:v>
                </c:pt>
                <c:pt idx="508">
                  <c:v>-7.2228550312169043E-2</c:v>
                </c:pt>
                <c:pt idx="509">
                  <c:v>-7.1928550312169048E-2</c:v>
                </c:pt>
                <c:pt idx="510">
                  <c:v>-7.1628550312169054E-2</c:v>
                </c:pt>
                <c:pt idx="511">
                  <c:v>-7.1328550312169059E-2</c:v>
                </c:pt>
                <c:pt idx="512">
                  <c:v>-7.1028550312169064E-2</c:v>
                </c:pt>
                <c:pt idx="513">
                  <c:v>-7.072855031216907E-2</c:v>
                </c:pt>
                <c:pt idx="514">
                  <c:v>-7.0428550312169075E-2</c:v>
                </c:pt>
                <c:pt idx="515">
                  <c:v>-7.012855031216908E-2</c:v>
                </c:pt>
                <c:pt idx="516">
                  <c:v>-6.9828550312169085E-2</c:v>
                </c:pt>
                <c:pt idx="517">
                  <c:v>-6.9528550312169091E-2</c:v>
                </c:pt>
                <c:pt idx="518">
                  <c:v>-6.9228550312169096E-2</c:v>
                </c:pt>
                <c:pt idx="519">
                  <c:v>-6.8928550312169101E-2</c:v>
                </c:pt>
                <c:pt idx="520">
                  <c:v>-6.8628550312169107E-2</c:v>
                </c:pt>
                <c:pt idx="521">
                  <c:v>-6.8328550312169112E-2</c:v>
                </c:pt>
                <c:pt idx="522">
                  <c:v>-6.8028550312169117E-2</c:v>
                </c:pt>
                <c:pt idx="523">
                  <c:v>-6.7728550312169122E-2</c:v>
                </c:pt>
                <c:pt idx="524">
                  <c:v>-6.7428550312169128E-2</c:v>
                </c:pt>
                <c:pt idx="525">
                  <c:v>-6.7128550312169133E-2</c:v>
                </c:pt>
                <c:pt idx="526">
                  <c:v>-6.6828550312169138E-2</c:v>
                </c:pt>
                <c:pt idx="527">
                  <c:v>-6.6528550312169143E-2</c:v>
                </c:pt>
                <c:pt idx="528">
                  <c:v>-6.6228550312169149E-2</c:v>
                </c:pt>
                <c:pt idx="529">
                  <c:v>-6.5928550312169154E-2</c:v>
                </c:pt>
                <c:pt idx="530">
                  <c:v>-6.5628550312169159E-2</c:v>
                </c:pt>
                <c:pt idx="531">
                  <c:v>-6.5328550312169165E-2</c:v>
                </c:pt>
                <c:pt idx="532">
                  <c:v>-6.502855031216917E-2</c:v>
                </c:pt>
                <c:pt idx="533">
                  <c:v>-6.4728550312169175E-2</c:v>
                </c:pt>
                <c:pt idx="534">
                  <c:v>-6.442855031216918E-2</c:v>
                </c:pt>
                <c:pt idx="535">
                  <c:v>-6.4128550312169186E-2</c:v>
                </c:pt>
                <c:pt idx="536">
                  <c:v>-6.3828550312169191E-2</c:v>
                </c:pt>
                <c:pt idx="537">
                  <c:v>-6.3528550312169196E-2</c:v>
                </c:pt>
                <c:pt idx="538">
                  <c:v>-6.3228550312169202E-2</c:v>
                </c:pt>
                <c:pt idx="539">
                  <c:v>-6.2928550312169207E-2</c:v>
                </c:pt>
                <c:pt idx="540">
                  <c:v>-6.2628550312169212E-2</c:v>
                </c:pt>
                <c:pt idx="541">
                  <c:v>-6.2328550312169211E-2</c:v>
                </c:pt>
                <c:pt idx="542">
                  <c:v>-6.2028550312169209E-2</c:v>
                </c:pt>
                <c:pt idx="543">
                  <c:v>-6.1728550312169207E-2</c:v>
                </c:pt>
                <c:pt idx="544">
                  <c:v>-6.1428550312169206E-2</c:v>
                </c:pt>
                <c:pt idx="545">
                  <c:v>-6.1128550312169204E-2</c:v>
                </c:pt>
                <c:pt idx="546">
                  <c:v>-6.0828550312169202E-2</c:v>
                </c:pt>
                <c:pt idx="547">
                  <c:v>-6.0528550312169201E-2</c:v>
                </c:pt>
                <c:pt idx="548">
                  <c:v>-6.0228550312169199E-2</c:v>
                </c:pt>
                <c:pt idx="549">
                  <c:v>-5.9928550312169197E-2</c:v>
                </c:pt>
                <c:pt idx="550">
                  <c:v>-5.9628550312169196E-2</c:v>
                </c:pt>
                <c:pt idx="551">
                  <c:v>-5.9328550312169194E-2</c:v>
                </c:pt>
                <c:pt idx="552">
                  <c:v>-5.9028550312169192E-2</c:v>
                </c:pt>
                <c:pt idx="553">
                  <c:v>-5.8728550312169191E-2</c:v>
                </c:pt>
                <c:pt idx="554">
                  <c:v>-5.8428550312169189E-2</c:v>
                </c:pt>
                <c:pt idx="555">
                  <c:v>-5.8128550312169187E-2</c:v>
                </c:pt>
                <c:pt idx="556">
                  <c:v>-5.7828550312169186E-2</c:v>
                </c:pt>
                <c:pt idx="557">
                  <c:v>-5.7528550312169184E-2</c:v>
                </c:pt>
                <c:pt idx="558">
                  <c:v>-5.7228550312169182E-2</c:v>
                </c:pt>
                <c:pt idx="559">
                  <c:v>-5.6928550312169181E-2</c:v>
                </c:pt>
                <c:pt idx="560">
                  <c:v>-5.6628550312169179E-2</c:v>
                </c:pt>
                <c:pt idx="561">
                  <c:v>-5.6328550312169177E-2</c:v>
                </c:pt>
                <c:pt idx="562">
                  <c:v>-5.6028550312169176E-2</c:v>
                </c:pt>
                <c:pt idx="563">
                  <c:v>-5.5728550312169174E-2</c:v>
                </c:pt>
                <c:pt idx="564">
                  <c:v>-5.5428550312169172E-2</c:v>
                </c:pt>
                <c:pt idx="565">
                  <c:v>-5.5128550312169171E-2</c:v>
                </c:pt>
                <c:pt idx="566">
                  <c:v>-5.4828550312169169E-2</c:v>
                </c:pt>
                <c:pt idx="567">
                  <c:v>-5.4528550312169168E-2</c:v>
                </c:pt>
                <c:pt idx="568">
                  <c:v>-5.4228550312169166E-2</c:v>
                </c:pt>
                <c:pt idx="569">
                  <c:v>-5.3928550312169164E-2</c:v>
                </c:pt>
                <c:pt idx="570">
                  <c:v>-5.3628550312169163E-2</c:v>
                </c:pt>
                <c:pt idx="571">
                  <c:v>-5.3328550312169161E-2</c:v>
                </c:pt>
                <c:pt idx="572">
                  <c:v>-5.3028550312169159E-2</c:v>
                </c:pt>
                <c:pt idx="573">
                  <c:v>-5.2728550312169158E-2</c:v>
                </c:pt>
                <c:pt idx="574">
                  <c:v>-5.2428550312169156E-2</c:v>
                </c:pt>
                <c:pt idx="575">
                  <c:v>-5.2128550312169154E-2</c:v>
                </c:pt>
                <c:pt idx="576">
                  <c:v>-5.1828550312169153E-2</c:v>
                </c:pt>
                <c:pt idx="577">
                  <c:v>-5.1528550312169151E-2</c:v>
                </c:pt>
                <c:pt idx="578">
                  <c:v>-5.1228550312169149E-2</c:v>
                </c:pt>
                <c:pt idx="579">
                  <c:v>-5.0928550312169148E-2</c:v>
                </c:pt>
                <c:pt idx="580">
                  <c:v>-5.0628550312169146E-2</c:v>
                </c:pt>
                <c:pt idx="581">
                  <c:v>-5.0328550312169144E-2</c:v>
                </c:pt>
                <c:pt idx="582">
                  <c:v>-5.0028550312169143E-2</c:v>
                </c:pt>
                <c:pt idx="583">
                  <c:v>-4.9728550312169141E-2</c:v>
                </c:pt>
                <c:pt idx="584">
                  <c:v>-4.9428550312169139E-2</c:v>
                </c:pt>
                <c:pt idx="585">
                  <c:v>-4.9128550312169138E-2</c:v>
                </c:pt>
                <c:pt idx="586">
                  <c:v>-4.8828550312169136E-2</c:v>
                </c:pt>
                <c:pt idx="587">
                  <c:v>-4.8528550312169134E-2</c:v>
                </c:pt>
                <c:pt idx="588">
                  <c:v>-4.8228550312169133E-2</c:v>
                </c:pt>
                <c:pt idx="589">
                  <c:v>-4.7928550312169131E-2</c:v>
                </c:pt>
                <c:pt idx="590">
                  <c:v>-4.7628550312169129E-2</c:v>
                </c:pt>
                <c:pt idx="591">
                  <c:v>-4.7328550312169128E-2</c:v>
                </c:pt>
                <c:pt idx="592">
                  <c:v>-4.7028550312169126E-2</c:v>
                </c:pt>
                <c:pt idx="593">
                  <c:v>-4.6728550312169125E-2</c:v>
                </c:pt>
                <c:pt idx="594">
                  <c:v>-4.6428550312169123E-2</c:v>
                </c:pt>
                <c:pt idx="595">
                  <c:v>-4.6128550312169121E-2</c:v>
                </c:pt>
                <c:pt idx="596">
                  <c:v>-4.582855031216912E-2</c:v>
                </c:pt>
                <c:pt idx="597">
                  <c:v>-4.5528550312169118E-2</c:v>
                </c:pt>
                <c:pt idx="598">
                  <c:v>-4.5228550312169116E-2</c:v>
                </c:pt>
                <c:pt idx="599">
                  <c:v>-4.4928550312169115E-2</c:v>
                </c:pt>
                <c:pt idx="600">
                  <c:v>-4.4628550312169113E-2</c:v>
                </c:pt>
                <c:pt idx="601">
                  <c:v>-4.4328550312169111E-2</c:v>
                </c:pt>
                <c:pt idx="602">
                  <c:v>-4.402855031216911E-2</c:v>
                </c:pt>
                <c:pt idx="603">
                  <c:v>-4.3728550312169108E-2</c:v>
                </c:pt>
                <c:pt idx="604">
                  <c:v>-4.3428550312169106E-2</c:v>
                </c:pt>
                <c:pt idx="605">
                  <c:v>-4.3128550312169105E-2</c:v>
                </c:pt>
                <c:pt idx="606">
                  <c:v>-4.2828550312169103E-2</c:v>
                </c:pt>
                <c:pt idx="607">
                  <c:v>-4.2528550312169101E-2</c:v>
                </c:pt>
                <c:pt idx="608">
                  <c:v>-4.22285503121691E-2</c:v>
                </c:pt>
                <c:pt idx="609">
                  <c:v>-4.1928550312169098E-2</c:v>
                </c:pt>
                <c:pt idx="610">
                  <c:v>-4.1628550312169096E-2</c:v>
                </c:pt>
                <c:pt idx="611">
                  <c:v>-4.1328550312169095E-2</c:v>
                </c:pt>
                <c:pt idx="612">
                  <c:v>-4.1028550312169093E-2</c:v>
                </c:pt>
                <c:pt idx="613">
                  <c:v>-4.0728550312169091E-2</c:v>
                </c:pt>
                <c:pt idx="614">
                  <c:v>-4.042855031216909E-2</c:v>
                </c:pt>
                <c:pt idx="615">
                  <c:v>-4.0128550312169088E-2</c:v>
                </c:pt>
                <c:pt idx="616">
                  <c:v>-3.9828550312169086E-2</c:v>
                </c:pt>
                <c:pt idx="617">
                  <c:v>-3.9528550312169085E-2</c:v>
                </c:pt>
                <c:pt idx="618">
                  <c:v>-3.9228550312169083E-2</c:v>
                </c:pt>
                <c:pt idx="619">
                  <c:v>-3.8928550312169082E-2</c:v>
                </c:pt>
                <c:pt idx="620">
                  <c:v>-3.862855031216908E-2</c:v>
                </c:pt>
                <c:pt idx="621">
                  <c:v>-3.8328550312169078E-2</c:v>
                </c:pt>
                <c:pt idx="622">
                  <c:v>-3.8028550312169077E-2</c:v>
                </c:pt>
                <c:pt idx="623">
                  <c:v>-3.7728550312169075E-2</c:v>
                </c:pt>
                <c:pt idx="624">
                  <c:v>-3.7428550312169073E-2</c:v>
                </c:pt>
                <c:pt idx="625">
                  <c:v>-3.7128550312169072E-2</c:v>
                </c:pt>
                <c:pt idx="626">
                  <c:v>-3.682855031216907E-2</c:v>
                </c:pt>
                <c:pt idx="627">
                  <c:v>-3.6528550312169068E-2</c:v>
                </c:pt>
                <c:pt idx="628">
                  <c:v>-3.6228550312169067E-2</c:v>
                </c:pt>
                <c:pt idx="629">
                  <c:v>-3.5928550312169065E-2</c:v>
                </c:pt>
                <c:pt idx="630">
                  <c:v>-3.5628550312169063E-2</c:v>
                </c:pt>
                <c:pt idx="631">
                  <c:v>-3.5328550312169062E-2</c:v>
                </c:pt>
                <c:pt idx="632">
                  <c:v>-3.502855031216906E-2</c:v>
                </c:pt>
                <c:pt idx="633">
                  <c:v>-3.4728550312169058E-2</c:v>
                </c:pt>
                <c:pt idx="634">
                  <c:v>-3.4428550312169057E-2</c:v>
                </c:pt>
                <c:pt idx="635">
                  <c:v>-3.4128550312169055E-2</c:v>
                </c:pt>
                <c:pt idx="636">
                  <c:v>-3.3828550312169053E-2</c:v>
                </c:pt>
                <c:pt idx="637">
                  <c:v>-3.3528550312169052E-2</c:v>
                </c:pt>
                <c:pt idx="638">
                  <c:v>-3.322855031216905E-2</c:v>
                </c:pt>
                <c:pt idx="639">
                  <c:v>-3.2928550312169048E-2</c:v>
                </c:pt>
                <c:pt idx="640">
                  <c:v>-3.2628550312169047E-2</c:v>
                </c:pt>
                <c:pt idx="641">
                  <c:v>-3.2328550312169045E-2</c:v>
                </c:pt>
                <c:pt idx="642">
                  <c:v>-3.2028550312169043E-2</c:v>
                </c:pt>
                <c:pt idx="643">
                  <c:v>-3.1728550312169042E-2</c:v>
                </c:pt>
                <c:pt idx="644">
                  <c:v>-3.142855031216904E-2</c:v>
                </c:pt>
                <c:pt idx="645">
                  <c:v>-3.1128550312169039E-2</c:v>
                </c:pt>
                <c:pt idx="646">
                  <c:v>-3.0828550312169037E-2</c:v>
                </c:pt>
                <c:pt idx="647">
                  <c:v>-3.0528550312169035E-2</c:v>
                </c:pt>
                <c:pt idx="648">
                  <c:v>-3.0228550312169034E-2</c:v>
                </c:pt>
                <c:pt idx="649">
                  <c:v>-2.9928550312169032E-2</c:v>
                </c:pt>
                <c:pt idx="650">
                  <c:v>-2.962855031216903E-2</c:v>
                </c:pt>
                <c:pt idx="651">
                  <c:v>-2.9328550312169029E-2</c:v>
                </c:pt>
                <c:pt idx="652">
                  <c:v>-2.9028550312169027E-2</c:v>
                </c:pt>
                <c:pt idx="653">
                  <c:v>-2.8728550312169025E-2</c:v>
                </c:pt>
                <c:pt idx="654">
                  <c:v>-2.8428550312169024E-2</c:v>
                </c:pt>
                <c:pt idx="655">
                  <c:v>-2.8128550312169022E-2</c:v>
                </c:pt>
                <c:pt idx="656">
                  <c:v>-2.782855031216902E-2</c:v>
                </c:pt>
                <c:pt idx="657">
                  <c:v>-2.7528550312169019E-2</c:v>
                </c:pt>
                <c:pt idx="658">
                  <c:v>-2.7228550312169017E-2</c:v>
                </c:pt>
                <c:pt idx="659">
                  <c:v>-2.6928550312169015E-2</c:v>
                </c:pt>
                <c:pt idx="660">
                  <c:v>-2.6628550312169014E-2</c:v>
                </c:pt>
                <c:pt idx="661">
                  <c:v>-2.6328550312169012E-2</c:v>
                </c:pt>
                <c:pt idx="662">
                  <c:v>-2.602855031216901E-2</c:v>
                </c:pt>
                <c:pt idx="663">
                  <c:v>-2.5728550312169009E-2</c:v>
                </c:pt>
                <c:pt idx="664">
                  <c:v>-2.5428550312169007E-2</c:v>
                </c:pt>
                <c:pt idx="665">
                  <c:v>-2.5128550312169005E-2</c:v>
                </c:pt>
                <c:pt idx="666">
                  <c:v>-2.4828550312169004E-2</c:v>
                </c:pt>
                <c:pt idx="667">
                  <c:v>-2.4528550312169002E-2</c:v>
                </c:pt>
                <c:pt idx="668">
                  <c:v>-2.4228550312169E-2</c:v>
                </c:pt>
                <c:pt idx="669">
                  <c:v>-2.3928550312168999E-2</c:v>
                </c:pt>
                <c:pt idx="670">
                  <c:v>-2.3628550312168997E-2</c:v>
                </c:pt>
                <c:pt idx="671">
                  <c:v>-2.3328550312168995E-2</c:v>
                </c:pt>
                <c:pt idx="672">
                  <c:v>-2.3028550312168994E-2</c:v>
                </c:pt>
                <c:pt idx="673">
                  <c:v>-2.2728550312168992E-2</c:v>
                </c:pt>
                <c:pt idx="674">
                  <c:v>-2.2428550312168991E-2</c:v>
                </c:pt>
                <c:pt idx="675">
                  <c:v>-2.2128550312168989E-2</c:v>
                </c:pt>
                <c:pt idx="676">
                  <c:v>-2.1828550312168987E-2</c:v>
                </c:pt>
                <c:pt idx="677">
                  <c:v>-2.1528550312168986E-2</c:v>
                </c:pt>
                <c:pt idx="678">
                  <c:v>-2.1228550312168984E-2</c:v>
                </c:pt>
                <c:pt idx="679">
                  <c:v>-2.0928550312168982E-2</c:v>
                </c:pt>
                <c:pt idx="680">
                  <c:v>-2.0628550312168981E-2</c:v>
                </c:pt>
                <c:pt idx="681">
                  <c:v>-2.0328550312168979E-2</c:v>
                </c:pt>
                <c:pt idx="682">
                  <c:v>-2.0028550312168977E-2</c:v>
                </c:pt>
                <c:pt idx="683">
                  <c:v>-1.9728550312168976E-2</c:v>
                </c:pt>
                <c:pt idx="684">
                  <c:v>-1.9428550312168974E-2</c:v>
                </c:pt>
                <c:pt idx="685">
                  <c:v>-1.9128550312168972E-2</c:v>
                </c:pt>
                <c:pt idx="686">
                  <c:v>-1.8828550312168971E-2</c:v>
                </c:pt>
                <c:pt idx="687">
                  <c:v>-1.8528550312168969E-2</c:v>
                </c:pt>
                <c:pt idx="688">
                  <c:v>-1.8228550312168967E-2</c:v>
                </c:pt>
                <c:pt idx="689">
                  <c:v>-1.7928550312168966E-2</c:v>
                </c:pt>
                <c:pt idx="690">
                  <c:v>-1.7628550312168964E-2</c:v>
                </c:pt>
                <c:pt idx="691">
                  <c:v>-1.7328550312168962E-2</c:v>
                </c:pt>
                <c:pt idx="692">
                  <c:v>-1.7028550312168961E-2</c:v>
                </c:pt>
                <c:pt idx="693">
                  <c:v>-1.6728550312168959E-2</c:v>
                </c:pt>
                <c:pt idx="694">
                  <c:v>-1.6428550312168957E-2</c:v>
                </c:pt>
                <c:pt idx="695">
                  <c:v>-1.6128550312168956E-2</c:v>
                </c:pt>
                <c:pt idx="696">
                  <c:v>-1.5828550312168954E-2</c:v>
                </c:pt>
                <c:pt idx="697">
                  <c:v>-1.5528550312168954E-2</c:v>
                </c:pt>
                <c:pt idx="698">
                  <c:v>-1.5228550312168954E-2</c:v>
                </c:pt>
                <c:pt idx="699">
                  <c:v>-1.4928550312168954E-2</c:v>
                </c:pt>
                <c:pt idx="700">
                  <c:v>-1.4628550312168954E-2</c:v>
                </c:pt>
                <c:pt idx="701">
                  <c:v>-1.4328550312168955E-2</c:v>
                </c:pt>
                <c:pt idx="702">
                  <c:v>-1.4028550312168955E-2</c:v>
                </c:pt>
                <c:pt idx="703">
                  <c:v>-1.3728550312168955E-2</c:v>
                </c:pt>
                <c:pt idx="704">
                  <c:v>-1.3428550312168955E-2</c:v>
                </c:pt>
                <c:pt idx="705">
                  <c:v>-1.3128550312168955E-2</c:v>
                </c:pt>
                <c:pt idx="706">
                  <c:v>-1.2828550312168955E-2</c:v>
                </c:pt>
                <c:pt idx="707">
                  <c:v>-1.2528550312168955E-2</c:v>
                </c:pt>
                <c:pt idx="708">
                  <c:v>-1.2228550312168955E-2</c:v>
                </c:pt>
                <c:pt idx="709">
                  <c:v>-1.1928550312168955E-2</c:v>
                </c:pt>
                <c:pt idx="710">
                  <c:v>-1.1628550312168955E-2</c:v>
                </c:pt>
                <c:pt idx="711">
                  <c:v>-1.1328550312168955E-2</c:v>
                </c:pt>
                <c:pt idx="712">
                  <c:v>-1.1028550312168955E-2</c:v>
                </c:pt>
                <c:pt idx="713">
                  <c:v>-1.0728550312168956E-2</c:v>
                </c:pt>
                <c:pt idx="714">
                  <c:v>-1.0428550312168956E-2</c:v>
                </c:pt>
                <c:pt idx="715">
                  <c:v>-1.0128550312168956E-2</c:v>
                </c:pt>
                <c:pt idx="716">
                  <c:v>-9.8285503121689557E-3</c:v>
                </c:pt>
                <c:pt idx="717">
                  <c:v>-9.5285503121689558E-3</c:v>
                </c:pt>
                <c:pt idx="718">
                  <c:v>-9.2285503121689559E-3</c:v>
                </c:pt>
                <c:pt idx="719">
                  <c:v>-8.928550312168956E-3</c:v>
                </c:pt>
                <c:pt idx="720">
                  <c:v>-8.6285503121689561E-3</c:v>
                </c:pt>
                <c:pt idx="721">
                  <c:v>-8.3285503121689562E-3</c:v>
                </c:pt>
                <c:pt idx="722">
                  <c:v>-8.0285503121689562E-3</c:v>
                </c:pt>
                <c:pt idx="723">
                  <c:v>-7.7285503121689563E-3</c:v>
                </c:pt>
                <c:pt idx="724">
                  <c:v>-7.4285503121689564E-3</c:v>
                </c:pt>
                <c:pt idx="725">
                  <c:v>-7.1285503121689565E-3</c:v>
                </c:pt>
                <c:pt idx="726">
                  <c:v>-6.8285503121689566E-3</c:v>
                </c:pt>
                <c:pt idx="727">
                  <c:v>-6.5285503121689566E-3</c:v>
                </c:pt>
                <c:pt idx="728">
                  <c:v>-6.2285503121689567E-3</c:v>
                </c:pt>
                <c:pt idx="729">
                  <c:v>-5.9285503121689568E-3</c:v>
                </c:pt>
                <c:pt idx="730">
                  <c:v>-5.6285503121689569E-3</c:v>
                </c:pt>
                <c:pt idx="731">
                  <c:v>-5.328550312168957E-3</c:v>
                </c:pt>
                <c:pt idx="732">
                  <c:v>-5.028550312168957E-3</c:v>
                </c:pt>
                <c:pt idx="733">
                  <c:v>-4.7285503121689571E-3</c:v>
                </c:pt>
                <c:pt idx="734">
                  <c:v>-4.4285503121689572E-3</c:v>
                </c:pt>
                <c:pt idx="735">
                  <c:v>-4.1285503121689573E-3</c:v>
                </c:pt>
                <c:pt idx="736">
                  <c:v>-3.8285503121689574E-3</c:v>
                </c:pt>
                <c:pt idx="737">
                  <c:v>-3.5285503121689574E-3</c:v>
                </c:pt>
                <c:pt idx="738">
                  <c:v>-3.2285503121689575E-3</c:v>
                </c:pt>
                <c:pt idx="739">
                  <c:v>-2.9285503121689576E-3</c:v>
                </c:pt>
                <c:pt idx="740">
                  <c:v>-2.6285503121689577E-3</c:v>
                </c:pt>
                <c:pt idx="741">
                  <c:v>-2.3285503121689578E-3</c:v>
                </c:pt>
                <c:pt idx="742">
                  <c:v>-2.0285503121689578E-3</c:v>
                </c:pt>
                <c:pt idx="743">
                  <c:v>-1.7285503121689579E-3</c:v>
                </c:pt>
                <c:pt idx="744">
                  <c:v>-1.428550312168958E-3</c:v>
                </c:pt>
                <c:pt idx="745">
                  <c:v>-1.1285503121689581E-3</c:v>
                </c:pt>
                <c:pt idx="746">
                  <c:v>-8.2855031216895816E-4</c:v>
                </c:pt>
                <c:pt idx="747">
                  <c:v>-5.2855031216895824E-4</c:v>
                </c:pt>
                <c:pt idx="748">
                  <c:v>-2.2855031216895827E-4</c:v>
                </c:pt>
                <c:pt idx="749">
                  <c:v>7.1449687831041703E-5</c:v>
                </c:pt>
                <c:pt idx="750">
                  <c:v>3.7144968783104168E-4</c:v>
                </c:pt>
                <c:pt idx="751">
                  <c:v>6.7144968783104165E-4</c:v>
                </c:pt>
                <c:pt idx="752">
                  <c:v>9.7144968783104157E-4</c:v>
                </c:pt>
                <c:pt idx="753">
                  <c:v>1.2714496878310415E-3</c:v>
                </c:pt>
                <c:pt idx="754">
                  <c:v>1.5714496878310414E-3</c:v>
                </c:pt>
                <c:pt idx="755">
                  <c:v>1.8714496878310413E-3</c:v>
                </c:pt>
                <c:pt idx="756">
                  <c:v>2.1714496878310415E-3</c:v>
                </c:pt>
                <c:pt idx="757">
                  <c:v>2.4714496878310414E-3</c:v>
                </c:pt>
                <c:pt idx="758">
                  <c:v>2.7714496878310413E-3</c:v>
                </c:pt>
                <c:pt idx="759">
                  <c:v>3.0714496878310412E-3</c:v>
                </c:pt>
                <c:pt idx="760">
                  <c:v>3.3714496878310411E-3</c:v>
                </c:pt>
                <c:pt idx="761">
                  <c:v>3.6714496878310411E-3</c:v>
                </c:pt>
                <c:pt idx="762">
                  <c:v>3.9714496878310414E-3</c:v>
                </c:pt>
                <c:pt idx="763">
                  <c:v>4.2714496878310413E-3</c:v>
                </c:pt>
                <c:pt idx="764">
                  <c:v>4.5714496878310413E-3</c:v>
                </c:pt>
                <c:pt idx="765">
                  <c:v>4.8714496878310412E-3</c:v>
                </c:pt>
                <c:pt idx="766">
                  <c:v>5.1714496878310411E-3</c:v>
                </c:pt>
                <c:pt idx="767">
                  <c:v>5.471449687831041E-3</c:v>
                </c:pt>
                <c:pt idx="768">
                  <c:v>5.7714496878310409E-3</c:v>
                </c:pt>
                <c:pt idx="769">
                  <c:v>6.0714496878310409E-3</c:v>
                </c:pt>
                <c:pt idx="770">
                  <c:v>6.3714496878310408E-3</c:v>
                </c:pt>
                <c:pt idx="771">
                  <c:v>6.6714496878310407E-3</c:v>
                </c:pt>
                <c:pt idx="772">
                  <c:v>6.9714496878310406E-3</c:v>
                </c:pt>
                <c:pt idx="773">
                  <c:v>7.2714496878310405E-3</c:v>
                </c:pt>
                <c:pt idx="774">
                  <c:v>7.5714496878310404E-3</c:v>
                </c:pt>
                <c:pt idx="775">
                  <c:v>7.8714496878310412E-3</c:v>
                </c:pt>
                <c:pt idx="776">
                  <c:v>8.1714496878310412E-3</c:v>
                </c:pt>
                <c:pt idx="777">
                  <c:v>8.4714496878310411E-3</c:v>
                </c:pt>
                <c:pt idx="778">
                  <c:v>8.771449687831041E-3</c:v>
                </c:pt>
                <c:pt idx="779">
                  <c:v>9.0714496878310409E-3</c:v>
                </c:pt>
                <c:pt idx="780">
                  <c:v>9.3714496878310408E-3</c:v>
                </c:pt>
                <c:pt idx="781">
                  <c:v>9.6714496878310408E-3</c:v>
                </c:pt>
                <c:pt idx="782">
                  <c:v>9.9714496878310407E-3</c:v>
                </c:pt>
                <c:pt idx="783">
                  <c:v>1.0271449687831041E-2</c:v>
                </c:pt>
                <c:pt idx="784">
                  <c:v>1.0571449687831041E-2</c:v>
                </c:pt>
                <c:pt idx="785">
                  <c:v>1.087144968783104E-2</c:v>
                </c:pt>
                <c:pt idx="786">
                  <c:v>1.117144968783104E-2</c:v>
                </c:pt>
                <c:pt idx="787">
                  <c:v>1.147144968783104E-2</c:v>
                </c:pt>
                <c:pt idx="788">
                  <c:v>1.177144968783104E-2</c:v>
                </c:pt>
                <c:pt idx="789">
                  <c:v>1.207144968783104E-2</c:v>
                </c:pt>
                <c:pt idx="790">
                  <c:v>1.237144968783104E-2</c:v>
                </c:pt>
                <c:pt idx="791">
                  <c:v>1.267144968783104E-2</c:v>
                </c:pt>
                <c:pt idx="792">
                  <c:v>1.297144968783104E-2</c:v>
                </c:pt>
                <c:pt idx="793">
                  <c:v>1.327144968783104E-2</c:v>
                </c:pt>
                <c:pt idx="794">
                  <c:v>1.357144968783104E-2</c:v>
                </c:pt>
                <c:pt idx="795">
                  <c:v>1.387144968783104E-2</c:v>
                </c:pt>
                <c:pt idx="796">
                  <c:v>1.417144968783104E-2</c:v>
                </c:pt>
                <c:pt idx="797">
                  <c:v>1.4471449687831039E-2</c:v>
                </c:pt>
                <c:pt idx="798">
                  <c:v>1.4771449687831039E-2</c:v>
                </c:pt>
                <c:pt idx="799">
                  <c:v>1.5071449687831039E-2</c:v>
                </c:pt>
                <c:pt idx="800">
                  <c:v>1.5371449687831039E-2</c:v>
                </c:pt>
                <c:pt idx="801">
                  <c:v>1.5671449687831039E-2</c:v>
                </c:pt>
                <c:pt idx="802">
                  <c:v>1.5971449687831041E-2</c:v>
                </c:pt>
                <c:pt idx="803">
                  <c:v>1.6271449687831042E-2</c:v>
                </c:pt>
                <c:pt idx="804">
                  <c:v>1.6571449687831044E-2</c:v>
                </c:pt>
                <c:pt idx="805">
                  <c:v>1.6871449687831046E-2</c:v>
                </c:pt>
                <c:pt idx="806">
                  <c:v>1.7171449687831047E-2</c:v>
                </c:pt>
                <c:pt idx="807">
                  <c:v>1.7471449687831049E-2</c:v>
                </c:pt>
                <c:pt idx="808">
                  <c:v>1.7771449687831051E-2</c:v>
                </c:pt>
                <c:pt idx="809">
                  <c:v>1.8071449687831052E-2</c:v>
                </c:pt>
                <c:pt idx="810">
                  <c:v>1.8371449687831054E-2</c:v>
                </c:pt>
                <c:pt idx="811">
                  <c:v>1.8671449687831056E-2</c:v>
                </c:pt>
                <c:pt idx="812">
                  <c:v>1.8971449687831057E-2</c:v>
                </c:pt>
                <c:pt idx="813">
                  <c:v>1.9271449687831059E-2</c:v>
                </c:pt>
                <c:pt idx="814">
                  <c:v>1.9571449687831061E-2</c:v>
                </c:pt>
                <c:pt idx="815">
                  <c:v>1.9871449687831062E-2</c:v>
                </c:pt>
                <c:pt idx="816">
                  <c:v>2.0171449687831064E-2</c:v>
                </c:pt>
                <c:pt idx="817">
                  <c:v>2.0471449687831066E-2</c:v>
                </c:pt>
                <c:pt idx="818">
                  <c:v>2.0771449687831067E-2</c:v>
                </c:pt>
                <c:pt idx="819">
                  <c:v>2.1071449687831069E-2</c:v>
                </c:pt>
                <c:pt idx="820">
                  <c:v>2.1371449687831071E-2</c:v>
                </c:pt>
                <c:pt idx="821">
                  <c:v>2.1671449687831072E-2</c:v>
                </c:pt>
                <c:pt idx="822">
                  <c:v>2.1971449687831074E-2</c:v>
                </c:pt>
                <c:pt idx="823">
                  <c:v>2.2271449687831076E-2</c:v>
                </c:pt>
                <c:pt idx="824">
                  <c:v>2.2571449687831077E-2</c:v>
                </c:pt>
                <c:pt idx="825">
                  <c:v>2.2871449687831079E-2</c:v>
                </c:pt>
                <c:pt idx="826">
                  <c:v>2.317144968783108E-2</c:v>
                </c:pt>
                <c:pt idx="827">
                  <c:v>2.3471449687831082E-2</c:v>
                </c:pt>
                <c:pt idx="828">
                  <c:v>2.3771449687831084E-2</c:v>
                </c:pt>
                <c:pt idx="829">
                  <c:v>2.4071449687831085E-2</c:v>
                </c:pt>
                <c:pt idx="830">
                  <c:v>2.4371449687831087E-2</c:v>
                </c:pt>
                <c:pt idx="831">
                  <c:v>2.4671449687831089E-2</c:v>
                </c:pt>
                <c:pt idx="832">
                  <c:v>2.497144968783109E-2</c:v>
                </c:pt>
                <c:pt idx="833">
                  <c:v>2.5271449687831092E-2</c:v>
                </c:pt>
                <c:pt idx="834">
                  <c:v>2.5571449687831094E-2</c:v>
                </c:pt>
                <c:pt idx="835">
                  <c:v>2.5871449687831095E-2</c:v>
                </c:pt>
                <c:pt idx="836">
                  <c:v>2.6171449687831097E-2</c:v>
                </c:pt>
                <c:pt idx="837">
                  <c:v>2.6471449687831099E-2</c:v>
                </c:pt>
                <c:pt idx="838">
                  <c:v>2.67714496878311E-2</c:v>
                </c:pt>
                <c:pt idx="839">
                  <c:v>2.7071449687831102E-2</c:v>
                </c:pt>
                <c:pt idx="840">
                  <c:v>2.7371449687831104E-2</c:v>
                </c:pt>
                <c:pt idx="841">
                  <c:v>2.7671449687831105E-2</c:v>
                </c:pt>
                <c:pt idx="842">
                  <c:v>2.7971449687831107E-2</c:v>
                </c:pt>
                <c:pt idx="843">
                  <c:v>2.8271449687831109E-2</c:v>
                </c:pt>
                <c:pt idx="844">
                  <c:v>2.857144968783111E-2</c:v>
                </c:pt>
                <c:pt idx="845">
                  <c:v>2.8871449687831112E-2</c:v>
                </c:pt>
                <c:pt idx="846">
                  <c:v>2.9171449687831114E-2</c:v>
                </c:pt>
                <c:pt idx="847">
                  <c:v>2.9471449687831115E-2</c:v>
                </c:pt>
                <c:pt idx="848">
                  <c:v>2.9771449687831117E-2</c:v>
                </c:pt>
                <c:pt idx="849">
                  <c:v>3.0071449687831119E-2</c:v>
                </c:pt>
                <c:pt idx="850">
                  <c:v>3.037144968783112E-2</c:v>
                </c:pt>
                <c:pt idx="851">
                  <c:v>3.0671449687831122E-2</c:v>
                </c:pt>
                <c:pt idx="852">
                  <c:v>3.0971449687831124E-2</c:v>
                </c:pt>
                <c:pt idx="853">
                  <c:v>3.1271449687831125E-2</c:v>
                </c:pt>
                <c:pt idx="854">
                  <c:v>3.1571449687831127E-2</c:v>
                </c:pt>
                <c:pt idx="855">
                  <c:v>3.1871449687831128E-2</c:v>
                </c:pt>
                <c:pt idx="856">
                  <c:v>3.217144968783113E-2</c:v>
                </c:pt>
                <c:pt idx="857">
                  <c:v>3.2471449687831132E-2</c:v>
                </c:pt>
                <c:pt idx="858">
                  <c:v>3.2771449687831133E-2</c:v>
                </c:pt>
                <c:pt idx="859">
                  <c:v>3.3071449687831135E-2</c:v>
                </c:pt>
                <c:pt idx="860">
                  <c:v>3.3371449687831137E-2</c:v>
                </c:pt>
                <c:pt idx="861">
                  <c:v>3.3671449687831138E-2</c:v>
                </c:pt>
                <c:pt idx="862">
                  <c:v>3.397144968783114E-2</c:v>
                </c:pt>
                <c:pt idx="863">
                  <c:v>3.4271449687831142E-2</c:v>
                </c:pt>
                <c:pt idx="864">
                  <c:v>3.4571449687831143E-2</c:v>
                </c:pt>
                <c:pt idx="865">
                  <c:v>3.4871449687831145E-2</c:v>
                </c:pt>
                <c:pt idx="866">
                  <c:v>3.5171449687831147E-2</c:v>
                </c:pt>
                <c:pt idx="867">
                  <c:v>3.5471449687831148E-2</c:v>
                </c:pt>
                <c:pt idx="868">
                  <c:v>3.577144968783115E-2</c:v>
                </c:pt>
                <c:pt idx="869">
                  <c:v>3.6071449687831152E-2</c:v>
                </c:pt>
                <c:pt idx="870">
                  <c:v>3.6371449687831153E-2</c:v>
                </c:pt>
                <c:pt idx="871">
                  <c:v>3.6671449687831155E-2</c:v>
                </c:pt>
                <c:pt idx="872">
                  <c:v>3.6971449687831157E-2</c:v>
                </c:pt>
                <c:pt idx="873">
                  <c:v>3.7271449687831158E-2</c:v>
                </c:pt>
                <c:pt idx="874">
                  <c:v>3.757144968783116E-2</c:v>
                </c:pt>
                <c:pt idx="875">
                  <c:v>3.7871449687831162E-2</c:v>
                </c:pt>
                <c:pt idx="876">
                  <c:v>3.8171449687831163E-2</c:v>
                </c:pt>
                <c:pt idx="877">
                  <c:v>3.8471449687831165E-2</c:v>
                </c:pt>
                <c:pt idx="878">
                  <c:v>3.8771449687831167E-2</c:v>
                </c:pt>
                <c:pt idx="879">
                  <c:v>3.9071449687831168E-2</c:v>
                </c:pt>
                <c:pt idx="880">
                  <c:v>3.937144968783117E-2</c:v>
                </c:pt>
                <c:pt idx="881">
                  <c:v>3.9671449687831171E-2</c:v>
                </c:pt>
                <c:pt idx="882">
                  <c:v>3.9971449687831173E-2</c:v>
                </c:pt>
                <c:pt idx="883">
                  <c:v>4.0271449687831175E-2</c:v>
                </c:pt>
                <c:pt idx="884">
                  <c:v>4.0571449687831176E-2</c:v>
                </c:pt>
                <c:pt idx="885">
                  <c:v>4.0871449687831178E-2</c:v>
                </c:pt>
                <c:pt idx="886">
                  <c:v>4.117144968783118E-2</c:v>
                </c:pt>
                <c:pt idx="887">
                  <c:v>4.1471449687831181E-2</c:v>
                </c:pt>
                <c:pt idx="888">
                  <c:v>4.1771449687831183E-2</c:v>
                </c:pt>
                <c:pt idx="889">
                  <c:v>4.2071449687831185E-2</c:v>
                </c:pt>
                <c:pt idx="890">
                  <c:v>4.2371449687831186E-2</c:v>
                </c:pt>
                <c:pt idx="891">
                  <c:v>4.2671449687831188E-2</c:v>
                </c:pt>
                <c:pt idx="892">
                  <c:v>4.297144968783119E-2</c:v>
                </c:pt>
                <c:pt idx="893">
                  <c:v>4.3271449687831191E-2</c:v>
                </c:pt>
                <c:pt idx="894">
                  <c:v>4.3571449687831193E-2</c:v>
                </c:pt>
                <c:pt idx="895">
                  <c:v>4.3871449687831195E-2</c:v>
                </c:pt>
                <c:pt idx="896">
                  <c:v>4.4171449687831196E-2</c:v>
                </c:pt>
                <c:pt idx="897">
                  <c:v>4.4471449687831198E-2</c:v>
                </c:pt>
                <c:pt idx="898">
                  <c:v>4.47714496878312E-2</c:v>
                </c:pt>
                <c:pt idx="899">
                  <c:v>4.5071449687831201E-2</c:v>
                </c:pt>
                <c:pt idx="900">
                  <c:v>4.5371449687831203E-2</c:v>
                </c:pt>
                <c:pt idx="901">
                  <c:v>4.5671449687831205E-2</c:v>
                </c:pt>
                <c:pt idx="902">
                  <c:v>4.5971449687831206E-2</c:v>
                </c:pt>
                <c:pt idx="903">
                  <c:v>4.6271449687831208E-2</c:v>
                </c:pt>
                <c:pt idx="904">
                  <c:v>4.657144968783121E-2</c:v>
                </c:pt>
                <c:pt idx="905">
                  <c:v>4.6871449687831211E-2</c:v>
                </c:pt>
                <c:pt idx="906">
                  <c:v>4.7171449687831213E-2</c:v>
                </c:pt>
                <c:pt idx="907">
                  <c:v>4.7471449687831214E-2</c:v>
                </c:pt>
                <c:pt idx="908">
                  <c:v>4.7771449687831216E-2</c:v>
                </c:pt>
                <c:pt idx="909">
                  <c:v>4.8071449687831218E-2</c:v>
                </c:pt>
                <c:pt idx="910">
                  <c:v>4.8371449687831219E-2</c:v>
                </c:pt>
                <c:pt idx="911">
                  <c:v>4.8671449687831221E-2</c:v>
                </c:pt>
                <c:pt idx="912">
                  <c:v>4.8971449687831223E-2</c:v>
                </c:pt>
                <c:pt idx="913">
                  <c:v>4.9271449687831224E-2</c:v>
                </c:pt>
                <c:pt idx="914">
                  <c:v>4.9571449687831226E-2</c:v>
                </c:pt>
                <c:pt idx="915">
                  <c:v>4.9871449687831228E-2</c:v>
                </c:pt>
                <c:pt idx="916">
                  <c:v>5.0171449687831229E-2</c:v>
                </c:pt>
                <c:pt idx="917">
                  <c:v>5.0471449687831231E-2</c:v>
                </c:pt>
                <c:pt idx="918">
                  <c:v>5.0771449687831233E-2</c:v>
                </c:pt>
                <c:pt idx="919">
                  <c:v>5.1071449687831234E-2</c:v>
                </c:pt>
                <c:pt idx="920">
                  <c:v>5.1371449687831236E-2</c:v>
                </c:pt>
                <c:pt idx="921">
                  <c:v>5.1671449687831238E-2</c:v>
                </c:pt>
                <c:pt idx="922">
                  <c:v>5.1971449687831239E-2</c:v>
                </c:pt>
                <c:pt idx="923">
                  <c:v>5.2271449687831241E-2</c:v>
                </c:pt>
                <c:pt idx="924">
                  <c:v>5.2571449687831243E-2</c:v>
                </c:pt>
                <c:pt idx="925">
                  <c:v>5.2871449687831244E-2</c:v>
                </c:pt>
                <c:pt idx="926">
                  <c:v>5.3171449687831246E-2</c:v>
                </c:pt>
                <c:pt idx="927">
                  <c:v>5.3471449687831248E-2</c:v>
                </c:pt>
                <c:pt idx="928">
                  <c:v>5.3771449687831249E-2</c:v>
                </c:pt>
                <c:pt idx="929">
                  <c:v>5.4071449687831251E-2</c:v>
                </c:pt>
                <c:pt idx="930">
                  <c:v>5.4371449687831253E-2</c:v>
                </c:pt>
                <c:pt idx="931">
                  <c:v>5.4671449687831254E-2</c:v>
                </c:pt>
                <c:pt idx="932">
                  <c:v>5.4971449687831256E-2</c:v>
                </c:pt>
                <c:pt idx="933">
                  <c:v>5.5271449687831258E-2</c:v>
                </c:pt>
                <c:pt idx="934">
                  <c:v>5.5571449687831259E-2</c:v>
                </c:pt>
                <c:pt idx="935">
                  <c:v>5.5871449687831261E-2</c:v>
                </c:pt>
                <c:pt idx="936">
                  <c:v>5.6171449687831262E-2</c:v>
                </c:pt>
                <c:pt idx="937">
                  <c:v>5.6471449687831264E-2</c:v>
                </c:pt>
                <c:pt idx="938">
                  <c:v>5.6771449687831266E-2</c:v>
                </c:pt>
                <c:pt idx="939">
                  <c:v>5.7071449687831267E-2</c:v>
                </c:pt>
                <c:pt idx="940">
                  <c:v>5.7371449687831269E-2</c:v>
                </c:pt>
                <c:pt idx="941">
                  <c:v>5.7671449687831271E-2</c:v>
                </c:pt>
                <c:pt idx="942">
                  <c:v>5.7971449687831272E-2</c:v>
                </c:pt>
                <c:pt idx="943">
                  <c:v>5.8271449687831274E-2</c:v>
                </c:pt>
                <c:pt idx="944">
                  <c:v>5.8571449687831276E-2</c:v>
                </c:pt>
                <c:pt idx="945">
                  <c:v>5.8871449687831277E-2</c:v>
                </c:pt>
                <c:pt idx="946">
                  <c:v>5.9171449687831279E-2</c:v>
                </c:pt>
                <c:pt idx="947">
                  <c:v>5.9471449687831281E-2</c:v>
                </c:pt>
                <c:pt idx="948">
                  <c:v>5.9771449687831282E-2</c:v>
                </c:pt>
                <c:pt idx="949">
                  <c:v>6.0071449687831284E-2</c:v>
                </c:pt>
                <c:pt idx="950">
                  <c:v>6.0371449687831286E-2</c:v>
                </c:pt>
                <c:pt idx="951">
                  <c:v>6.0671449687831287E-2</c:v>
                </c:pt>
                <c:pt idx="952">
                  <c:v>6.0971449687831289E-2</c:v>
                </c:pt>
                <c:pt idx="953">
                  <c:v>6.1271449687831291E-2</c:v>
                </c:pt>
                <c:pt idx="954">
                  <c:v>6.1571449687831292E-2</c:v>
                </c:pt>
                <c:pt idx="955">
                  <c:v>6.1871449687831294E-2</c:v>
                </c:pt>
                <c:pt idx="956">
                  <c:v>6.2171449687831296E-2</c:v>
                </c:pt>
                <c:pt idx="957">
                  <c:v>6.2471449687831297E-2</c:v>
                </c:pt>
                <c:pt idx="958">
                  <c:v>6.2771449687831299E-2</c:v>
                </c:pt>
                <c:pt idx="959">
                  <c:v>6.3071449687831294E-2</c:v>
                </c:pt>
                <c:pt idx="960">
                  <c:v>6.3371449687831288E-2</c:v>
                </c:pt>
                <c:pt idx="961">
                  <c:v>6.3671449687831283E-2</c:v>
                </c:pt>
                <c:pt idx="962">
                  <c:v>6.3971449687831278E-2</c:v>
                </c:pt>
                <c:pt idx="963">
                  <c:v>6.4271449687831272E-2</c:v>
                </c:pt>
                <c:pt idx="964">
                  <c:v>6.4571449687831267E-2</c:v>
                </c:pt>
                <c:pt idx="965">
                  <c:v>6.4871449687831262E-2</c:v>
                </c:pt>
                <c:pt idx="966">
                  <c:v>6.5171449687831257E-2</c:v>
                </c:pt>
                <c:pt idx="967">
                  <c:v>6.5471449687831251E-2</c:v>
                </c:pt>
                <c:pt idx="968">
                  <c:v>6.5771449687831246E-2</c:v>
                </c:pt>
                <c:pt idx="969">
                  <c:v>6.6071449687831241E-2</c:v>
                </c:pt>
                <c:pt idx="970">
                  <c:v>6.6371449687831235E-2</c:v>
                </c:pt>
                <c:pt idx="971">
                  <c:v>6.667144968783123E-2</c:v>
                </c:pt>
                <c:pt idx="972">
                  <c:v>6.6971449687831225E-2</c:v>
                </c:pt>
                <c:pt idx="973">
                  <c:v>6.727144968783122E-2</c:v>
                </c:pt>
                <c:pt idx="974">
                  <c:v>6.7571449687831214E-2</c:v>
                </c:pt>
                <c:pt idx="975">
                  <c:v>6.7871449687831209E-2</c:v>
                </c:pt>
                <c:pt idx="976">
                  <c:v>6.8171449687831204E-2</c:v>
                </c:pt>
                <c:pt idx="977">
                  <c:v>6.8471449687831198E-2</c:v>
                </c:pt>
                <c:pt idx="978">
                  <c:v>6.8771449687831193E-2</c:v>
                </c:pt>
                <c:pt idx="979">
                  <c:v>6.9071449687831188E-2</c:v>
                </c:pt>
                <c:pt idx="980">
                  <c:v>6.9371449687831183E-2</c:v>
                </c:pt>
                <c:pt idx="981">
                  <c:v>6.9671449687831177E-2</c:v>
                </c:pt>
                <c:pt idx="982">
                  <c:v>6.9971449687831172E-2</c:v>
                </c:pt>
                <c:pt idx="983">
                  <c:v>7.0271449687831167E-2</c:v>
                </c:pt>
                <c:pt idx="984">
                  <c:v>7.0571449687831161E-2</c:v>
                </c:pt>
                <c:pt idx="985">
                  <c:v>7.0871449687831156E-2</c:v>
                </c:pt>
                <c:pt idx="986">
                  <c:v>7.1171449687831151E-2</c:v>
                </c:pt>
                <c:pt idx="987">
                  <c:v>7.1471449687831146E-2</c:v>
                </c:pt>
                <c:pt idx="988">
                  <c:v>7.177144968783114E-2</c:v>
                </c:pt>
                <c:pt idx="989">
                  <c:v>7.2071449687831135E-2</c:v>
                </c:pt>
                <c:pt idx="990">
                  <c:v>7.237144968783113E-2</c:v>
                </c:pt>
                <c:pt idx="991">
                  <c:v>7.2671449687831124E-2</c:v>
                </c:pt>
                <c:pt idx="992">
                  <c:v>7.2971449687831119E-2</c:v>
                </c:pt>
                <c:pt idx="993">
                  <c:v>7.3271449687831114E-2</c:v>
                </c:pt>
                <c:pt idx="994">
                  <c:v>7.3571449687831109E-2</c:v>
                </c:pt>
                <c:pt idx="995">
                  <c:v>7.3871449687831103E-2</c:v>
                </c:pt>
                <c:pt idx="996">
                  <c:v>7.4171449687831098E-2</c:v>
                </c:pt>
                <c:pt idx="997">
                  <c:v>7.4471449687831093E-2</c:v>
                </c:pt>
                <c:pt idx="998">
                  <c:v>7.4771449687831087E-2</c:v>
                </c:pt>
                <c:pt idx="999">
                  <c:v>7.5071449687831082E-2</c:v>
                </c:pt>
                <c:pt idx="1000">
                  <c:v>7.5371449687831077E-2</c:v>
                </c:pt>
                <c:pt idx="1001">
                  <c:v>7.5671449687831072E-2</c:v>
                </c:pt>
                <c:pt idx="1002">
                  <c:v>7.5971449687831066E-2</c:v>
                </c:pt>
                <c:pt idx="1003">
                  <c:v>7.6271449687831061E-2</c:v>
                </c:pt>
                <c:pt idx="1004">
                  <c:v>7.6571449687831056E-2</c:v>
                </c:pt>
                <c:pt idx="1005">
                  <c:v>7.687144968783105E-2</c:v>
                </c:pt>
                <c:pt idx="1006">
                  <c:v>7.7171449687831045E-2</c:v>
                </c:pt>
                <c:pt idx="1007">
                  <c:v>7.747144968783104E-2</c:v>
                </c:pt>
                <c:pt idx="1008">
                  <c:v>7.7771449687831035E-2</c:v>
                </c:pt>
                <c:pt idx="1009">
                  <c:v>7.8071449687831029E-2</c:v>
                </c:pt>
                <c:pt idx="1010">
                  <c:v>7.8371449687831024E-2</c:v>
                </c:pt>
                <c:pt idx="1011">
                  <c:v>7.8671449687831019E-2</c:v>
                </c:pt>
                <c:pt idx="1012">
                  <c:v>7.8971449687831013E-2</c:v>
                </c:pt>
                <c:pt idx="1013">
                  <c:v>7.9271449687831008E-2</c:v>
                </c:pt>
                <c:pt idx="1014">
                  <c:v>7.9571449687831003E-2</c:v>
                </c:pt>
                <c:pt idx="1015">
                  <c:v>7.9871449687830998E-2</c:v>
                </c:pt>
                <c:pt idx="1016">
                  <c:v>8.0171449687830992E-2</c:v>
                </c:pt>
                <c:pt idx="1017">
                  <c:v>8.0471449687830987E-2</c:v>
                </c:pt>
                <c:pt idx="1018">
                  <c:v>8.0771449687830982E-2</c:v>
                </c:pt>
                <c:pt idx="1019">
                  <c:v>8.1071449687830976E-2</c:v>
                </c:pt>
                <c:pt idx="1020">
                  <c:v>8.1371449687830971E-2</c:v>
                </c:pt>
                <c:pt idx="1021">
                  <c:v>8.1671449687830966E-2</c:v>
                </c:pt>
                <c:pt idx="1022">
                  <c:v>8.1971449687830961E-2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52-4C80-A541-EB6F430D4D3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Estimation_1516!$H:$H</c:f>
              <c:strCache>
                <c:ptCount val="1025"/>
                <c:pt idx="1">
                  <c:v>x</c:v>
                </c:pt>
                <c:pt idx="2">
                  <c:v>-0,22462855</c:v>
                </c:pt>
                <c:pt idx="3">
                  <c:v>-0,22432855</c:v>
                </c:pt>
                <c:pt idx="4">
                  <c:v>-0,22402855</c:v>
                </c:pt>
                <c:pt idx="5">
                  <c:v>-0,22372855</c:v>
                </c:pt>
                <c:pt idx="6">
                  <c:v>-0,22342855</c:v>
                </c:pt>
                <c:pt idx="7">
                  <c:v>-0,22312855</c:v>
                </c:pt>
                <c:pt idx="8">
                  <c:v>-0,22282855</c:v>
                </c:pt>
                <c:pt idx="9">
                  <c:v>-0,22252855</c:v>
                </c:pt>
                <c:pt idx="10">
                  <c:v>-0,22222855</c:v>
                </c:pt>
                <c:pt idx="11">
                  <c:v>-0,22192855</c:v>
                </c:pt>
                <c:pt idx="12">
                  <c:v>-0,22162855</c:v>
                </c:pt>
                <c:pt idx="13">
                  <c:v>-0,22132855</c:v>
                </c:pt>
                <c:pt idx="14">
                  <c:v>-0,22102855</c:v>
                </c:pt>
                <c:pt idx="15">
                  <c:v>-0,22072855</c:v>
                </c:pt>
                <c:pt idx="16">
                  <c:v>-0,22042855</c:v>
                </c:pt>
                <c:pt idx="17">
                  <c:v>-0,22012855</c:v>
                </c:pt>
                <c:pt idx="18">
                  <c:v>-0,21982855</c:v>
                </c:pt>
                <c:pt idx="19">
                  <c:v>-0,21952855</c:v>
                </c:pt>
                <c:pt idx="20">
                  <c:v>-0,21922855</c:v>
                </c:pt>
                <c:pt idx="21">
                  <c:v>-0,21892855</c:v>
                </c:pt>
                <c:pt idx="22">
                  <c:v>-0,21862855</c:v>
                </c:pt>
                <c:pt idx="23">
                  <c:v>-0,21832855</c:v>
                </c:pt>
                <c:pt idx="24">
                  <c:v>-0,21802855</c:v>
                </c:pt>
                <c:pt idx="25">
                  <c:v>-0,21772855</c:v>
                </c:pt>
                <c:pt idx="26">
                  <c:v>-0,21742855</c:v>
                </c:pt>
                <c:pt idx="27">
                  <c:v>-0,21712855</c:v>
                </c:pt>
                <c:pt idx="28">
                  <c:v>-0,21682855</c:v>
                </c:pt>
                <c:pt idx="29">
                  <c:v>-0,21652855</c:v>
                </c:pt>
                <c:pt idx="30">
                  <c:v>-0,21622855</c:v>
                </c:pt>
                <c:pt idx="31">
                  <c:v>-0,21592855</c:v>
                </c:pt>
                <c:pt idx="32">
                  <c:v>-0,21562855</c:v>
                </c:pt>
                <c:pt idx="33">
                  <c:v>-0,21532855</c:v>
                </c:pt>
                <c:pt idx="34">
                  <c:v>-0,21502855</c:v>
                </c:pt>
                <c:pt idx="35">
                  <c:v>-0,21472855</c:v>
                </c:pt>
                <c:pt idx="36">
                  <c:v>-0,21442855</c:v>
                </c:pt>
                <c:pt idx="37">
                  <c:v>-0,21412855</c:v>
                </c:pt>
                <c:pt idx="38">
                  <c:v>-0,21382855</c:v>
                </c:pt>
                <c:pt idx="39">
                  <c:v>-0,21352855</c:v>
                </c:pt>
                <c:pt idx="40">
                  <c:v>-0,21322855</c:v>
                </c:pt>
                <c:pt idx="41">
                  <c:v>-0,21292855</c:v>
                </c:pt>
                <c:pt idx="42">
                  <c:v>-0,21262855</c:v>
                </c:pt>
                <c:pt idx="43">
                  <c:v>-0,21232855</c:v>
                </c:pt>
                <c:pt idx="44">
                  <c:v>-0,21202855</c:v>
                </c:pt>
                <c:pt idx="45">
                  <c:v>-0,21172855</c:v>
                </c:pt>
                <c:pt idx="46">
                  <c:v>-0,21142855</c:v>
                </c:pt>
                <c:pt idx="47">
                  <c:v>-0,21112855</c:v>
                </c:pt>
                <c:pt idx="48">
                  <c:v>-0,21082855</c:v>
                </c:pt>
                <c:pt idx="49">
                  <c:v>-0,21052855</c:v>
                </c:pt>
                <c:pt idx="50">
                  <c:v>-0,21022855</c:v>
                </c:pt>
                <c:pt idx="51">
                  <c:v>-0,20992855</c:v>
                </c:pt>
                <c:pt idx="52">
                  <c:v>-0,20962855</c:v>
                </c:pt>
                <c:pt idx="53">
                  <c:v>-0,20932855</c:v>
                </c:pt>
                <c:pt idx="54">
                  <c:v>-0,20902855</c:v>
                </c:pt>
                <c:pt idx="55">
                  <c:v>-0,20872855</c:v>
                </c:pt>
                <c:pt idx="56">
                  <c:v>-0,20842855</c:v>
                </c:pt>
                <c:pt idx="57">
                  <c:v>-0,20812855</c:v>
                </c:pt>
                <c:pt idx="58">
                  <c:v>-0,20782855</c:v>
                </c:pt>
                <c:pt idx="59">
                  <c:v>-0,20752855</c:v>
                </c:pt>
                <c:pt idx="60">
                  <c:v>-0,20722855</c:v>
                </c:pt>
                <c:pt idx="61">
                  <c:v>-0,20692855</c:v>
                </c:pt>
                <c:pt idx="62">
                  <c:v>-0,20662855</c:v>
                </c:pt>
                <c:pt idx="63">
                  <c:v>-0,20632855</c:v>
                </c:pt>
                <c:pt idx="64">
                  <c:v>-0,20602855</c:v>
                </c:pt>
                <c:pt idx="65">
                  <c:v>-0,20572855</c:v>
                </c:pt>
                <c:pt idx="66">
                  <c:v>-0,20542855</c:v>
                </c:pt>
                <c:pt idx="67">
                  <c:v>-0,20512855</c:v>
                </c:pt>
                <c:pt idx="68">
                  <c:v>-0,20482855</c:v>
                </c:pt>
                <c:pt idx="69">
                  <c:v>-0,20452855</c:v>
                </c:pt>
                <c:pt idx="70">
                  <c:v>-0,20422855</c:v>
                </c:pt>
                <c:pt idx="71">
                  <c:v>-0,20392855</c:v>
                </c:pt>
                <c:pt idx="72">
                  <c:v>-0,20362855</c:v>
                </c:pt>
                <c:pt idx="73">
                  <c:v>-0,20332855</c:v>
                </c:pt>
                <c:pt idx="74">
                  <c:v>-0,20302855</c:v>
                </c:pt>
                <c:pt idx="75">
                  <c:v>-0,20272855</c:v>
                </c:pt>
                <c:pt idx="76">
                  <c:v>-0,20242855</c:v>
                </c:pt>
                <c:pt idx="77">
                  <c:v>-0,20212855</c:v>
                </c:pt>
                <c:pt idx="78">
                  <c:v>-0,20182855</c:v>
                </c:pt>
                <c:pt idx="79">
                  <c:v>-0,20152855</c:v>
                </c:pt>
                <c:pt idx="80">
                  <c:v>-0,20122855</c:v>
                </c:pt>
                <c:pt idx="81">
                  <c:v>-0,20092855</c:v>
                </c:pt>
                <c:pt idx="82">
                  <c:v>-0,20062855</c:v>
                </c:pt>
                <c:pt idx="83">
                  <c:v>-0,20032855</c:v>
                </c:pt>
                <c:pt idx="84">
                  <c:v>-0,20002855</c:v>
                </c:pt>
                <c:pt idx="85">
                  <c:v>-0,19972855</c:v>
                </c:pt>
                <c:pt idx="86">
                  <c:v>-0,19942855</c:v>
                </c:pt>
                <c:pt idx="87">
                  <c:v>-0,19912855</c:v>
                </c:pt>
                <c:pt idx="88">
                  <c:v>-0,19882855</c:v>
                </c:pt>
                <c:pt idx="89">
                  <c:v>-0,19852855</c:v>
                </c:pt>
                <c:pt idx="90">
                  <c:v>-0,19822855</c:v>
                </c:pt>
                <c:pt idx="91">
                  <c:v>-0,19792855</c:v>
                </c:pt>
                <c:pt idx="92">
                  <c:v>-0,19762855</c:v>
                </c:pt>
                <c:pt idx="93">
                  <c:v>-0,19732855</c:v>
                </c:pt>
                <c:pt idx="94">
                  <c:v>-0,19702855</c:v>
                </c:pt>
                <c:pt idx="95">
                  <c:v>-0,19672855</c:v>
                </c:pt>
                <c:pt idx="96">
                  <c:v>-0,19642855</c:v>
                </c:pt>
                <c:pt idx="97">
                  <c:v>-0,19612855</c:v>
                </c:pt>
                <c:pt idx="98">
                  <c:v>-0,19582855</c:v>
                </c:pt>
                <c:pt idx="99">
                  <c:v>-0,19552855</c:v>
                </c:pt>
                <c:pt idx="100">
                  <c:v>-0,19522855</c:v>
                </c:pt>
                <c:pt idx="101">
                  <c:v>-0,19492855</c:v>
                </c:pt>
                <c:pt idx="102">
                  <c:v>-0,19462855</c:v>
                </c:pt>
                <c:pt idx="103">
                  <c:v>-0,19432855</c:v>
                </c:pt>
                <c:pt idx="104">
                  <c:v>-0,19402855</c:v>
                </c:pt>
                <c:pt idx="105">
                  <c:v>-0,19372855</c:v>
                </c:pt>
                <c:pt idx="106">
                  <c:v>-0,19342855</c:v>
                </c:pt>
                <c:pt idx="107">
                  <c:v>-0,19312855</c:v>
                </c:pt>
                <c:pt idx="108">
                  <c:v>-0,19282855</c:v>
                </c:pt>
                <c:pt idx="109">
                  <c:v>-0,19252855</c:v>
                </c:pt>
                <c:pt idx="110">
                  <c:v>-0,19222855</c:v>
                </c:pt>
                <c:pt idx="111">
                  <c:v>-0,19192855</c:v>
                </c:pt>
                <c:pt idx="112">
                  <c:v>-0,19162855</c:v>
                </c:pt>
                <c:pt idx="113">
                  <c:v>-0,19132855</c:v>
                </c:pt>
                <c:pt idx="114">
                  <c:v>-0,19102855</c:v>
                </c:pt>
                <c:pt idx="115">
                  <c:v>-0,19072855</c:v>
                </c:pt>
                <c:pt idx="116">
                  <c:v>-0,19042855</c:v>
                </c:pt>
                <c:pt idx="117">
                  <c:v>-0,19012855</c:v>
                </c:pt>
                <c:pt idx="118">
                  <c:v>-0,18982855</c:v>
                </c:pt>
                <c:pt idx="119">
                  <c:v>-0,18952855</c:v>
                </c:pt>
                <c:pt idx="120">
                  <c:v>-0,18922855</c:v>
                </c:pt>
                <c:pt idx="121">
                  <c:v>-0,18892855</c:v>
                </c:pt>
                <c:pt idx="122">
                  <c:v>-0,18862855</c:v>
                </c:pt>
                <c:pt idx="123">
                  <c:v>-0,18832855</c:v>
                </c:pt>
                <c:pt idx="124">
                  <c:v>-0,18802855</c:v>
                </c:pt>
                <c:pt idx="125">
                  <c:v>-0,18772855</c:v>
                </c:pt>
                <c:pt idx="126">
                  <c:v>-0,18742855</c:v>
                </c:pt>
                <c:pt idx="127">
                  <c:v>-0,18712855</c:v>
                </c:pt>
                <c:pt idx="128">
                  <c:v>-0,18682855</c:v>
                </c:pt>
                <c:pt idx="129">
                  <c:v>-0,18652855</c:v>
                </c:pt>
                <c:pt idx="130">
                  <c:v>-0,18622855</c:v>
                </c:pt>
                <c:pt idx="131">
                  <c:v>-0,18592855</c:v>
                </c:pt>
                <c:pt idx="132">
                  <c:v>-0,18562855</c:v>
                </c:pt>
                <c:pt idx="133">
                  <c:v>-0,18532855</c:v>
                </c:pt>
                <c:pt idx="134">
                  <c:v>-0,18502855</c:v>
                </c:pt>
                <c:pt idx="135">
                  <c:v>-0,18472855</c:v>
                </c:pt>
                <c:pt idx="136">
                  <c:v>-0,18442855</c:v>
                </c:pt>
                <c:pt idx="137">
                  <c:v>-0,18412855</c:v>
                </c:pt>
                <c:pt idx="138">
                  <c:v>-0,18382855</c:v>
                </c:pt>
                <c:pt idx="139">
                  <c:v>-0,18352855</c:v>
                </c:pt>
                <c:pt idx="140">
                  <c:v>-0,18322855</c:v>
                </c:pt>
                <c:pt idx="141">
                  <c:v>-0,18292855</c:v>
                </c:pt>
                <c:pt idx="142">
                  <c:v>-0,18262855</c:v>
                </c:pt>
                <c:pt idx="143">
                  <c:v>-0,18232855</c:v>
                </c:pt>
                <c:pt idx="144">
                  <c:v>-0,18202855</c:v>
                </c:pt>
                <c:pt idx="145">
                  <c:v>-0,18172855</c:v>
                </c:pt>
                <c:pt idx="146">
                  <c:v>-0,18142855</c:v>
                </c:pt>
                <c:pt idx="147">
                  <c:v>-0,18112855</c:v>
                </c:pt>
                <c:pt idx="148">
                  <c:v>-0,18082855</c:v>
                </c:pt>
                <c:pt idx="149">
                  <c:v>-0,18052855</c:v>
                </c:pt>
                <c:pt idx="150">
                  <c:v>-0,18022855</c:v>
                </c:pt>
                <c:pt idx="151">
                  <c:v>-0,17992855</c:v>
                </c:pt>
                <c:pt idx="152">
                  <c:v>-0,17962855</c:v>
                </c:pt>
                <c:pt idx="153">
                  <c:v>-0,17932855</c:v>
                </c:pt>
                <c:pt idx="154">
                  <c:v>-0,17902855</c:v>
                </c:pt>
                <c:pt idx="155">
                  <c:v>-0,17872855</c:v>
                </c:pt>
                <c:pt idx="156">
                  <c:v>-0,17842855</c:v>
                </c:pt>
                <c:pt idx="157">
                  <c:v>-0,17812855</c:v>
                </c:pt>
                <c:pt idx="158">
                  <c:v>-0,17782855</c:v>
                </c:pt>
                <c:pt idx="159">
                  <c:v>-0,17752855</c:v>
                </c:pt>
                <c:pt idx="160">
                  <c:v>-0,17722855</c:v>
                </c:pt>
                <c:pt idx="161">
                  <c:v>-0,17692855</c:v>
                </c:pt>
                <c:pt idx="162">
                  <c:v>-0,17662855</c:v>
                </c:pt>
                <c:pt idx="163">
                  <c:v>-0,17632855</c:v>
                </c:pt>
                <c:pt idx="164">
                  <c:v>-0,17602855</c:v>
                </c:pt>
                <c:pt idx="165">
                  <c:v>-0,17572855</c:v>
                </c:pt>
                <c:pt idx="166">
                  <c:v>-0,17542855</c:v>
                </c:pt>
                <c:pt idx="167">
                  <c:v>-0,17512855</c:v>
                </c:pt>
                <c:pt idx="168">
                  <c:v>-0,17482855</c:v>
                </c:pt>
                <c:pt idx="169">
                  <c:v>-0,17452855</c:v>
                </c:pt>
                <c:pt idx="170">
                  <c:v>-0,17422855</c:v>
                </c:pt>
                <c:pt idx="171">
                  <c:v>-0,17392855</c:v>
                </c:pt>
                <c:pt idx="172">
                  <c:v>-0,17362855</c:v>
                </c:pt>
                <c:pt idx="173">
                  <c:v>-0,17332855</c:v>
                </c:pt>
                <c:pt idx="174">
                  <c:v>-0,17302855</c:v>
                </c:pt>
                <c:pt idx="175">
                  <c:v>-0,17272855</c:v>
                </c:pt>
                <c:pt idx="176">
                  <c:v>-0,17242855</c:v>
                </c:pt>
                <c:pt idx="177">
                  <c:v>-0,17212855</c:v>
                </c:pt>
                <c:pt idx="178">
                  <c:v>-0,17182855</c:v>
                </c:pt>
                <c:pt idx="179">
                  <c:v>-0,17152855</c:v>
                </c:pt>
                <c:pt idx="180">
                  <c:v>-0,17122855</c:v>
                </c:pt>
                <c:pt idx="181">
                  <c:v>-0,17092855</c:v>
                </c:pt>
                <c:pt idx="182">
                  <c:v>-0,17062855</c:v>
                </c:pt>
                <c:pt idx="183">
                  <c:v>-0,17032855</c:v>
                </c:pt>
                <c:pt idx="184">
                  <c:v>-0,17002855</c:v>
                </c:pt>
                <c:pt idx="185">
                  <c:v>-0,16972855</c:v>
                </c:pt>
                <c:pt idx="186">
                  <c:v>-0,16942855</c:v>
                </c:pt>
                <c:pt idx="187">
                  <c:v>-0,16912855</c:v>
                </c:pt>
                <c:pt idx="188">
                  <c:v>-0,16882855</c:v>
                </c:pt>
                <c:pt idx="189">
                  <c:v>-0,16852855</c:v>
                </c:pt>
                <c:pt idx="190">
                  <c:v>-0,16822855</c:v>
                </c:pt>
                <c:pt idx="191">
                  <c:v>-0,16792855</c:v>
                </c:pt>
                <c:pt idx="192">
                  <c:v>-0,16762855</c:v>
                </c:pt>
                <c:pt idx="193">
                  <c:v>-0,16732855</c:v>
                </c:pt>
                <c:pt idx="194">
                  <c:v>-0,16702855</c:v>
                </c:pt>
                <c:pt idx="195">
                  <c:v>-0,16672855</c:v>
                </c:pt>
                <c:pt idx="196">
                  <c:v>-0,16642855</c:v>
                </c:pt>
                <c:pt idx="197">
                  <c:v>-0,16612855</c:v>
                </c:pt>
                <c:pt idx="198">
                  <c:v>-0,16582855</c:v>
                </c:pt>
                <c:pt idx="199">
                  <c:v>-0,16552855</c:v>
                </c:pt>
                <c:pt idx="200">
                  <c:v>-0,16522855</c:v>
                </c:pt>
                <c:pt idx="201">
                  <c:v>-0,16492855</c:v>
                </c:pt>
                <c:pt idx="202">
                  <c:v>-0,16462855</c:v>
                </c:pt>
                <c:pt idx="203">
                  <c:v>-0,16432855</c:v>
                </c:pt>
                <c:pt idx="204">
                  <c:v>-0,16402855</c:v>
                </c:pt>
                <c:pt idx="205">
                  <c:v>-0,16372855</c:v>
                </c:pt>
                <c:pt idx="206">
                  <c:v>-0,16342855</c:v>
                </c:pt>
                <c:pt idx="207">
                  <c:v>-0,16312855</c:v>
                </c:pt>
                <c:pt idx="208">
                  <c:v>-0,16282855</c:v>
                </c:pt>
                <c:pt idx="209">
                  <c:v>-0,16252855</c:v>
                </c:pt>
                <c:pt idx="210">
                  <c:v>-0,16222855</c:v>
                </c:pt>
                <c:pt idx="211">
                  <c:v>-0,16192855</c:v>
                </c:pt>
                <c:pt idx="212">
                  <c:v>-0,16162855</c:v>
                </c:pt>
                <c:pt idx="213">
                  <c:v>-0,16132855</c:v>
                </c:pt>
                <c:pt idx="214">
                  <c:v>-0,16102855</c:v>
                </c:pt>
                <c:pt idx="215">
                  <c:v>-0,16072855</c:v>
                </c:pt>
                <c:pt idx="216">
                  <c:v>-0,16042855</c:v>
                </c:pt>
                <c:pt idx="217">
                  <c:v>-0,16012855</c:v>
                </c:pt>
                <c:pt idx="218">
                  <c:v>-0,15982855</c:v>
                </c:pt>
                <c:pt idx="219">
                  <c:v>-0,15952855</c:v>
                </c:pt>
                <c:pt idx="220">
                  <c:v>-0,15922855</c:v>
                </c:pt>
                <c:pt idx="221">
                  <c:v>-0,15892855</c:v>
                </c:pt>
                <c:pt idx="222">
                  <c:v>-0,15862855</c:v>
                </c:pt>
                <c:pt idx="223">
                  <c:v>-0,15832855</c:v>
                </c:pt>
                <c:pt idx="224">
                  <c:v>-0,15802855</c:v>
                </c:pt>
                <c:pt idx="225">
                  <c:v>-0,15772855</c:v>
                </c:pt>
                <c:pt idx="226">
                  <c:v>-0,15742855</c:v>
                </c:pt>
                <c:pt idx="227">
                  <c:v>-0,15712855</c:v>
                </c:pt>
                <c:pt idx="228">
                  <c:v>-0,15682855</c:v>
                </c:pt>
                <c:pt idx="229">
                  <c:v>-0,15652855</c:v>
                </c:pt>
                <c:pt idx="230">
                  <c:v>-0,15622855</c:v>
                </c:pt>
                <c:pt idx="231">
                  <c:v>-0,15592855</c:v>
                </c:pt>
                <c:pt idx="232">
                  <c:v>-0,15562855</c:v>
                </c:pt>
                <c:pt idx="233">
                  <c:v>-0,15532855</c:v>
                </c:pt>
                <c:pt idx="234">
                  <c:v>-0,15502855</c:v>
                </c:pt>
                <c:pt idx="235">
                  <c:v>-0,15472855</c:v>
                </c:pt>
                <c:pt idx="236">
                  <c:v>-0,15442855</c:v>
                </c:pt>
                <c:pt idx="237">
                  <c:v>-0,15412855</c:v>
                </c:pt>
                <c:pt idx="238">
                  <c:v>-0,15382855</c:v>
                </c:pt>
                <c:pt idx="239">
                  <c:v>-0,15352855</c:v>
                </c:pt>
                <c:pt idx="240">
                  <c:v>-0,15322855</c:v>
                </c:pt>
                <c:pt idx="241">
                  <c:v>-0,15292855</c:v>
                </c:pt>
                <c:pt idx="242">
                  <c:v>-0,15262855</c:v>
                </c:pt>
                <c:pt idx="243">
                  <c:v>-0,15232855</c:v>
                </c:pt>
                <c:pt idx="244">
                  <c:v>-0,15202855</c:v>
                </c:pt>
                <c:pt idx="245">
                  <c:v>-0,15172855</c:v>
                </c:pt>
                <c:pt idx="246">
                  <c:v>-0,15142855</c:v>
                </c:pt>
                <c:pt idx="247">
                  <c:v>-0,15112855</c:v>
                </c:pt>
                <c:pt idx="248">
                  <c:v>-0,15082855</c:v>
                </c:pt>
                <c:pt idx="249">
                  <c:v>-0,15052855</c:v>
                </c:pt>
                <c:pt idx="250">
                  <c:v>-0,15022855</c:v>
                </c:pt>
                <c:pt idx="251">
                  <c:v>-0,14992855</c:v>
                </c:pt>
                <c:pt idx="252">
                  <c:v>-0,14962855</c:v>
                </c:pt>
                <c:pt idx="253">
                  <c:v>-0,14932855</c:v>
                </c:pt>
                <c:pt idx="254">
                  <c:v>-0,14902855</c:v>
                </c:pt>
                <c:pt idx="255">
                  <c:v>-0,14872855</c:v>
                </c:pt>
                <c:pt idx="256">
                  <c:v>-0,14842855</c:v>
                </c:pt>
                <c:pt idx="257">
                  <c:v>-0,14812855</c:v>
                </c:pt>
                <c:pt idx="258">
                  <c:v>-0,14782855</c:v>
                </c:pt>
                <c:pt idx="259">
                  <c:v>-0,14752855</c:v>
                </c:pt>
                <c:pt idx="260">
                  <c:v>-0,14722855</c:v>
                </c:pt>
                <c:pt idx="261">
                  <c:v>-0,14692855</c:v>
                </c:pt>
                <c:pt idx="262">
                  <c:v>-0,14662855</c:v>
                </c:pt>
                <c:pt idx="263">
                  <c:v>-0,14632855</c:v>
                </c:pt>
                <c:pt idx="264">
                  <c:v>-0,14602855</c:v>
                </c:pt>
                <c:pt idx="265">
                  <c:v>-0,14572855</c:v>
                </c:pt>
                <c:pt idx="266">
                  <c:v>-0,14542855</c:v>
                </c:pt>
                <c:pt idx="267">
                  <c:v>-0,14512855</c:v>
                </c:pt>
                <c:pt idx="268">
                  <c:v>-0,14482855</c:v>
                </c:pt>
                <c:pt idx="269">
                  <c:v>-0,14452855</c:v>
                </c:pt>
                <c:pt idx="270">
                  <c:v>-0,14422855</c:v>
                </c:pt>
                <c:pt idx="271">
                  <c:v>-0,14392855</c:v>
                </c:pt>
                <c:pt idx="272">
                  <c:v>-0,14362855</c:v>
                </c:pt>
                <c:pt idx="273">
                  <c:v>-0,14332855</c:v>
                </c:pt>
                <c:pt idx="274">
                  <c:v>-0,14302855</c:v>
                </c:pt>
                <c:pt idx="275">
                  <c:v>-0,14272855</c:v>
                </c:pt>
                <c:pt idx="276">
                  <c:v>-0,14242855</c:v>
                </c:pt>
                <c:pt idx="277">
                  <c:v>-0,14212855</c:v>
                </c:pt>
                <c:pt idx="278">
                  <c:v>-0,14182855</c:v>
                </c:pt>
                <c:pt idx="279">
                  <c:v>-0,14152855</c:v>
                </c:pt>
                <c:pt idx="280">
                  <c:v>-0,14122855</c:v>
                </c:pt>
                <c:pt idx="281">
                  <c:v>-0,14092855</c:v>
                </c:pt>
                <c:pt idx="282">
                  <c:v>-0,14062855</c:v>
                </c:pt>
                <c:pt idx="283">
                  <c:v>-0,14032855</c:v>
                </c:pt>
                <c:pt idx="284">
                  <c:v>-0,14002855</c:v>
                </c:pt>
                <c:pt idx="285">
                  <c:v>-0,13972855</c:v>
                </c:pt>
                <c:pt idx="286">
                  <c:v>-0,13942855</c:v>
                </c:pt>
                <c:pt idx="287">
                  <c:v>-0,13912855</c:v>
                </c:pt>
                <c:pt idx="288">
                  <c:v>-0,13882855</c:v>
                </c:pt>
                <c:pt idx="289">
                  <c:v>-0,13852855</c:v>
                </c:pt>
                <c:pt idx="290">
                  <c:v>-0,13822855</c:v>
                </c:pt>
                <c:pt idx="291">
                  <c:v>-0,13792855</c:v>
                </c:pt>
                <c:pt idx="292">
                  <c:v>-0,13762855</c:v>
                </c:pt>
                <c:pt idx="293">
                  <c:v>-0,13732855</c:v>
                </c:pt>
                <c:pt idx="294">
                  <c:v>-0,13702855</c:v>
                </c:pt>
                <c:pt idx="295">
                  <c:v>-0,13672855</c:v>
                </c:pt>
                <c:pt idx="296">
                  <c:v>-0,13642855</c:v>
                </c:pt>
                <c:pt idx="297">
                  <c:v>-0,13612855</c:v>
                </c:pt>
                <c:pt idx="298">
                  <c:v>-0,13582855</c:v>
                </c:pt>
                <c:pt idx="299">
                  <c:v>-0,13552855</c:v>
                </c:pt>
                <c:pt idx="300">
                  <c:v>-0,13522855</c:v>
                </c:pt>
                <c:pt idx="301">
                  <c:v>-0,13492855</c:v>
                </c:pt>
                <c:pt idx="302">
                  <c:v>-0,13462855</c:v>
                </c:pt>
                <c:pt idx="303">
                  <c:v>-0,13432855</c:v>
                </c:pt>
                <c:pt idx="304">
                  <c:v>-0,13402855</c:v>
                </c:pt>
                <c:pt idx="305">
                  <c:v>-0,13372855</c:v>
                </c:pt>
                <c:pt idx="306">
                  <c:v>-0,13342855</c:v>
                </c:pt>
                <c:pt idx="307">
                  <c:v>-0,13312855</c:v>
                </c:pt>
                <c:pt idx="308">
                  <c:v>-0,13282855</c:v>
                </c:pt>
                <c:pt idx="309">
                  <c:v>-0,13252855</c:v>
                </c:pt>
                <c:pt idx="310">
                  <c:v>-0,13222855</c:v>
                </c:pt>
                <c:pt idx="311">
                  <c:v>-0,13192855</c:v>
                </c:pt>
                <c:pt idx="312">
                  <c:v>-0,13162855</c:v>
                </c:pt>
                <c:pt idx="313">
                  <c:v>-0,13132855</c:v>
                </c:pt>
                <c:pt idx="314">
                  <c:v>-0,13102855</c:v>
                </c:pt>
                <c:pt idx="315">
                  <c:v>-0,13072855</c:v>
                </c:pt>
                <c:pt idx="316">
                  <c:v>-0,13042855</c:v>
                </c:pt>
                <c:pt idx="317">
                  <c:v>-0,13012855</c:v>
                </c:pt>
                <c:pt idx="318">
                  <c:v>-0,12982855</c:v>
                </c:pt>
                <c:pt idx="319">
                  <c:v>-0,12952855</c:v>
                </c:pt>
                <c:pt idx="320">
                  <c:v>-0,12922855</c:v>
                </c:pt>
                <c:pt idx="321">
                  <c:v>-0,12892855</c:v>
                </c:pt>
                <c:pt idx="322">
                  <c:v>-0,12862855</c:v>
                </c:pt>
                <c:pt idx="323">
                  <c:v>-0,12832855</c:v>
                </c:pt>
                <c:pt idx="324">
                  <c:v>-0,12802855</c:v>
                </c:pt>
                <c:pt idx="325">
                  <c:v>-0,12772855</c:v>
                </c:pt>
                <c:pt idx="326">
                  <c:v>-0,12742855</c:v>
                </c:pt>
                <c:pt idx="327">
                  <c:v>-0,12712855</c:v>
                </c:pt>
                <c:pt idx="328">
                  <c:v>-0,12682855</c:v>
                </c:pt>
                <c:pt idx="329">
                  <c:v>-0,12652855</c:v>
                </c:pt>
                <c:pt idx="330">
                  <c:v>-0,12622855</c:v>
                </c:pt>
                <c:pt idx="331">
                  <c:v>-0,12592855</c:v>
                </c:pt>
                <c:pt idx="332">
                  <c:v>-0,12562855</c:v>
                </c:pt>
                <c:pt idx="333">
                  <c:v>-0,12532855</c:v>
                </c:pt>
                <c:pt idx="334">
                  <c:v>-0,12502855</c:v>
                </c:pt>
                <c:pt idx="335">
                  <c:v>-0,12472855</c:v>
                </c:pt>
                <c:pt idx="336">
                  <c:v>-0,12442855</c:v>
                </c:pt>
                <c:pt idx="337">
                  <c:v>-0,12412855</c:v>
                </c:pt>
                <c:pt idx="338">
                  <c:v>-0,12382855</c:v>
                </c:pt>
                <c:pt idx="339">
                  <c:v>-0,12352855</c:v>
                </c:pt>
                <c:pt idx="340">
                  <c:v>-0,12322855</c:v>
                </c:pt>
                <c:pt idx="341">
                  <c:v>-0,12292855</c:v>
                </c:pt>
                <c:pt idx="342">
                  <c:v>-0,12262855</c:v>
                </c:pt>
                <c:pt idx="343">
                  <c:v>-0,12232855</c:v>
                </c:pt>
                <c:pt idx="344">
                  <c:v>-0,12202855</c:v>
                </c:pt>
                <c:pt idx="345">
                  <c:v>-0,12172855</c:v>
                </c:pt>
                <c:pt idx="346">
                  <c:v>-0,12142855</c:v>
                </c:pt>
                <c:pt idx="347">
                  <c:v>-0,12112855</c:v>
                </c:pt>
                <c:pt idx="348">
                  <c:v>-0,12082855</c:v>
                </c:pt>
                <c:pt idx="349">
                  <c:v>-0,12052855</c:v>
                </c:pt>
                <c:pt idx="350">
                  <c:v>-0,12022855</c:v>
                </c:pt>
                <c:pt idx="351">
                  <c:v>-0,11992855</c:v>
                </c:pt>
                <c:pt idx="352">
                  <c:v>-0,11962855</c:v>
                </c:pt>
                <c:pt idx="353">
                  <c:v>-0,11932855</c:v>
                </c:pt>
                <c:pt idx="354">
                  <c:v>-0,11902855</c:v>
                </c:pt>
                <c:pt idx="355">
                  <c:v>-0,11872855</c:v>
                </c:pt>
                <c:pt idx="356">
                  <c:v>-0,11842855</c:v>
                </c:pt>
                <c:pt idx="357">
                  <c:v>-0,11812855</c:v>
                </c:pt>
                <c:pt idx="358">
                  <c:v>-0,11782855</c:v>
                </c:pt>
                <c:pt idx="359">
                  <c:v>-0,11752855</c:v>
                </c:pt>
                <c:pt idx="360">
                  <c:v>-0,11722855</c:v>
                </c:pt>
                <c:pt idx="361">
                  <c:v>-0,11692855</c:v>
                </c:pt>
                <c:pt idx="362">
                  <c:v>-0,11662855</c:v>
                </c:pt>
                <c:pt idx="363">
                  <c:v>-0,11632855</c:v>
                </c:pt>
                <c:pt idx="364">
                  <c:v>-0,11602855</c:v>
                </c:pt>
                <c:pt idx="365">
                  <c:v>-0,11572855</c:v>
                </c:pt>
                <c:pt idx="366">
                  <c:v>-0,11542855</c:v>
                </c:pt>
                <c:pt idx="367">
                  <c:v>-0,11512855</c:v>
                </c:pt>
                <c:pt idx="368">
                  <c:v>-0,11482855</c:v>
                </c:pt>
                <c:pt idx="369">
                  <c:v>-0,11452855</c:v>
                </c:pt>
                <c:pt idx="370">
                  <c:v>-0,11422855</c:v>
                </c:pt>
                <c:pt idx="371">
                  <c:v>-0,11392855</c:v>
                </c:pt>
                <c:pt idx="372">
                  <c:v>-0,11362855</c:v>
                </c:pt>
                <c:pt idx="373">
                  <c:v>-0,11332855</c:v>
                </c:pt>
                <c:pt idx="374">
                  <c:v>-0,11302855</c:v>
                </c:pt>
                <c:pt idx="375">
                  <c:v>-0,11272855</c:v>
                </c:pt>
                <c:pt idx="376">
                  <c:v>-0,11242855</c:v>
                </c:pt>
                <c:pt idx="377">
                  <c:v>-0,11212855</c:v>
                </c:pt>
                <c:pt idx="378">
                  <c:v>-0,11182855</c:v>
                </c:pt>
                <c:pt idx="379">
                  <c:v>-0,11152855</c:v>
                </c:pt>
                <c:pt idx="380">
                  <c:v>-0,11122855</c:v>
                </c:pt>
                <c:pt idx="381">
                  <c:v>-0,11092855</c:v>
                </c:pt>
                <c:pt idx="382">
                  <c:v>-0,11062855</c:v>
                </c:pt>
                <c:pt idx="383">
                  <c:v>-0,11032855</c:v>
                </c:pt>
                <c:pt idx="384">
                  <c:v>-0,11002855</c:v>
                </c:pt>
                <c:pt idx="385">
                  <c:v>-0,10972855</c:v>
                </c:pt>
                <c:pt idx="386">
                  <c:v>-0,10942855</c:v>
                </c:pt>
                <c:pt idx="387">
                  <c:v>-0,10912855</c:v>
                </c:pt>
                <c:pt idx="388">
                  <c:v>-0,10882855</c:v>
                </c:pt>
                <c:pt idx="389">
                  <c:v>-0,10852855</c:v>
                </c:pt>
                <c:pt idx="390">
                  <c:v>-0,10822855</c:v>
                </c:pt>
                <c:pt idx="391">
                  <c:v>-0,10792855</c:v>
                </c:pt>
                <c:pt idx="392">
                  <c:v>-0,10762855</c:v>
                </c:pt>
                <c:pt idx="393">
                  <c:v>-0,10732855</c:v>
                </c:pt>
                <c:pt idx="394">
                  <c:v>-0,10702855</c:v>
                </c:pt>
                <c:pt idx="395">
                  <c:v>-0,10672855</c:v>
                </c:pt>
                <c:pt idx="396">
                  <c:v>-0,10642855</c:v>
                </c:pt>
                <c:pt idx="397">
                  <c:v>-0,10612855</c:v>
                </c:pt>
                <c:pt idx="398">
                  <c:v>-0,10582855</c:v>
                </c:pt>
                <c:pt idx="399">
                  <c:v>-0,10552855</c:v>
                </c:pt>
                <c:pt idx="400">
                  <c:v>-0,10522855</c:v>
                </c:pt>
                <c:pt idx="401">
                  <c:v>-0,10492855</c:v>
                </c:pt>
                <c:pt idx="402">
                  <c:v>-0,10462855</c:v>
                </c:pt>
                <c:pt idx="403">
                  <c:v>-0,10432855</c:v>
                </c:pt>
                <c:pt idx="404">
                  <c:v>-0,10402855</c:v>
                </c:pt>
                <c:pt idx="405">
                  <c:v>-0,10372855</c:v>
                </c:pt>
                <c:pt idx="406">
                  <c:v>-0,10342855</c:v>
                </c:pt>
                <c:pt idx="407">
                  <c:v>-0,10312855</c:v>
                </c:pt>
                <c:pt idx="408">
                  <c:v>-0,10282855</c:v>
                </c:pt>
                <c:pt idx="409">
                  <c:v>-0,10252855</c:v>
                </c:pt>
                <c:pt idx="410">
                  <c:v>-0,10222855</c:v>
                </c:pt>
                <c:pt idx="411">
                  <c:v>-0,10192855</c:v>
                </c:pt>
                <c:pt idx="412">
                  <c:v>-0,10162855</c:v>
                </c:pt>
                <c:pt idx="413">
                  <c:v>-0,10132855</c:v>
                </c:pt>
                <c:pt idx="414">
                  <c:v>-0,10102855</c:v>
                </c:pt>
                <c:pt idx="415">
                  <c:v>-0,10072855</c:v>
                </c:pt>
                <c:pt idx="416">
                  <c:v>-0,10042855</c:v>
                </c:pt>
                <c:pt idx="417">
                  <c:v>-0,10012855</c:v>
                </c:pt>
                <c:pt idx="418">
                  <c:v>-0,09982855</c:v>
                </c:pt>
                <c:pt idx="419">
                  <c:v>-0,09952855</c:v>
                </c:pt>
                <c:pt idx="420">
                  <c:v>-0,09922855</c:v>
                </c:pt>
                <c:pt idx="421">
                  <c:v>-0,09892855</c:v>
                </c:pt>
                <c:pt idx="422">
                  <c:v>-0,09862855</c:v>
                </c:pt>
                <c:pt idx="423">
                  <c:v>-0,09832855</c:v>
                </c:pt>
                <c:pt idx="424">
                  <c:v>-0,09802855</c:v>
                </c:pt>
                <c:pt idx="425">
                  <c:v>-0,09772855</c:v>
                </c:pt>
                <c:pt idx="426">
                  <c:v>-0,09742855</c:v>
                </c:pt>
                <c:pt idx="427">
                  <c:v>-0,09712855</c:v>
                </c:pt>
                <c:pt idx="428">
                  <c:v>-0,09682855</c:v>
                </c:pt>
                <c:pt idx="429">
                  <c:v>-0,09652855</c:v>
                </c:pt>
                <c:pt idx="430">
                  <c:v>-0,09622855</c:v>
                </c:pt>
                <c:pt idx="431">
                  <c:v>-0,09592855</c:v>
                </c:pt>
                <c:pt idx="432">
                  <c:v>-0,09562855</c:v>
                </c:pt>
                <c:pt idx="433">
                  <c:v>-0,09532855</c:v>
                </c:pt>
                <c:pt idx="434">
                  <c:v>-0,09502855</c:v>
                </c:pt>
                <c:pt idx="435">
                  <c:v>-0,09472855</c:v>
                </c:pt>
                <c:pt idx="436">
                  <c:v>-0,09442855</c:v>
                </c:pt>
                <c:pt idx="437">
                  <c:v>-0,09412855</c:v>
                </c:pt>
                <c:pt idx="438">
                  <c:v>-0,09382855</c:v>
                </c:pt>
                <c:pt idx="439">
                  <c:v>-0,09352855</c:v>
                </c:pt>
                <c:pt idx="440">
                  <c:v>-0,09322855</c:v>
                </c:pt>
                <c:pt idx="441">
                  <c:v>-0,09292855</c:v>
                </c:pt>
                <c:pt idx="442">
                  <c:v>-0,09262855</c:v>
                </c:pt>
                <c:pt idx="443">
                  <c:v>-0,09232855</c:v>
                </c:pt>
                <c:pt idx="444">
                  <c:v>-0,09202855</c:v>
                </c:pt>
                <c:pt idx="445">
                  <c:v>-0,09172855</c:v>
                </c:pt>
                <c:pt idx="446">
                  <c:v>-0,09142855</c:v>
                </c:pt>
                <c:pt idx="447">
                  <c:v>-0,09112855</c:v>
                </c:pt>
                <c:pt idx="448">
                  <c:v>-0,09082855</c:v>
                </c:pt>
                <c:pt idx="449">
                  <c:v>-0,09052855</c:v>
                </c:pt>
                <c:pt idx="450">
                  <c:v>-0,09022855</c:v>
                </c:pt>
                <c:pt idx="451">
                  <c:v>-0,08992855</c:v>
                </c:pt>
                <c:pt idx="452">
                  <c:v>-0,08962855</c:v>
                </c:pt>
                <c:pt idx="453">
                  <c:v>-0,08932855</c:v>
                </c:pt>
                <c:pt idx="454">
                  <c:v>-0,08902855</c:v>
                </c:pt>
                <c:pt idx="455">
                  <c:v>-0,08872855</c:v>
                </c:pt>
                <c:pt idx="456">
                  <c:v>-0,08842855</c:v>
                </c:pt>
                <c:pt idx="457">
                  <c:v>-0,08812855</c:v>
                </c:pt>
                <c:pt idx="458">
                  <c:v>-0,08782855</c:v>
                </c:pt>
                <c:pt idx="459">
                  <c:v>-0,08752855</c:v>
                </c:pt>
                <c:pt idx="460">
                  <c:v>-0,08722855</c:v>
                </c:pt>
                <c:pt idx="461">
                  <c:v>-0,08692855</c:v>
                </c:pt>
                <c:pt idx="462">
                  <c:v>-0,08662855</c:v>
                </c:pt>
                <c:pt idx="463">
                  <c:v>-0,08632855</c:v>
                </c:pt>
                <c:pt idx="464">
                  <c:v>-0,08602855</c:v>
                </c:pt>
                <c:pt idx="465">
                  <c:v>-0,08572855</c:v>
                </c:pt>
                <c:pt idx="466">
                  <c:v>-0,08542855</c:v>
                </c:pt>
                <c:pt idx="467">
                  <c:v>-0,08512855</c:v>
                </c:pt>
                <c:pt idx="468">
                  <c:v>-0,08482855</c:v>
                </c:pt>
                <c:pt idx="469">
                  <c:v>-0,08452855</c:v>
                </c:pt>
                <c:pt idx="470">
                  <c:v>-0,08422855</c:v>
                </c:pt>
                <c:pt idx="471">
                  <c:v>-0,08392855</c:v>
                </c:pt>
                <c:pt idx="472">
                  <c:v>-0,08362855</c:v>
                </c:pt>
                <c:pt idx="473">
                  <c:v>-0,08332855</c:v>
                </c:pt>
                <c:pt idx="474">
                  <c:v>-0,08302855</c:v>
                </c:pt>
                <c:pt idx="475">
                  <c:v>-0,08272855</c:v>
                </c:pt>
                <c:pt idx="476">
                  <c:v>-0,08242855</c:v>
                </c:pt>
                <c:pt idx="477">
                  <c:v>-0,08212855</c:v>
                </c:pt>
                <c:pt idx="478">
                  <c:v>-0,08182855</c:v>
                </c:pt>
                <c:pt idx="479">
                  <c:v>-0,08152855</c:v>
                </c:pt>
                <c:pt idx="480">
                  <c:v>-0,08122855</c:v>
                </c:pt>
                <c:pt idx="481">
                  <c:v>-0,08092855</c:v>
                </c:pt>
                <c:pt idx="482">
                  <c:v>-0,08062855</c:v>
                </c:pt>
                <c:pt idx="483">
                  <c:v>-0,08032855</c:v>
                </c:pt>
                <c:pt idx="484">
                  <c:v>-0,08002855</c:v>
                </c:pt>
                <c:pt idx="485">
                  <c:v>-0,07972855</c:v>
                </c:pt>
                <c:pt idx="486">
                  <c:v>-0,07942855</c:v>
                </c:pt>
                <c:pt idx="487">
                  <c:v>-0,07912855</c:v>
                </c:pt>
                <c:pt idx="488">
                  <c:v>-0,07882855</c:v>
                </c:pt>
                <c:pt idx="489">
                  <c:v>-0,07852855</c:v>
                </c:pt>
                <c:pt idx="490">
                  <c:v>-0,07822855</c:v>
                </c:pt>
                <c:pt idx="491">
                  <c:v>-0,07792855</c:v>
                </c:pt>
                <c:pt idx="492">
                  <c:v>-0,07762855</c:v>
                </c:pt>
                <c:pt idx="493">
                  <c:v>-0,07732855</c:v>
                </c:pt>
                <c:pt idx="494">
                  <c:v>-0,07702855</c:v>
                </c:pt>
                <c:pt idx="495">
                  <c:v>-0,07672855</c:v>
                </c:pt>
                <c:pt idx="496">
                  <c:v>-0,07642855</c:v>
                </c:pt>
                <c:pt idx="497">
                  <c:v>-0,07612855</c:v>
                </c:pt>
                <c:pt idx="498">
                  <c:v>-0,07582855</c:v>
                </c:pt>
                <c:pt idx="499">
                  <c:v>-0,07552855</c:v>
                </c:pt>
                <c:pt idx="500">
                  <c:v>-0,07522855</c:v>
                </c:pt>
                <c:pt idx="501">
                  <c:v>-0,07492855</c:v>
                </c:pt>
                <c:pt idx="502">
                  <c:v>-0,07462855</c:v>
                </c:pt>
                <c:pt idx="503">
                  <c:v>-0,07432855</c:v>
                </c:pt>
                <c:pt idx="504">
                  <c:v>-0,07402855</c:v>
                </c:pt>
                <c:pt idx="505">
                  <c:v>-0,07372855</c:v>
                </c:pt>
                <c:pt idx="506">
                  <c:v>-0,07342855</c:v>
                </c:pt>
                <c:pt idx="507">
                  <c:v>-0,07312855</c:v>
                </c:pt>
                <c:pt idx="508">
                  <c:v>-0,07282855</c:v>
                </c:pt>
                <c:pt idx="509">
                  <c:v>-0,07252855</c:v>
                </c:pt>
                <c:pt idx="510">
                  <c:v>-0,07222855</c:v>
                </c:pt>
                <c:pt idx="511">
                  <c:v>-0,07192855</c:v>
                </c:pt>
                <c:pt idx="512">
                  <c:v>-0,07162855</c:v>
                </c:pt>
                <c:pt idx="513">
                  <c:v>-0,07132855</c:v>
                </c:pt>
                <c:pt idx="514">
                  <c:v>-0,07102855</c:v>
                </c:pt>
                <c:pt idx="515">
                  <c:v>-0,07072855</c:v>
                </c:pt>
                <c:pt idx="516">
                  <c:v>-0,07042855</c:v>
                </c:pt>
                <c:pt idx="517">
                  <c:v>-0,07012855</c:v>
                </c:pt>
                <c:pt idx="518">
                  <c:v>-0,06982855</c:v>
                </c:pt>
                <c:pt idx="519">
                  <c:v>-0,06952855</c:v>
                </c:pt>
                <c:pt idx="520">
                  <c:v>-0,06922855</c:v>
                </c:pt>
                <c:pt idx="521">
                  <c:v>-0,06892855</c:v>
                </c:pt>
                <c:pt idx="522">
                  <c:v>-0,06862855</c:v>
                </c:pt>
                <c:pt idx="523">
                  <c:v>-0,06832855</c:v>
                </c:pt>
                <c:pt idx="524">
                  <c:v>-0,06802855</c:v>
                </c:pt>
                <c:pt idx="525">
                  <c:v>-0,06772855</c:v>
                </c:pt>
                <c:pt idx="526">
                  <c:v>-0,06742855</c:v>
                </c:pt>
                <c:pt idx="527">
                  <c:v>-0,06712855</c:v>
                </c:pt>
                <c:pt idx="528">
                  <c:v>-0,06682855</c:v>
                </c:pt>
                <c:pt idx="529">
                  <c:v>-0,06652855</c:v>
                </c:pt>
                <c:pt idx="530">
                  <c:v>-0,06622855</c:v>
                </c:pt>
                <c:pt idx="531">
                  <c:v>-0,06592855</c:v>
                </c:pt>
                <c:pt idx="532">
                  <c:v>-0,06562855</c:v>
                </c:pt>
                <c:pt idx="533">
                  <c:v>-0,06532855</c:v>
                </c:pt>
                <c:pt idx="534">
                  <c:v>-0,06502855</c:v>
                </c:pt>
                <c:pt idx="535">
                  <c:v>-0,06472855</c:v>
                </c:pt>
                <c:pt idx="536">
                  <c:v>-0,06442855</c:v>
                </c:pt>
                <c:pt idx="537">
                  <c:v>-0,06412855</c:v>
                </c:pt>
                <c:pt idx="538">
                  <c:v>-0,06382855</c:v>
                </c:pt>
                <c:pt idx="539">
                  <c:v>-0,06352855</c:v>
                </c:pt>
                <c:pt idx="540">
                  <c:v>-0,06322855</c:v>
                </c:pt>
                <c:pt idx="541">
                  <c:v>-0,06292855</c:v>
                </c:pt>
                <c:pt idx="542">
                  <c:v>-0,06262855</c:v>
                </c:pt>
                <c:pt idx="543">
                  <c:v>-0,06232855</c:v>
                </c:pt>
                <c:pt idx="544">
                  <c:v>-0,06202855</c:v>
                </c:pt>
                <c:pt idx="545">
                  <c:v>-0,06172855</c:v>
                </c:pt>
                <c:pt idx="546">
                  <c:v>-0,06142855</c:v>
                </c:pt>
                <c:pt idx="547">
                  <c:v>-0,06112855</c:v>
                </c:pt>
                <c:pt idx="548">
                  <c:v>-0,06082855</c:v>
                </c:pt>
                <c:pt idx="549">
                  <c:v>-0,06052855</c:v>
                </c:pt>
                <c:pt idx="550">
                  <c:v>-0,06022855</c:v>
                </c:pt>
                <c:pt idx="551">
                  <c:v>-0,05992855</c:v>
                </c:pt>
                <c:pt idx="552">
                  <c:v>-0,05962855</c:v>
                </c:pt>
                <c:pt idx="553">
                  <c:v>-0,05932855</c:v>
                </c:pt>
                <c:pt idx="554">
                  <c:v>-0,05902855</c:v>
                </c:pt>
                <c:pt idx="555">
                  <c:v>-0,05872855</c:v>
                </c:pt>
                <c:pt idx="556">
                  <c:v>-0,05842855</c:v>
                </c:pt>
                <c:pt idx="557">
                  <c:v>-0,05812855</c:v>
                </c:pt>
                <c:pt idx="558">
                  <c:v>-0,05782855</c:v>
                </c:pt>
                <c:pt idx="559">
                  <c:v>-0,05752855</c:v>
                </c:pt>
                <c:pt idx="560">
                  <c:v>-0,05722855</c:v>
                </c:pt>
                <c:pt idx="561">
                  <c:v>-0,05692855</c:v>
                </c:pt>
                <c:pt idx="562">
                  <c:v>-0,05662855</c:v>
                </c:pt>
                <c:pt idx="563">
                  <c:v>-0,05632855</c:v>
                </c:pt>
                <c:pt idx="564">
                  <c:v>-0,05602855</c:v>
                </c:pt>
                <c:pt idx="565">
                  <c:v>-0,05572855</c:v>
                </c:pt>
                <c:pt idx="566">
                  <c:v>-0,05542855</c:v>
                </c:pt>
                <c:pt idx="567">
                  <c:v>-0,05512855</c:v>
                </c:pt>
                <c:pt idx="568">
                  <c:v>-0,05482855</c:v>
                </c:pt>
                <c:pt idx="569">
                  <c:v>-0,05452855</c:v>
                </c:pt>
                <c:pt idx="570">
                  <c:v>-0,05422855</c:v>
                </c:pt>
                <c:pt idx="571">
                  <c:v>-0,05392855</c:v>
                </c:pt>
                <c:pt idx="572">
                  <c:v>-0,05362855</c:v>
                </c:pt>
                <c:pt idx="573">
                  <c:v>-0,05332855</c:v>
                </c:pt>
                <c:pt idx="574">
                  <c:v>-0,05302855</c:v>
                </c:pt>
                <c:pt idx="575">
                  <c:v>-0,05272855</c:v>
                </c:pt>
                <c:pt idx="576">
                  <c:v>-0,05242855</c:v>
                </c:pt>
                <c:pt idx="577">
                  <c:v>-0,05212855</c:v>
                </c:pt>
                <c:pt idx="578">
                  <c:v>-0,05182855</c:v>
                </c:pt>
                <c:pt idx="579">
                  <c:v>-0,05152855</c:v>
                </c:pt>
                <c:pt idx="580">
                  <c:v>-0,05122855</c:v>
                </c:pt>
                <c:pt idx="581">
                  <c:v>-0,05092855</c:v>
                </c:pt>
                <c:pt idx="582">
                  <c:v>-0,05062855</c:v>
                </c:pt>
                <c:pt idx="583">
                  <c:v>-0,05032855</c:v>
                </c:pt>
                <c:pt idx="584">
                  <c:v>-0,05002855</c:v>
                </c:pt>
                <c:pt idx="585">
                  <c:v>-0,04972855</c:v>
                </c:pt>
                <c:pt idx="586">
                  <c:v>-0,04942855</c:v>
                </c:pt>
                <c:pt idx="587">
                  <c:v>-0,04912855</c:v>
                </c:pt>
                <c:pt idx="588">
                  <c:v>-0,04882855</c:v>
                </c:pt>
                <c:pt idx="589">
                  <c:v>-0,04852855</c:v>
                </c:pt>
                <c:pt idx="590">
                  <c:v>-0,04822855</c:v>
                </c:pt>
                <c:pt idx="591">
                  <c:v>-0,04792855</c:v>
                </c:pt>
                <c:pt idx="592">
                  <c:v>-0,04762855</c:v>
                </c:pt>
                <c:pt idx="593">
                  <c:v>-0,04732855</c:v>
                </c:pt>
                <c:pt idx="594">
                  <c:v>-0,04702855</c:v>
                </c:pt>
                <c:pt idx="595">
                  <c:v>-0,04672855</c:v>
                </c:pt>
                <c:pt idx="596">
                  <c:v>-0,04642855</c:v>
                </c:pt>
                <c:pt idx="597">
                  <c:v>-0,04612855</c:v>
                </c:pt>
                <c:pt idx="598">
                  <c:v>-0,04582855</c:v>
                </c:pt>
                <c:pt idx="599">
                  <c:v>-0,04552855</c:v>
                </c:pt>
                <c:pt idx="600">
                  <c:v>-0,04522855</c:v>
                </c:pt>
                <c:pt idx="601">
                  <c:v>-0,04492855</c:v>
                </c:pt>
                <c:pt idx="602">
                  <c:v>-0,04462855</c:v>
                </c:pt>
                <c:pt idx="603">
                  <c:v>-0,04432855</c:v>
                </c:pt>
                <c:pt idx="604">
                  <c:v>-0,04402855</c:v>
                </c:pt>
                <c:pt idx="605">
                  <c:v>-0,04372855</c:v>
                </c:pt>
                <c:pt idx="606">
                  <c:v>-0,04342855</c:v>
                </c:pt>
                <c:pt idx="607">
                  <c:v>-0,04312855</c:v>
                </c:pt>
                <c:pt idx="608">
                  <c:v>-0,04282855</c:v>
                </c:pt>
                <c:pt idx="609">
                  <c:v>-0,04252855</c:v>
                </c:pt>
                <c:pt idx="610">
                  <c:v>-0,04222855</c:v>
                </c:pt>
                <c:pt idx="611">
                  <c:v>-0,04192855</c:v>
                </c:pt>
                <c:pt idx="612">
                  <c:v>-0,04162855</c:v>
                </c:pt>
                <c:pt idx="613">
                  <c:v>-0,04132855</c:v>
                </c:pt>
                <c:pt idx="614">
                  <c:v>-0,04102855</c:v>
                </c:pt>
                <c:pt idx="615">
                  <c:v>-0,04072855</c:v>
                </c:pt>
                <c:pt idx="616">
                  <c:v>-0,04042855</c:v>
                </c:pt>
                <c:pt idx="617">
                  <c:v>-0,04012855</c:v>
                </c:pt>
                <c:pt idx="618">
                  <c:v>-0,03982855</c:v>
                </c:pt>
                <c:pt idx="619">
                  <c:v>-0,03952855</c:v>
                </c:pt>
                <c:pt idx="620">
                  <c:v>-0,03922855</c:v>
                </c:pt>
                <c:pt idx="621">
                  <c:v>-0,03892855</c:v>
                </c:pt>
                <c:pt idx="622">
                  <c:v>-0,03862855</c:v>
                </c:pt>
                <c:pt idx="623">
                  <c:v>-0,03832855</c:v>
                </c:pt>
                <c:pt idx="624">
                  <c:v>-0,03802855</c:v>
                </c:pt>
                <c:pt idx="625">
                  <c:v>-0,03772855</c:v>
                </c:pt>
                <c:pt idx="626">
                  <c:v>-0,03742855</c:v>
                </c:pt>
                <c:pt idx="627">
                  <c:v>-0,03712855</c:v>
                </c:pt>
                <c:pt idx="628">
                  <c:v>-0,03682855</c:v>
                </c:pt>
                <c:pt idx="629">
                  <c:v>-0,03652855</c:v>
                </c:pt>
                <c:pt idx="630">
                  <c:v>-0,03622855</c:v>
                </c:pt>
                <c:pt idx="631">
                  <c:v>-0,03592855</c:v>
                </c:pt>
                <c:pt idx="632">
                  <c:v>-0,03562855</c:v>
                </c:pt>
                <c:pt idx="633">
                  <c:v>-0,03532855</c:v>
                </c:pt>
                <c:pt idx="634">
                  <c:v>-0,03502855</c:v>
                </c:pt>
                <c:pt idx="635">
                  <c:v>-0,03472855</c:v>
                </c:pt>
                <c:pt idx="636">
                  <c:v>-0,03442855</c:v>
                </c:pt>
                <c:pt idx="637">
                  <c:v>-0,03412855</c:v>
                </c:pt>
                <c:pt idx="638">
                  <c:v>-0,03382855</c:v>
                </c:pt>
                <c:pt idx="639">
                  <c:v>-0,03352855</c:v>
                </c:pt>
                <c:pt idx="640">
                  <c:v>-0,03322855</c:v>
                </c:pt>
                <c:pt idx="641">
                  <c:v>-0,03292855</c:v>
                </c:pt>
                <c:pt idx="642">
                  <c:v>-0,03262855</c:v>
                </c:pt>
                <c:pt idx="643">
                  <c:v>-0,03232855</c:v>
                </c:pt>
                <c:pt idx="644">
                  <c:v>-0,03202855</c:v>
                </c:pt>
                <c:pt idx="645">
                  <c:v>-0,03172855</c:v>
                </c:pt>
                <c:pt idx="646">
                  <c:v>-0,03142855</c:v>
                </c:pt>
                <c:pt idx="647">
                  <c:v>-0,03112855</c:v>
                </c:pt>
                <c:pt idx="648">
                  <c:v>-0,03082855</c:v>
                </c:pt>
                <c:pt idx="649">
                  <c:v>-0,03052855</c:v>
                </c:pt>
                <c:pt idx="650">
                  <c:v>-0,03022855</c:v>
                </c:pt>
                <c:pt idx="651">
                  <c:v>-0,02992855</c:v>
                </c:pt>
                <c:pt idx="652">
                  <c:v>-0,02962855</c:v>
                </c:pt>
                <c:pt idx="653">
                  <c:v>-0,02932855</c:v>
                </c:pt>
                <c:pt idx="654">
                  <c:v>-0,02902855</c:v>
                </c:pt>
                <c:pt idx="655">
                  <c:v>-0,02872855</c:v>
                </c:pt>
                <c:pt idx="656">
                  <c:v>-0,02842855</c:v>
                </c:pt>
                <c:pt idx="657">
                  <c:v>-0,02812855</c:v>
                </c:pt>
                <c:pt idx="658">
                  <c:v>-0,02782855</c:v>
                </c:pt>
                <c:pt idx="659">
                  <c:v>-0,02752855</c:v>
                </c:pt>
                <c:pt idx="660">
                  <c:v>-0,02722855</c:v>
                </c:pt>
                <c:pt idx="661">
                  <c:v>-0,02692855</c:v>
                </c:pt>
                <c:pt idx="662">
                  <c:v>-0,02662855</c:v>
                </c:pt>
                <c:pt idx="663">
                  <c:v>-0,02632855</c:v>
                </c:pt>
                <c:pt idx="664">
                  <c:v>-0,02602855</c:v>
                </c:pt>
                <c:pt idx="665">
                  <c:v>-0,02572855</c:v>
                </c:pt>
                <c:pt idx="666">
                  <c:v>-0,02542855</c:v>
                </c:pt>
                <c:pt idx="667">
                  <c:v>-0,02512855</c:v>
                </c:pt>
                <c:pt idx="668">
                  <c:v>-0,02482855</c:v>
                </c:pt>
                <c:pt idx="669">
                  <c:v>-0,02452855</c:v>
                </c:pt>
                <c:pt idx="670">
                  <c:v>-0,02422855</c:v>
                </c:pt>
                <c:pt idx="671">
                  <c:v>-0,02392855</c:v>
                </c:pt>
                <c:pt idx="672">
                  <c:v>-0,02362855</c:v>
                </c:pt>
                <c:pt idx="673">
                  <c:v>-0,02332855</c:v>
                </c:pt>
                <c:pt idx="674">
                  <c:v>-0,02302855</c:v>
                </c:pt>
                <c:pt idx="675">
                  <c:v>-0,02272855</c:v>
                </c:pt>
                <c:pt idx="676">
                  <c:v>-0,02242855</c:v>
                </c:pt>
                <c:pt idx="677">
                  <c:v>-0,02212855</c:v>
                </c:pt>
                <c:pt idx="678">
                  <c:v>-0,02182855</c:v>
                </c:pt>
                <c:pt idx="679">
                  <c:v>-0,02152855</c:v>
                </c:pt>
                <c:pt idx="680">
                  <c:v>-0,02122855</c:v>
                </c:pt>
                <c:pt idx="681">
                  <c:v>-0,02092855</c:v>
                </c:pt>
                <c:pt idx="682">
                  <c:v>-0,02062855</c:v>
                </c:pt>
                <c:pt idx="683">
                  <c:v>-0,02032855</c:v>
                </c:pt>
                <c:pt idx="684">
                  <c:v>-0,02002855</c:v>
                </c:pt>
                <c:pt idx="685">
                  <c:v>-0,01972855</c:v>
                </c:pt>
                <c:pt idx="686">
                  <c:v>-0,01942855</c:v>
                </c:pt>
                <c:pt idx="687">
                  <c:v>-0,01912855</c:v>
                </c:pt>
                <c:pt idx="688">
                  <c:v>-0,01882855</c:v>
                </c:pt>
                <c:pt idx="689">
                  <c:v>-0,01852855</c:v>
                </c:pt>
                <c:pt idx="690">
                  <c:v>-0,01822855</c:v>
                </c:pt>
                <c:pt idx="691">
                  <c:v>-0,01792855</c:v>
                </c:pt>
                <c:pt idx="692">
                  <c:v>-0,01762855</c:v>
                </c:pt>
                <c:pt idx="693">
                  <c:v>-0,01732855</c:v>
                </c:pt>
                <c:pt idx="694">
                  <c:v>-0,01702855</c:v>
                </c:pt>
                <c:pt idx="695">
                  <c:v>-0,01672855</c:v>
                </c:pt>
                <c:pt idx="696">
                  <c:v>-0,01642855</c:v>
                </c:pt>
                <c:pt idx="697">
                  <c:v>-0,01612855</c:v>
                </c:pt>
                <c:pt idx="698">
                  <c:v>-0,01582855</c:v>
                </c:pt>
                <c:pt idx="699">
                  <c:v>-0,01552855</c:v>
                </c:pt>
                <c:pt idx="700">
                  <c:v>-0,01522855</c:v>
                </c:pt>
                <c:pt idx="701">
                  <c:v>-0,01492855</c:v>
                </c:pt>
                <c:pt idx="702">
                  <c:v>-0,01462855</c:v>
                </c:pt>
                <c:pt idx="703">
                  <c:v>-0,01432855</c:v>
                </c:pt>
                <c:pt idx="704">
                  <c:v>-0,01402855</c:v>
                </c:pt>
                <c:pt idx="705">
                  <c:v>-0,01372855</c:v>
                </c:pt>
                <c:pt idx="706">
                  <c:v>-0,01342855</c:v>
                </c:pt>
                <c:pt idx="707">
                  <c:v>-0,01312855</c:v>
                </c:pt>
                <c:pt idx="708">
                  <c:v>-0,01282855</c:v>
                </c:pt>
                <c:pt idx="709">
                  <c:v>-0,01252855</c:v>
                </c:pt>
                <c:pt idx="710">
                  <c:v>-0,01222855</c:v>
                </c:pt>
                <c:pt idx="711">
                  <c:v>-0,01192855</c:v>
                </c:pt>
                <c:pt idx="712">
                  <c:v>-0,01162855</c:v>
                </c:pt>
                <c:pt idx="713">
                  <c:v>-0,01132855</c:v>
                </c:pt>
                <c:pt idx="714">
                  <c:v>-0,01102855</c:v>
                </c:pt>
                <c:pt idx="715">
                  <c:v>-0,01072855</c:v>
                </c:pt>
                <c:pt idx="716">
                  <c:v>-0,01042855</c:v>
                </c:pt>
                <c:pt idx="717">
                  <c:v>-0,01012855</c:v>
                </c:pt>
                <c:pt idx="718">
                  <c:v>-0,00982855</c:v>
                </c:pt>
                <c:pt idx="719">
                  <c:v>-0,00952855</c:v>
                </c:pt>
                <c:pt idx="720">
                  <c:v>-0,00922855</c:v>
                </c:pt>
                <c:pt idx="721">
                  <c:v>-0,00892855</c:v>
                </c:pt>
                <c:pt idx="722">
                  <c:v>-0,00862855</c:v>
                </c:pt>
                <c:pt idx="723">
                  <c:v>-0,00832855</c:v>
                </c:pt>
                <c:pt idx="724">
                  <c:v>-0,00802855</c:v>
                </c:pt>
                <c:pt idx="725">
                  <c:v>-0,00772855</c:v>
                </c:pt>
                <c:pt idx="726">
                  <c:v>-0,00742855</c:v>
                </c:pt>
                <c:pt idx="727">
                  <c:v>-0,00712855</c:v>
                </c:pt>
                <c:pt idx="728">
                  <c:v>-0,00682855</c:v>
                </c:pt>
                <c:pt idx="729">
                  <c:v>-0,00652855</c:v>
                </c:pt>
                <c:pt idx="730">
                  <c:v>-0,00622855</c:v>
                </c:pt>
                <c:pt idx="731">
                  <c:v>-0,00592855</c:v>
                </c:pt>
                <c:pt idx="732">
                  <c:v>-0,00562855</c:v>
                </c:pt>
                <c:pt idx="733">
                  <c:v>-0,00532855</c:v>
                </c:pt>
                <c:pt idx="734">
                  <c:v>-0,00502855</c:v>
                </c:pt>
                <c:pt idx="735">
                  <c:v>-0,00472855</c:v>
                </c:pt>
                <c:pt idx="736">
                  <c:v>-0,00442855</c:v>
                </c:pt>
                <c:pt idx="737">
                  <c:v>-0,00412855</c:v>
                </c:pt>
                <c:pt idx="738">
                  <c:v>-0,00382855</c:v>
                </c:pt>
                <c:pt idx="739">
                  <c:v>-0,00352855</c:v>
                </c:pt>
                <c:pt idx="740">
                  <c:v>-0,00322855</c:v>
                </c:pt>
                <c:pt idx="741">
                  <c:v>-0,00292855</c:v>
                </c:pt>
                <c:pt idx="742">
                  <c:v>-0,00262855</c:v>
                </c:pt>
                <c:pt idx="743">
                  <c:v>-0,00232855</c:v>
                </c:pt>
                <c:pt idx="744">
                  <c:v>-0,00202855</c:v>
                </c:pt>
                <c:pt idx="745">
                  <c:v>-0,00172855</c:v>
                </c:pt>
                <c:pt idx="746">
                  <c:v>-0,00142855</c:v>
                </c:pt>
                <c:pt idx="747">
                  <c:v>-0,00112855</c:v>
                </c:pt>
                <c:pt idx="748">
                  <c:v>-0,00082855</c:v>
                </c:pt>
                <c:pt idx="749">
                  <c:v>-0,00052855</c:v>
                </c:pt>
                <c:pt idx="750">
                  <c:v>-0,00022855</c:v>
                </c:pt>
                <c:pt idx="751">
                  <c:v>7,14497E-05</c:v>
                </c:pt>
                <c:pt idx="752">
                  <c:v>0,00037145</c:v>
                </c:pt>
                <c:pt idx="753">
                  <c:v>0,00067145</c:v>
                </c:pt>
                <c:pt idx="754">
                  <c:v>0,00097145</c:v>
                </c:pt>
                <c:pt idx="755">
                  <c:v>0,00127145</c:v>
                </c:pt>
                <c:pt idx="756">
                  <c:v>0,00157145</c:v>
                </c:pt>
                <c:pt idx="757">
                  <c:v>0,00187145</c:v>
                </c:pt>
                <c:pt idx="758">
                  <c:v>0,00217145</c:v>
                </c:pt>
                <c:pt idx="759">
                  <c:v>0,00247145</c:v>
                </c:pt>
                <c:pt idx="760">
                  <c:v>0,00277145</c:v>
                </c:pt>
                <c:pt idx="761">
                  <c:v>0,00307145</c:v>
                </c:pt>
                <c:pt idx="762">
                  <c:v>0,00337145</c:v>
                </c:pt>
                <c:pt idx="763">
                  <c:v>0,00367145</c:v>
                </c:pt>
                <c:pt idx="764">
                  <c:v>0,00397145</c:v>
                </c:pt>
                <c:pt idx="765">
                  <c:v>0,00427145</c:v>
                </c:pt>
                <c:pt idx="766">
                  <c:v>0,00457145</c:v>
                </c:pt>
                <c:pt idx="767">
                  <c:v>0,00487145</c:v>
                </c:pt>
                <c:pt idx="768">
                  <c:v>0,00517145</c:v>
                </c:pt>
                <c:pt idx="769">
                  <c:v>0,00547145</c:v>
                </c:pt>
                <c:pt idx="770">
                  <c:v>0,00577145</c:v>
                </c:pt>
                <c:pt idx="771">
                  <c:v>0,00607145</c:v>
                </c:pt>
                <c:pt idx="772">
                  <c:v>0,00637145</c:v>
                </c:pt>
                <c:pt idx="773">
                  <c:v>0,00667145</c:v>
                </c:pt>
                <c:pt idx="774">
                  <c:v>0,00697145</c:v>
                </c:pt>
                <c:pt idx="775">
                  <c:v>0,00727145</c:v>
                </c:pt>
                <c:pt idx="776">
                  <c:v>0,00757145</c:v>
                </c:pt>
                <c:pt idx="777">
                  <c:v>0,00787145</c:v>
                </c:pt>
                <c:pt idx="778">
                  <c:v>0,00817145</c:v>
                </c:pt>
                <c:pt idx="779">
                  <c:v>0,00847145</c:v>
                </c:pt>
                <c:pt idx="780">
                  <c:v>0,00877145</c:v>
                </c:pt>
                <c:pt idx="781">
                  <c:v>0,00907145</c:v>
                </c:pt>
                <c:pt idx="782">
                  <c:v>0,00937145</c:v>
                </c:pt>
                <c:pt idx="783">
                  <c:v>0,00967145</c:v>
                </c:pt>
                <c:pt idx="784">
                  <c:v>0,00997145</c:v>
                </c:pt>
                <c:pt idx="785">
                  <c:v>0,01027145</c:v>
                </c:pt>
                <c:pt idx="786">
                  <c:v>0,01057145</c:v>
                </c:pt>
                <c:pt idx="787">
                  <c:v>0,01087145</c:v>
                </c:pt>
                <c:pt idx="788">
                  <c:v>0,01117145</c:v>
                </c:pt>
                <c:pt idx="789">
                  <c:v>0,01147145</c:v>
                </c:pt>
                <c:pt idx="790">
                  <c:v>0,01177145</c:v>
                </c:pt>
                <c:pt idx="791">
                  <c:v>0,01207145</c:v>
                </c:pt>
                <c:pt idx="792">
                  <c:v>0,01237145</c:v>
                </c:pt>
                <c:pt idx="793">
                  <c:v>0,01267145</c:v>
                </c:pt>
                <c:pt idx="794">
                  <c:v>0,01297145</c:v>
                </c:pt>
                <c:pt idx="795">
                  <c:v>0,01327145</c:v>
                </c:pt>
                <c:pt idx="796">
                  <c:v>0,01357145</c:v>
                </c:pt>
                <c:pt idx="797">
                  <c:v>0,01387145</c:v>
                </c:pt>
                <c:pt idx="798">
                  <c:v>0,01417145</c:v>
                </c:pt>
                <c:pt idx="799">
                  <c:v>0,01447145</c:v>
                </c:pt>
                <c:pt idx="800">
                  <c:v>0,01477145</c:v>
                </c:pt>
                <c:pt idx="801">
                  <c:v>0,01507145</c:v>
                </c:pt>
                <c:pt idx="802">
                  <c:v>0,01537145</c:v>
                </c:pt>
                <c:pt idx="803">
                  <c:v>0,01567145</c:v>
                </c:pt>
                <c:pt idx="804">
                  <c:v>0,01597145</c:v>
                </c:pt>
                <c:pt idx="805">
                  <c:v>0,01627145</c:v>
                </c:pt>
                <c:pt idx="806">
                  <c:v>0,01657145</c:v>
                </c:pt>
                <c:pt idx="807">
                  <c:v>0,01687145</c:v>
                </c:pt>
                <c:pt idx="808">
                  <c:v>0,01717145</c:v>
                </c:pt>
                <c:pt idx="809">
                  <c:v>0,01747145</c:v>
                </c:pt>
                <c:pt idx="810">
                  <c:v>0,01777145</c:v>
                </c:pt>
                <c:pt idx="811">
                  <c:v>0,01807145</c:v>
                </c:pt>
                <c:pt idx="812">
                  <c:v>0,01837145</c:v>
                </c:pt>
                <c:pt idx="813">
                  <c:v>0,01867145</c:v>
                </c:pt>
                <c:pt idx="814">
                  <c:v>0,01897145</c:v>
                </c:pt>
                <c:pt idx="815">
                  <c:v>0,01927145</c:v>
                </c:pt>
                <c:pt idx="816">
                  <c:v>0,01957145</c:v>
                </c:pt>
                <c:pt idx="817">
                  <c:v>0,01987145</c:v>
                </c:pt>
                <c:pt idx="818">
                  <c:v>0,02017145</c:v>
                </c:pt>
                <c:pt idx="819">
                  <c:v>0,02047145</c:v>
                </c:pt>
                <c:pt idx="820">
                  <c:v>0,02077145</c:v>
                </c:pt>
                <c:pt idx="821">
                  <c:v>0,02107145</c:v>
                </c:pt>
                <c:pt idx="822">
                  <c:v>0,02137145</c:v>
                </c:pt>
                <c:pt idx="823">
                  <c:v>0,02167145</c:v>
                </c:pt>
                <c:pt idx="824">
                  <c:v>0,02197145</c:v>
                </c:pt>
                <c:pt idx="825">
                  <c:v>0,02227145</c:v>
                </c:pt>
                <c:pt idx="826">
                  <c:v>0,02257145</c:v>
                </c:pt>
                <c:pt idx="827">
                  <c:v>0,02287145</c:v>
                </c:pt>
                <c:pt idx="828">
                  <c:v>0,02317145</c:v>
                </c:pt>
                <c:pt idx="829">
                  <c:v>0,02347145</c:v>
                </c:pt>
                <c:pt idx="830">
                  <c:v>0,02377145</c:v>
                </c:pt>
                <c:pt idx="831">
                  <c:v>0,02407145</c:v>
                </c:pt>
                <c:pt idx="832">
                  <c:v>0,02437145</c:v>
                </c:pt>
                <c:pt idx="833">
                  <c:v>0,02467145</c:v>
                </c:pt>
                <c:pt idx="834">
                  <c:v>0,02497145</c:v>
                </c:pt>
                <c:pt idx="835">
                  <c:v>0,02527145</c:v>
                </c:pt>
                <c:pt idx="836">
                  <c:v>0,02557145</c:v>
                </c:pt>
                <c:pt idx="837">
                  <c:v>0,02587145</c:v>
                </c:pt>
                <c:pt idx="838">
                  <c:v>0,02617145</c:v>
                </c:pt>
                <c:pt idx="839">
                  <c:v>0,02647145</c:v>
                </c:pt>
                <c:pt idx="840">
                  <c:v>0,02677145</c:v>
                </c:pt>
                <c:pt idx="841">
                  <c:v>0,02707145</c:v>
                </c:pt>
                <c:pt idx="842">
                  <c:v>0,02737145</c:v>
                </c:pt>
                <c:pt idx="843">
                  <c:v>0,02767145</c:v>
                </c:pt>
                <c:pt idx="844">
                  <c:v>0,02797145</c:v>
                </c:pt>
                <c:pt idx="845">
                  <c:v>0,02827145</c:v>
                </c:pt>
                <c:pt idx="846">
                  <c:v>0,02857145</c:v>
                </c:pt>
                <c:pt idx="847">
                  <c:v>0,02887145</c:v>
                </c:pt>
                <c:pt idx="848">
                  <c:v>0,02917145</c:v>
                </c:pt>
                <c:pt idx="849">
                  <c:v>0,02947145</c:v>
                </c:pt>
                <c:pt idx="850">
                  <c:v>0,02977145</c:v>
                </c:pt>
                <c:pt idx="851">
                  <c:v>0,03007145</c:v>
                </c:pt>
                <c:pt idx="852">
                  <c:v>0,03037145</c:v>
                </c:pt>
                <c:pt idx="853">
                  <c:v>0,03067145</c:v>
                </c:pt>
                <c:pt idx="854">
                  <c:v>0,03097145</c:v>
                </c:pt>
                <c:pt idx="855">
                  <c:v>0,03127145</c:v>
                </c:pt>
                <c:pt idx="856">
                  <c:v>0,03157145</c:v>
                </c:pt>
                <c:pt idx="857">
                  <c:v>0,03187145</c:v>
                </c:pt>
                <c:pt idx="858">
                  <c:v>0,03217145</c:v>
                </c:pt>
                <c:pt idx="859">
                  <c:v>0,03247145</c:v>
                </c:pt>
                <c:pt idx="860">
                  <c:v>0,03277145</c:v>
                </c:pt>
                <c:pt idx="861">
                  <c:v>0,03307145</c:v>
                </c:pt>
                <c:pt idx="862">
                  <c:v>0,03337145</c:v>
                </c:pt>
                <c:pt idx="863">
                  <c:v>0,03367145</c:v>
                </c:pt>
                <c:pt idx="864">
                  <c:v>0,03397145</c:v>
                </c:pt>
                <c:pt idx="865">
                  <c:v>0,03427145</c:v>
                </c:pt>
                <c:pt idx="866">
                  <c:v>0,03457145</c:v>
                </c:pt>
                <c:pt idx="867">
                  <c:v>0,03487145</c:v>
                </c:pt>
                <c:pt idx="868">
                  <c:v>0,03517145</c:v>
                </c:pt>
                <c:pt idx="869">
                  <c:v>0,03547145</c:v>
                </c:pt>
                <c:pt idx="870">
                  <c:v>0,03577145</c:v>
                </c:pt>
                <c:pt idx="871">
                  <c:v>0,03607145</c:v>
                </c:pt>
                <c:pt idx="872">
                  <c:v>0,03637145</c:v>
                </c:pt>
                <c:pt idx="873">
                  <c:v>0,03667145</c:v>
                </c:pt>
                <c:pt idx="874">
                  <c:v>0,03697145</c:v>
                </c:pt>
                <c:pt idx="875">
                  <c:v>0,03727145</c:v>
                </c:pt>
                <c:pt idx="876">
                  <c:v>0,03757145</c:v>
                </c:pt>
                <c:pt idx="877">
                  <c:v>0,03787145</c:v>
                </c:pt>
                <c:pt idx="878">
                  <c:v>0,03817145</c:v>
                </c:pt>
                <c:pt idx="879">
                  <c:v>0,03847145</c:v>
                </c:pt>
                <c:pt idx="880">
                  <c:v>0,03877145</c:v>
                </c:pt>
                <c:pt idx="881">
                  <c:v>0,03907145</c:v>
                </c:pt>
                <c:pt idx="882">
                  <c:v>0,03937145</c:v>
                </c:pt>
                <c:pt idx="883">
                  <c:v>0,03967145</c:v>
                </c:pt>
                <c:pt idx="884">
                  <c:v>0,03997145</c:v>
                </c:pt>
                <c:pt idx="885">
                  <c:v>0,04027145</c:v>
                </c:pt>
                <c:pt idx="886">
                  <c:v>0,04057145</c:v>
                </c:pt>
                <c:pt idx="887">
                  <c:v>0,04087145</c:v>
                </c:pt>
                <c:pt idx="888">
                  <c:v>0,04117145</c:v>
                </c:pt>
                <c:pt idx="889">
                  <c:v>0,04147145</c:v>
                </c:pt>
                <c:pt idx="890">
                  <c:v>0,04177145</c:v>
                </c:pt>
                <c:pt idx="891">
                  <c:v>0,04207145</c:v>
                </c:pt>
                <c:pt idx="892">
                  <c:v>0,04237145</c:v>
                </c:pt>
                <c:pt idx="893">
                  <c:v>0,04267145</c:v>
                </c:pt>
                <c:pt idx="894">
                  <c:v>0,04297145</c:v>
                </c:pt>
                <c:pt idx="895">
                  <c:v>0,04327145</c:v>
                </c:pt>
                <c:pt idx="896">
                  <c:v>0,04357145</c:v>
                </c:pt>
                <c:pt idx="897">
                  <c:v>0,04387145</c:v>
                </c:pt>
                <c:pt idx="898">
                  <c:v>0,04417145</c:v>
                </c:pt>
                <c:pt idx="899">
                  <c:v>0,04447145</c:v>
                </c:pt>
                <c:pt idx="900">
                  <c:v>0,04477145</c:v>
                </c:pt>
                <c:pt idx="901">
                  <c:v>0,04507145</c:v>
                </c:pt>
                <c:pt idx="902">
                  <c:v>0,04537145</c:v>
                </c:pt>
                <c:pt idx="903">
                  <c:v>0,04567145</c:v>
                </c:pt>
                <c:pt idx="904">
                  <c:v>0,04597145</c:v>
                </c:pt>
                <c:pt idx="905">
                  <c:v>0,04627145</c:v>
                </c:pt>
                <c:pt idx="906">
                  <c:v>0,04657145</c:v>
                </c:pt>
                <c:pt idx="907">
                  <c:v>0,04687145</c:v>
                </c:pt>
                <c:pt idx="908">
                  <c:v>0,04717145</c:v>
                </c:pt>
                <c:pt idx="909">
                  <c:v>0,04747145</c:v>
                </c:pt>
                <c:pt idx="910">
                  <c:v>0,04777145</c:v>
                </c:pt>
                <c:pt idx="911">
                  <c:v>0,04807145</c:v>
                </c:pt>
                <c:pt idx="912">
                  <c:v>0,04837145</c:v>
                </c:pt>
                <c:pt idx="913">
                  <c:v>0,04867145</c:v>
                </c:pt>
                <c:pt idx="914">
                  <c:v>0,04897145</c:v>
                </c:pt>
                <c:pt idx="915">
                  <c:v>0,04927145</c:v>
                </c:pt>
                <c:pt idx="916">
                  <c:v>0,04957145</c:v>
                </c:pt>
                <c:pt idx="917">
                  <c:v>0,04987145</c:v>
                </c:pt>
                <c:pt idx="918">
                  <c:v>0,05017145</c:v>
                </c:pt>
                <c:pt idx="919">
                  <c:v>0,05047145</c:v>
                </c:pt>
                <c:pt idx="920">
                  <c:v>0,05077145</c:v>
                </c:pt>
                <c:pt idx="921">
                  <c:v>0,05107145</c:v>
                </c:pt>
                <c:pt idx="922">
                  <c:v>0,05137145</c:v>
                </c:pt>
                <c:pt idx="923">
                  <c:v>0,05167145</c:v>
                </c:pt>
                <c:pt idx="924">
                  <c:v>0,05197145</c:v>
                </c:pt>
                <c:pt idx="925">
                  <c:v>0,05227145</c:v>
                </c:pt>
                <c:pt idx="926">
                  <c:v>0,05257145</c:v>
                </c:pt>
                <c:pt idx="927">
                  <c:v>0,05287145</c:v>
                </c:pt>
                <c:pt idx="928">
                  <c:v>0,05317145</c:v>
                </c:pt>
                <c:pt idx="929">
                  <c:v>0,05347145</c:v>
                </c:pt>
                <c:pt idx="930">
                  <c:v>0,05377145</c:v>
                </c:pt>
                <c:pt idx="931">
                  <c:v>0,05407145</c:v>
                </c:pt>
                <c:pt idx="932">
                  <c:v>0,05437145</c:v>
                </c:pt>
                <c:pt idx="933">
                  <c:v>0,05467145</c:v>
                </c:pt>
                <c:pt idx="934">
                  <c:v>0,05497145</c:v>
                </c:pt>
                <c:pt idx="935">
                  <c:v>0,05527145</c:v>
                </c:pt>
                <c:pt idx="936">
                  <c:v>0,05557145</c:v>
                </c:pt>
                <c:pt idx="937">
                  <c:v>0,05587145</c:v>
                </c:pt>
                <c:pt idx="938">
                  <c:v>0,05617145</c:v>
                </c:pt>
                <c:pt idx="939">
                  <c:v>0,05647145</c:v>
                </c:pt>
                <c:pt idx="940">
                  <c:v>0,05677145</c:v>
                </c:pt>
                <c:pt idx="941">
                  <c:v>0,05707145</c:v>
                </c:pt>
                <c:pt idx="942">
                  <c:v>0,05737145</c:v>
                </c:pt>
                <c:pt idx="943">
                  <c:v>0,05767145</c:v>
                </c:pt>
                <c:pt idx="944">
                  <c:v>0,05797145</c:v>
                </c:pt>
                <c:pt idx="945">
                  <c:v>0,05827145</c:v>
                </c:pt>
                <c:pt idx="946">
                  <c:v>0,05857145</c:v>
                </c:pt>
                <c:pt idx="947">
                  <c:v>0,05887145</c:v>
                </c:pt>
                <c:pt idx="948">
                  <c:v>0,05917145</c:v>
                </c:pt>
                <c:pt idx="949">
                  <c:v>0,05947145</c:v>
                </c:pt>
                <c:pt idx="950">
                  <c:v>0,05977145</c:v>
                </c:pt>
                <c:pt idx="951">
                  <c:v>0,06007145</c:v>
                </c:pt>
                <c:pt idx="952">
                  <c:v>0,06037145</c:v>
                </c:pt>
                <c:pt idx="953">
                  <c:v>0,06067145</c:v>
                </c:pt>
                <c:pt idx="954">
                  <c:v>0,06097145</c:v>
                </c:pt>
                <c:pt idx="955">
                  <c:v>0,06127145</c:v>
                </c:pt>
                <c:pt idx="956">
                  <c:v>0,06157145</c:v>
                </c:pt>
                <c:pt idx="957">
                  <c:v>0,06187145</c:v>
                </c:pt>
                <c:pt idx="958">
                  <c:v>0,06217145</c:v>
                </c:pt>
                <c:pt idx="959">
                  <c:v>0,06247145</c:v>
                </c:pt>
                <c:pt idx="960">
                  <c:v>0,06277145</c:v>
                </c:pt>
                <c:pt idx="961">
                  <c:v>0,06307145</c:v>
                </c:pt>
                <c:pt idx="962">
                  <c:v>0,06337145</c:v>
                </c:pt>
                <c:pt idx="963">
                  <c:v>0,06367145</c:v>
                </c:pt>
                <c:pt idx="964">
                  <c:v>0,06397145</c:v>
                </c:pt>
                <c:pt idx="965">
                  <c:v>0,06427145</c:v>
                </c:pt>
                <c:pt idx="966">
                  <c:v>0,06457145</c:v>
                </c:pt>
                <c:pt idx="967">
                  <c:v>0,06487145</c:v>
                </c:pt>
                <c:pt idx="968">
                  <c:v>0,06517145</c:v>
                </c:pt>
                <c:pt idx="969">
                  <c:v>0,06547145</c:v>
                </c:pt>
                <c:pt idx="970">
                  <c:v>0,06577145</c:v>
                </c:pt>
                <c:pt idx="971">
                  <c:v>0,06607145</c:v>
                </c:pt>
                <c:pt idx="972">
                  <c:v>0,06637145</c:v>
                </c:pt>
                <c:pt idx="973">
                  <c:v>0,06667145</c:v>
                </c:pt>
                <c:pt idx="974">
                  <c:v>0,06697145</c:v>
                </c:pt>
                <c:pt idx="975">
                  <c:v>0,06727145</c:v>
                </c:pt>
                <c:pt idx="976">
                  <c:v>0,06757145</c:v>
                </c:pt>
                <c:pt idx="977">
                  <c:v>0,06787145</c:v>
                </c:pt>
                <c:pt idx="978">
                  <c:v>0,06817145</c:v>
                </c:pt>
                <c:pt idx="979">
                  <c:v>0,06847145</c:v>
                </c:pt>
                <c:pt idx="980">
                  <c:v>0,06877145</c:v>
                </c:pt>
                <c:pt idx="981">
                  <c:v>0,06907145</c:v>
                </c:pt>
                <c:pt idx="982">
                  <c:v>0,06937145</c:v>
                </c:pt>
                <c:pt idx="983">
                  <c:v>0,06967145</c:v>
                </c:pt>
                <c:pt idx="984">
                  <c:v>0,06997145</c:v>
                </c:pt>
                <c:pt idx="985">
                  <c:v>0,07027145</c:v>
                </c:pt>
                <c:pt idx="986">
                  <c:v>0,07057145</c:v>
                </c:pt>
                <c:pt idx="987">
                  <c:v>0,07087145</c:v>
                </c:pt>
                <c:pt idx="988">
                  <c:v>0,07117145</c:v>
                </c:pt>
                <c:pt idx="989">
                  <c:v>0,07147145</c:v>
                </c:pt>
                <c:pt idx="990">
                  <c:v>0,07177145</c:v>
                </c:pt>
                <c:pt idx="991">
                  <c:v>0,07207145</c:v>
                </c:pt>
                <c:pt idx="992">
                  <c:v>0,07237145</c:v>
                </c:pt>
                <c:pt idx="993">
                  <c:v>0,07267145</c:v>
                </c:pt>
                <c:pt idx="994">
                  <c:v>0,07297145</c:v>
                </c:pt>
                <c:pt idx="995">
                  <c:v>0,07327145</c:v>
                </c:pt>
                <c:pt idx="996">
                  <c:v>0,07357145</c:v>
                </c:pt>
                <c:pt idx="997">
                  <c:v>0,07387145</c:v>
                </c:pt>
                <c:pt idx="998">
                  <c:v>0,07417145</c:v>
                </c:pt>
                <c:pt idx="999">
                  <c:v>0,07447145</c:v>
                </c:pt>
                <c:pt idx="1000">
                  <c:v>0,07477145</c:v>
                </c:pt>
                <c:pt idx="1001">
                  <c:v>0,07507145</c:v>
                </c:pt>
                <c:pt idx="1002">
                  <c:v>0,07537145</c:v>
                </c:pt>
                <c:pt idx="1003">
                  <c:v>0,07567145</c:v>
                </c:pt>
                <c:pt idx="1004">
                  <c:v>0,07597145</c:v>
                </c:pt>
                <c:pt idx="1005">
                  <c:v>0,07627145</c:v>
                </c:pt>
                <c:pt idx="1006">
                  <c:v>0,07657145</c:v>
                </c:pt>
                <c:pt idx="1007">
                  <c:v>0,07687145</c:v>
                </c:pt>
                <c:pt idx="1008">
                  <c:v>0,07717145</c:v>
                </c:pt>
                <c:pt idx="1009">
                  <c:v>0,07747145</c:v>
                </c:pt>
                <c:pt idx="1010">
                  <c:v>0,07777145</c:v>
                </c:pt>
                <c:pt idx="1011">
                  <c:v>0,07807145</c:v>
                </c:pt>
                <c:pt idx="1012">
                  <c:v>0,07837145</c:v>
                </c:pt>
                <c:pt idx="1013">
                  <c:v>0,07867145</c:v>
                </c:pt>
                <c:pt idx="1014">
                  <c:v>0,07897145</c:v>
                </c:pt>
                <c:pt idx="1015">
                  <c:v>0,07927145</c:v>
                </c:pt>
                <c:pt idx="1016">
                  <c:v>0,07957145</c:v>
                </c:pt>
                <c:pt idx="1017">
                  <c:v>0,07987145</c:v>
                </c:pt>
                <c:pt idx="1018">
                  <c:v>0,08017145</c:v>
                </c:pt>
                <c:pt idx="1019">
                  <c:v>0,08047145</c:v>
                </c:pt>
                <c:pt idx="1020">
                  <c:v>0,08077145</c:v>
                </c:pt>
                <c:pt idx="1021">
                  <c:v>0,08107145</c:v>
                </c:pt>
                <c:pt idx="1022">
                  <c:v>0,08137145</c:v>
                </c:pt>
                <c:pt idx="1023">
                  <c:v>0,08167145</c:v>
                </c:pt>
                <c:pt idx="1024">
                  <c:v>0,08197145</c:v>
                </c:pt>
              </c:strCache>
            </c:strRef>
          </c:xVal>
          <c:yVal>
            <c:numRef>
              <c:f>Estimation_1516!$G:$G</c:f>
              <c:numCache>
                <c:formatCode>General</c:formatCode>
                <c:ptCount val="104857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3.715592846012571E-10</c:v>
                </c:pt>
                <c:pt idx="101">
                  <c:v>2.3273954726487896E-7</c:v>
                </c:pt>
                <c:pt idx="102">
                  <c:v>1.5090624582629017E-6</c:v>
                </c:pt>
                <c:pt idx="103">
                  <c:v>4.6367348469401756E-6</c:v>
                </c:pt>
                <c:pt idx="104">
                  <c:v>1.0311208141848934E-5</c:v>
                </c:pt>
                <c:pt idx="105">
                  <c:v>1.9121002315458462E-5</c:v>
                </c:pt>
                <c:pt idx="106">
                  <c:v>3.1552717554182846E-5</c:v>
                </c:pt>
                <c:pt idx="107">
                  <c:v>4.7996045928406483E-5</c:v>
                </c:pt>
                <c:pt idx="108">
                  <c:v>6.87487830625098E-5</c:v>
                </c:pt>
                <c:pt idx="109">
                  <c:v>9.4021839804896888E-5</c:v>
                </c:pt>
                <c:pt idx="110">
                  <c:v>1.2394425389802125E-4</c:v>
                </c:pt>
                <c:pt idx="111">
                  <c:v>1.5856820164841177E-4</c:v>
                </c:pt>
                <c:pt idx="112">
                  <c:v>1.9787400959669972E-4</c:v>
                </c:pt>
                <c:pt idx="113">
                  <c:v>2.4177516618764498E-4</c:v>
                </c:pt>
                <c:pt idx="114">
                  <c:v>2.9012333344016202E-4</c:v>
                </c:pt>
                <c:pt idx="115">
                  <c:v>3.4271335861734694E-4</c:v>
                </c:pt>
                <c:pt idx="116">
                  <c:v>3.9928828589650268E-4</c:v>
                </c:pt>
                <c:pt idx="117">
                  <c:v>4.5954436803916668E-4</c:v>
                </c:pt>
                <c:pt idx="118">
                  <c:v>5.2313607806113655E-4</c:v>
                </c:pt>
                <c:pt idx="119">
                  <c:v>5.8968112090249667E-4</c:v>
                </c:pt>
                <c:pt idx="120">
                  <c:v>6.5876544509764392E-4</c:v>
                </c:pt>
                <c:pt idx="121">
                  <c:v>7.2994825444531498E-4</c:v>
                </c:pt>
                <c:pt idx="122">
                  <c:v>8.0276701967861206E-4</c:v>
                </c:pt>
                <c:pt idx="123">
                  <c:v>8.7674249013502948E-4</c:v>
                </c:pt>
                <c:pt idx="124">
                  <c:v>9.5138370542647969E-4</c:v>
                </c:pt>
                <c:pt idx="125">
                  <c:v>1.0261930071093206E-3</c:v>
                </c:pt>
                <c:pt idx="126">
                  <c:v>1.1006710503543807E-3</c:v>
                </c:pt>
                <c:pt idx="127">
                  <c:v>1.1743218156169859E-3</c:v>
                </c:pt>
                <c:pt idx="128">
                  <c:v>1.2466576203069863E-3</c:v>
                </c:pt>
                <c:pt idx="129">
                  <c:v>1.317204130458782E-3</c:v>
                </c:pt>
                <c:pt idx="130">
                  <c:v>1.3855053724013495E-3</c:v>
                </c:pt>
                <c:pt idx="131">
                  <c:v>1.4511287444282689E-3</c:v>
                </c:pt>
                <c:pt idx="132">
                  <c:v>1.5136700284677487E-3</c:v>
                </c:pt>
                <c:pt idx="133">
                  <c:v>1.5727584017526533E-3</c:v>
                </c:pt>
                <c:pt idx="134">
                  <c:v>1.6280614484905297E-3</c:v>
                </c:pt>
                <c:pt idx="135">
                  <c:v>1.6792901715336325E-3</c:v>
                </c:pt>
                <c:pt idx="136">
                  <c:v>1.7262040040489509E-3</c:v>
                </c:pt>
                <c:pt idx="137">
                  <c:v>1.7686158211882362E-3</c:v>
                </c:pt>
                <c:pt idx="138">
                  <c:v>1.8063969517580257E-3</c:v>
                </c:pt>
                <c:pt idx="139">
                  <c:v>1.8394821898896712E-3</c:v>
                </c:pt>
                <c:pt idx="140">
                  <c:v>1.8678748067093652E-3</c:v>
                </c:pt>
                <c:pt idx="141">
                  <c:v>1.8916515620081655E-3</c:v>
                </c:pt>
                <c:pt idx="142">
                  <c:v>1.9109677159120239E-3</c:v>
                </c:pt>
                <c:pt idx="143">
                  <c:v>1.9260620405518098E-3</c:v>
                </c:pt>
                <c:pt idx="144">
                  <c:v>1.93726183173334E-3</c:v>
                </c:pt>
                <c:pt idx="145">
                  <c:v>1.9449879206074022E-3</c:v>
                </c:pt>
                <c:pt idx="146">
                  <c:v>1.9497596853397824E-3</c:v>
                </c:pt>
                <c:pt idx="147">
                  <c:v>1.9522000627812915E-3</c:v>
                </c:pt>
                <c:pt idx="148">
                  <c:v>1.953040560137791E-3</c:v>
                </c:pt>
                <c:pt idx="149">
                  <c:v>1.953125E-3</c:v>
                </c:pt>
                <c:pt idx="150">
                  <c:v>1.953125E-3</c:v>
                </c:pt>
                <c:pt idx="151">
                  <c:v>1.953125E-3</c:v>
                </c:pt>
                <c:pt idx="152">
                  <c:v>1.953125E-3</c:v>
                </c:pt>
                <c:pt idx="153">
                  <c:v>1.953125E-3</c:v>
                </c:pt>
                <c:pt idx="154">
                  <c:v>1.953125E-3</c:v>
                </c:pt>
                <c:pt idx="155">
                  <c:v>1.953125E-3</c:v>
                </c:pt>
                <c:pt idx="156">
                  <c:v>1.953125E-3</c:v>
                </c:pt>
                <c:pt idx="157">
                  <c:v>1.953125E-3</c:v>
                </c:pt>
                <c:pt idx="158">
                  <c:v>1.953125E-3</c:v>
                </c:pt>
                <c:pt idx="159">
                  <c:v>1.953125E-3</c:v>
                </c:pt>
                <c:pt idx="160">
                  <c:v>1.953125E-3</c:v>
                </c:pt>
                <c:pt idx="161">
                  <c:v>1.953125E-3</c:v>
                </c:pt>
                <c:pt idx="162">
                  <c:v>1.953125E-3</c:v>
                </c:pt>
                <c:pt idx="163">
                  <c:v>1.953125E-3</c:v>
                </c:pt>
                <c:pt idx="164">
                  <c:v>1.953125E-3</c:v>
                </c:pt>
                <c:pt idx="165">
                  <c:v>1.953125E-3</c:v>
                </c:pt>
                <c:pt idx="166">
                  <c:v>1.953125E-3</c:v>
                </c:pt>
                <c:pt idx="167">
                  <c:v>1.953125E-3</c:v>
                </c:pt>
                <c:pt idx="168">
                  <c:v>1.953125E-3</c:v>
                </c:pt>
                <c:pt idx="169">
                  <c:v>1.953125E-3</c:v>
                </c:pt>
                <c:pt idx="170">
                  <c:v>1.953125E-3</c:v>
                </c:pt>
                <c:pt idx="171">
                  <c:v>1.953125E-3</c:v>
                </c:pt>
                <c:pt idx="172">
                  <c:v>1.953125E-3</c:v>
                </c:pt>
                <c:pt idx="173">
                  <c:v>1.953125E-3</c:v>
                </c:pt>
                <c:pt idx="174">
                  <c:v>1.953125E-3</c:v>
                </c:pt>
                <c:pt idx="175">
                  <c:v>1.953125E-3</c:v>
                </c:pt>
                <c:pt idx="176">
                  <c:v>1.953125E-3</c:v>
                </c:pt>
                <c:pt idx="177">
                  <c:v>1.953125E-3</c:v>
                </c:pt>
                <c:pt idx="178">
                  <c:v>1.953125E-3</c:v>
                </c:pt>
                <c:pt idx="179">
                  <c:v>1.953125E-3</c:v>
                </c:pt>
                <c:pt idx="180">
                  <c:v>1.953125E-3</c:v>
                </c:pt>
                <c:pt idx="181">
                  <c:v>1.953125E-3</c:v>
                </c:pt>
                <c:pt idx="182">
                  <c:v>1.953125E-3</c:v>
                </c:pt>
                <c:pt idx="183">
                  <c:v>1.953125E-3</c:v>
                </c:pt>
                <c:pt idx="184">
                  <c:v>1.953125E-3</c:v>
                </c:pt>
                <c:pt idx="185">
                  <c:v>1.953125E-3</c:v>
                </c:pt>
                <c:pt idx="186">
                  <c:v>1.953125E-3</c:v>
                </c:pt>
                <c:pt idx="187">
                  <c:v>1.953125E-3</c:v>
                </c:pt>
                <c:pt idx="188">
                  <c:v>1.953125E-3</c:v>
                </c:pt>
                <c:pt idx="189">
                  <c:v>1.953125E-3</c:v>
                </c:pt>
                <c:pt idx="190">
                  <c:v>1.953125E-3</c:v>
                </c:pt>
                <c:pt idx="191">
                  <c:v>1.953125E-3</c:v>
                </c:pt>
                <c:pt idx="192">
                  <c:v>1.953125E-3</c:v>
                </c:pt>
                <c:pt idx="193">
                  <c:v>1.953125E-3</c:v>
                </c:pt>
                <c:pt idx="194">
                  <c:v>1.953125E-3</c:v>
                </c:pt>
                <c:pt idx="195">
                  <c:v>1.953125E-3</c:v>
                </c:pt>
                <c:pt idx="196">
                  <c:v>1.953125E-3</c:v>
                </c:pt>
                <c:pt idx="197">
                  <c:v>1.953125E-3</c:v>
                </c:pt>
                <c:pt idx="198">
                  <c:v>1.953125E-3</c:v>
                </c:pt>
                <c:pt idx="199">
                  <c:v>1.953125E-3</c:v>
                </c:pt>
                <c:pt idx="200">
                  <c:v>1.953125E-3</c:v>
                </c:pt>
                <c:pt idx="201">
                  <c:v>1.953125E-3</c:v>
                </c:pt>
                <c:pt idx="202">
                  <c:v>1.953125E-3</c:v>
                </c:pt>
                <c:pt idx="203">
                  <c:v>1.953125E-3</c:v>
                </c:pt>
                <c:pt idx="204">
                  <c:v>1.953125E-3</c:v>
                </c:pt>
                <c:pt idx="205">
                  <c:v>1.953125E-3</c:v>
                </c:pt>
                <c:pt idx="206">
                  <c:v>1.953125E-3</c:v>
                </c:pt>
                <c:pt idx="207">
                  <c:v>1.953125E-3</c:v>
                </c:pt>
                <c:pt idx="208">
                  <c:v>1.953125E-3</c:v>
                </c:pt>
                <c:pt idx="209">
                  <c:v>1.953125E-3</c:v>
                </c:pt>
                <c:pt idx="210">
                  <c:v>1.953125E-3</c:v>
                </c:pt>
                <c:pt idx="211">
                  <c:v>1.953125E-3</c:v>
                </c:pt>
                <c:pt idx="212">
                  <c:v>1.953125E-3</c:v>
                </c:pt>
                <c:pt idx="213">
                  <c:v>1.953125E-3</c:v>
                </c:pt>
                <c:pt idx="214">
                  <c:v>1.953125E-3</c:v>
                </c:pt>
                <c:pt idx="215">
                  <c:v>1.953125E-3</c:v>
                </c:pt>
                <c:pt idx="216">
                  <c:v>1.953125E-3</c:v>
                </c:pt>
                <c:pt idx="217">
                  <c:v>1.953125E-3</c:v>
                </c:pt>
                <c:pt idx="218">
                  <c:v>1.953125E-3</c:v>
                </c:pt>
                <c:pt idx="219">
                  <c:v>1.953125E-3</c:v>
                </c:pt>
                <c:pt idx="220">
                  <c:v>1.953125E-3</c:v>
                </c:pt>
                <c:pt idx="221">
                  <c:v>1.953125E-3</c:v>
                </c:pt>
                <c:pt idx="222">
                  <c:v>1.953125E-3</c:v>
                </c:pt>
                <c:pt idx="223">
                  <c:v>1.953125E-3</c:v>
                </c:pt>
                <c:pt idx="224">
                  <c:v>1.953125E-3</c:v>
                </c:pt>
                <c:pt idx="225">
                  <c:v>1.953125E-3</c:v>
                </c:pt>
                <c:pt idx="226">
                  <c:v>1.953125E-3</c:v>
                </c:pt>
                <c:pt idx="227">
                  <c:v>1.953125E-3</c:v>
                </c:pt>
                <c:pt idx="228">
                  <c:v>1.953125E-3</c:v>
                </c:pt>
                <c:pt idx="229">
                  <c:v>1.953125E-3</c:v>
                </c:pt>
                <c:pt idx="230">
                  <c:v>1.953125E-3</c:v>
                </c:pt>
                <c:pt idx="231">
                  <c:v>1.953125E-3</c:v>
                </c:pt>
                <c:pt idx="232">
                  <c:v>1.953125E-3</c:v>
                </c:pt>
                <c:pt idx="233">
                  <c:v>1.953125E-3</c:v>
                </c:pt>
                <c:pt idx="234">
                  <c:v>1.953125E-3</c:v>
                </c:pt>
                <c:pt idx="235">
                  <c:v>1.953125E-3</c:v>
                </c:pt>
                <c:pt idx="236">
                  <c:v>1.953125E-3</c:v>
                </c:pt>
                <c:pt idx="237">
                  <c:v>1.953125E-3</c:v>
                </c:pt>
                <c:pt idx="238">
                  <c:v>1.953125E-3</c:v>
                </c:pt>
                <c:pt idx="239">
                  <c:v>1.953125E-3</c:v>
                </c:pt>
                <c:pt idx="240">
                  <c:v>1.953125E-3</c:v>
                </c:pt>
                <c:pt idx="241">
                  <c:v>1.953125E-3</c:v>
                </c:pt>
                <c:pt idx="242">
                  <c:v>1.953125E-3</c:v>
                </c:pt>
                <c:pt idx="243">
                  <c:v>1.953125E-3</c:v>
                </c:pt>
                <c:pt idx="244">
                  <c:v>1.953125E-3</c:v>
                </c:pt>
                <c:pt idx="245">
                  <c:v>1.953125E-3</c:v>
                </c:pt>
                <c:pt idx="246">
                  <c:v>1.953125E-3</c:v>
                </c:pt>
                <c:pt idx="247">
                  <c:v>1.953125E-3</c:v>
                </c:pt>
                <c:pt idx="248">
                  <c:v>1.953125E-3</c:v>
                </c:pt>
                <c:pt idx="249">
                  <c:v>1.953125E-3</c:v>
                </c:pt>
                <c:pt idx="250">
                  <c:v>1.953125E-3</c:v>
                </c:pt>
                <c:pt idx="251">
                  <c:v>1.953125E-3</c:v>
                </c:pt>
                <c:pt idx="252">
                  <c:v>1.953125E-3</c:v>
                </c:pt>
                <c:pt idx="253">
                  <c:v>1.953125E-3</c:v>
                </c:pt>
                <c:pt idx="254">
                  <c:v>1.953125E-3</c:v>
                </c:pt>
                <c:pt idx="255">
                  <c:v>1.953125E-3</c:v>
                </c:pt>
                <c:pt idx="256">
                  <c:v>1.953125E-3</c:v>
                </c:pt>
                <c:pt idx="257">
                  <c:v>1.953125E-3</c:v>
                </c:pt>
                <c:pt idx="258">
                  <c:v>1.953125E-3</c:v>
                </c:pt>
                <c:pt idx="259">
                  <c:v>1.953125E-3</c:v>
                </c:pt>
                <c:pt idx="260">
                  <c:v>1.953125E-3</c:v>
                </c:pt>
                <c:pt idx="261">
                  <c:v>1.953125E-3</c:v>
                </c:pt>
                <c:pt idx="262">
                  <c:v>1.953125E-3</c:v>
                </c:pt>
                <c:pt idx="263">
                  <c:v>1.953125E-3</c:v>
                </c:pt>
                <c:pt idx="264">
                  <c:v>1.953125E-3</c:v>
                </c:pt>
                <c:pt idx="265">
                  <c:v>1.953125E-3</c:v>
                </c:pt>
                <c:pt idx="266">
                  <c:v>1.953125E-3</c:v>
                </c:pt>
                <c:pt idx="267">
                  <c:v>1.953125E-3</c:v>
                </c:pt>
                <c:pt idx="268">
                  <c:v>1.953125E-3</c:v>
                </c:pt>
                <c:pt idx="269">
                  <c:v>1.953125E-3</c:v>
                </c:pt>
                <c:pt idx="270">
                  <c:v>1.953125E-3</c:v>
                </c:pt>
                <c:pt idx="271">
                  <c:v>1.953125E-3</c:v>
                </c:pt>
                <c:pt idx="272">
                  <c:v>1.953125E-3</c:v>
                </c:pt>
                <c:pt idx="273">
                  <c:v>1.953125E-3</c:v>
                </c:pt>
                <c:pt idx="274">
                  <c:v>1.953125E-3</c:v>
                </c:pt>
                <c:pt idx="275">
                  <c:v>1.953125E-3</c:v>
                </c:pt>
                <c:pt idx="276">
                  <c:v>1.953125E-3</c:v>
                </c:pt>
                <c:pt idx="277">
                  <c:v>1.953125E-3</c:v>
                </c:pt>
                <c:pt idx="278">
                  <c:v>1.953125E-3</c:v>
                </c:pt>
                <c:pt idx="279">
                  <c:v>1.953125E-3</c:v>
                </c:pt>
                <c:pt idx="280">
                  <c:v>1.953125E-3</c:v>
                </c:pt>
                <c:pt idx="281">
                  <c:v>1.953125E-3</c:v>
                </c:pt>
                <c:pt idx="282">
                  <c:v>1.953125E-3</c:v>
                </c:pt>
                <c:pt idx="283">
                  <c:v>1.953125E-3</c:v>
                </c:pt>
                <c:pt idx="284">
                  <c:v>1.953125E-3</c:v>
                </c:pt>
                <c:pt idx="285">
                  <c:v>1.953125E-3</c:v>
                </c:pt>
                <c:pt idx="286">
                  <c:v>1.953125E-3</c:v>
                </c:pt>
                <c:pt idx="287">
                  <c:v>1.953125E-3</c:v>
                </c:pt>
                <c:pt idx="288">
                  <c:v>1.953125E-3</c:v>
                </c:pt>
                <c:pt idx="289">
                  <c:v>1.953125E-3</c:v>
                </c:pt>
                <c:pt idx="290">
                  <c:v>1.953125E-3</c:v>
                </c:pt>
                <c:pt idx="291">
                  <c:v>1.953125E-3</c:v>
                </c:pt>
                <c:pt idx="292">
                  <c:v>1.953125E-3</c:v>
                </c:pt>
                <c:pt idx="293">
                  <c:v>1.953125E-3</c:v>
                </c:pt>
                <c:pt idx="294">
                  <c:v>1.953125E-3</c:v>
                </c:pt>
                <c:pt idx="295">
                  <c:v>1.953125E-3</c:v>
                </c:pt>
                <c:pt idx="296">
                  <c:v>1.953125E-3</c:v>
                </c:pt>
                <c:pt idx="297">
                  <c:v>1.953125E-3</c:v>
                </c:pt>
                <c:pt idx="298">
                  <c:v>1.953125E-3</c:v>
                </c:pt>
                <c:pt idx="299">
                  <c:v>1.953125E-3</c:v>
                </c:pt>
                <c:pt idx="300">
                  <c:v>1.953125E-3</c:v>
                </c:pt>
                <c:pt idx="301">
                  <c:v>1.953125E-3</c:v>
                </c:pt>
                <c:pt idx="302">
                  <c:v>1.953125E-3</c:v>
                </c:pt>
                <c:pt idx="303">
                  <c:v>1.953125E-3</c:v>
                </c:pt>
                <c:pt idx="304">
                  <c:v>1.953125E-3</c:v>
                </c:pt>
                <c:pt idx="305">
                  <c:v>1.953125E-3</c:v>
                </c:pt>
                <c:pt idx="306">
                  <c:v>1.953125E-3</c:v>
                </c:pt>
                <c:pt idx="307">
                  <c:v>1.953125E-3</c:v>
                </c:pt>
                <c:pt idx="308">
                  <c:v>1.953125E-3</c:v>
                </c:pt>
                <c:pt idx="309">
                  <c:v>1.953125E-3</c:v>
                </c:pt>
                <c:pt idx="310">
                  <c:v>1.953125E-3</c:v>
                </c:pt>
                <c:pt idx="311">
                  <c:v>1.953125E-3</c:v>
                </c:pt>
                <c:pt idx="312">
                  <c:v>1.953125E-3</c:v>
                </c:pt>
                <c:pt idx="313">
                  <c:v>1.953125E-3</c:v>
                </c:pt>
                <c:pt idx="314">
                  <c:v>1.953125E-3</c:v>
                </c:pt>
                <c:pt idx="315">
                  <c:v>1.953125E-3</c:v>
                </c:pt>
                <c:pt idx="316">
                  <c:v>1.953125E-3</c:v>
                </c:pt>
                <c:pt idx="317">
                  <c:v>1.953125E-3</c:v>
                </c:pt>
                <c:pt idx="318">
                  <c:v>1.953125E-3</c:v>
                </c:pt>
                <c:pt idx="319">
                  <c:v>1.953125E-3</c:v>
                </c:pt>
                <c:pt idx="320">
                  <c:v>1.953125E-3</c:v>
                </c:pt>
                <c:pt idx="321">
                  <c:v>1.953125E-3</c:v>
                </c:pt>
                <c:pt idx="322">
                  <c:v>1.953125E-3</c:v>
                </c:pt>
                <c:pt idx="323">
                  <c:v>1.953125E-3</c:v>
                </c:pt>
                <c:pt idx="324">
                  <c:v>1.953125E-3</c:v>
                </c:pt>
                <c:pt idx="325">
                  <c:v>1.953125E-3</c:v>
                </c:pt>
                <c:pt idx="326">
                  <c:v>1.953125E-3</c:v>
                </c:pt>
                <c:pt idx="327">
                  <c:v>1.953125E-3</c:v>
                </c:pt>
                <c:pt idx="328">
                  <c:v>1.953125E-3</c:v>
                </c:pt>
                <c:pt idx="329">
                  <c:v>1.953125E-3</c:v>
                </c:pt>
                <c:pt idx="330">
                  <c:v>1.953125E-3</c:v>
                </c:pt>
                <c:pt idx="331">
                  <c:v>1.953125E-3</c:v>
                </c:pt>
                <c:pt idx="332">
                  <c:v>1.953125E-3</c:v>
                </c:pt>
                <c:pt idx="333">
                  <c:v>1.953125E-3</c:v>
                </c:pt>
                <c:pt idx="334">
                  <c:v>1.953125E-3</c:v>
                </c:pt>
                <c:pt idx="335">
                  <c:v>1.953125E-3</c:v>
                </c:pt>
                <c:pt idx="336">
                  <c:v>1.953125E-3</c:v>
                </c:pt>
                <c:pt idx="337">
                  <c:v>1.953125E-3</c:v>
                </c:pt>
                <c:pt idx="338">
                  <c:v>1.953125E-3</c:v>
                </c:pt>
                <c:pt idx="339">
                  <c:v>1.953125E-3</c:v>
                </c:pt>
                <c:pt idx="340">
                  <c:v>1.953125E-3</c:v>
                </c:pt>
                <c:pt idx="341">
                  <c:v>1.953125E-3</c:v>
                </c:pt>
                <c:pt idx="342">
                  <c:v>1.953125E-3</c:v>
                </c:pt>
                <c:pt idx="343">
                  <c:v>1.953125E-3</c:v>
                </c:pt>
                <c:pt idx="344">
                  <c:v>1.953125E-3</c:v>
                </c:pt>
                <c:pt idx="345">
                  <c:v>1.953125E-3</c:v>
                </c:pt>
                <c:pt idx="346">
                  <c:v>1.953125E-3</c:v>
                </c:pt>
                <c:pt idx="347">
                  <c:v>1.953125E-3</c:v>
                </c:pt>
                <c:pt idx="348">
                  <c:v>1.953125E-3</c:v>
                </c:pt>
                <c:pt idx="349">
                  <c:v>1.953125E-3</c:v>
                </c:pt>
                <c:pt idx="350">
                  <c:v>1.953125E-3</c:v>
                </c:pt>
                <c:pt idx="351">
                  <c:v>1.953125E-3</c:v>
                </c:pt>
                <c:pt idx="352">
                  <c:v>1.953125E-3</c:v>
                </c:pt>
                <c:pt idx="353">
                  <c:v>1.953125E-3</c:v>
                </c:pt>
                <c:pt idx="354">
                  <c:v>1.953125E-3</c:v>
                </c:pt>
                <c:pt idx="355">
                  <c:v>1.953125E-3</c:v>
                </c:pt>
                <c:pt idx="356">
                  <c:v>1.953125E-3</c:v>
                </c:pt>
                <c:pt idx="357">
                  <c:v>1.953125E-3</c:v>
                </c:pt>
                <c:pt idx="358">
                  <c:v>1.953125E-3</c:v>
                </c:pt>
                <c:pt idx="359">
                  <c:v>1.953125E-3</c:v>
                </c:pt>
                <c:pt idx="360">
                  <c:v>1.953125E-3</c:v>
                </c:pt>
                <c:pt idx="361">
                  <c:v>1.953125E-3</c:v>
                </c:pt>
                <c:pt idx="362">
                  <c:v>1.953125E-3</c:v>
                </c:pt>
                <c:pt idx="363">
                  <c:v>1.953125E-3</c:v>
                </c:pt>
                <c:pt idx="364">
                  <c:v>1.953125E-3</c:v>
                </c:pt>
                <c:pt idx="365">
                  <c:v>1.953125E-3</c:v>
                </c:pt>
                <c:pt idx="366">
                  <c:v>1.953125E-3</c:v>
                </c:pt>
                <c:pt idx="367">
                  <c:v>1.953125E-3</c:v>
                </c:pt>
                <c:pt idx="368">
                  <c:v>1.953125E-3</c:v>
                </c:pt>
                <c:pt idx="369">
                  <c:v>1.953125E-3</c:v>
                </c:pt>
                <c:pt idx="370">
                  <c:v>1.953125E-3</c:v>
                </c:pt>
                <c:pt idx="371">
                  <c:v>1.953125E-3</c:v>
                </c:pt>
                <c:pt idx="372">
                  <c:v>1.953125E-3</c:v>
                </c:pt>
                <c:pt idx="373">
                  <c:v>1.953125E-3</c:v>
                </c:pt>
                <c:pt idx="374">
                  <c:v>1.953125E-3</c:v>
                </c:pt>
                <c:pt idx="375">
                  <c:v>1.953125E-3</c:v>
                </c:pt>
                <c:pt idx="376">
                  <c:v>1.953125E-3</c:v>
                </c:pt>
                <c:pt idx="377">
                  <c:v>1.953125E-3</c:v>
                </c:pt>
                <c:pt idx="378">
                  <c:v>1.953125E-3</c:v>
                </c:pt>
                <c:pt idx="379">
                  <c:v>1.953125E-3</c:v>
                </c:pt>
                <c:pt idx="380">
                  <c:v>1.953125E-3</c:v>
                </c:pt>
                <c:pt idx="381">
                  <c:v>1.953125E-3</c:v>
                </c:pt>
                <c:pt idx="382">
                  <c:v>1.953125E-3</c:v>
                </c:pt>
                <c:pt idx="383">
                  <c:v>1.953125E-3</c:v>
                </c:pt>
                <c:pt idx="384">
                  <c:v>1.953125E-3</c:v>
                </c:pt>
                <c:pt idx="385">
                  <c:v>1.953125E-3</c:v>
                </c:pt>
                <c:pt idx="386">
                  <c:v>1.953125E-3</c:v>
                </c:pt>
                <c:pt idx="387">
                  <c:v>1.953125E-3</c:v>
                </c:pt>
                <c:pt idx="388">
                  <c:v>1.953125E-3</c:v>
                </c:pt>
                <c:pt idx="389">
                  <c:v>1.953125E-3</c:v>
                </c:pt>
                <c:pt idx="390">
                  <c:v>1.953125E-3</c:v>
                </c:pt>
                <c:pt idx="391">
                  <c:v>1.953125E-3</c:v>
                </c:pt>
                <c:pt idx="392">
                  <c:v>1.953125E-3</c:v>
                </c:pt>
                <c:pt idx="393">
                  <c:v>1.953125E-3</c:v>
                </c:pt>
                <c:pt idx="394">
                  <c:v>1.953125E-3</c:v>
                </c:pt>
                <c:pt idx="395">
                  <c:v>1.953125E-3</c:v>
                </c:pt>
                <c:pt idx="396">
                  <c:v>1.953125E-3</c:v>
                </c:pt>
                <c:pt idx="397">
                  <c:v>1.953125E-3</c:v>
                </c:pt>
                <c:pt idx="398">
                  <c:v>1.953125E-3</c:v>
                </c:pt>
                <c:pt idx="399">
                  <c:v>1.953125E-3</c:v>
                </c:pt>
                <c:pt idx="400">
                  <c:v>1.953125E-3</c:v>
                </c:pt>
                <c:pt idx="401">
                  <c:v>1.953125E-3</c:v>
                </c:pt>
                <c:pt idx="402">
                  <c:v>1.953125E-3</c:v>
                </c:pt>
                <c:pt idx="403">
                  <c:v>1.953125E-3</c:v>
                </c:pt>
                <c:pt idx="404">
                  <c:v>1.953125E-3</c:v>
                </c:pt>
                <c:pt idx="405">
                  <c:v>1.953125E-3</c:v>
                </c:pt>
                <c:pt idx="406">
                  <c:v>1.953125E-3</c:v>
                </c:pt>
                <c:pt idx="407">
                  <c:v>1.953125E-3</c:v>
                </c:pt>
                <c:pt idx="408">
                  <c:v>1.953125E-3</c:v>
                </c:pt>
                <c:pt idx="409">
                  <c:v>1.953125E-3</c:v>
                </c:pt>
                <c:pt idx="410">
                  <c:v>1.953125E-3</c:v>
                </c:pt>
                <c:pt idx="411">
                  <c:v>1.953125E-3</c:v>
                </c:pt>
                <c:pt idx="412">
                  <c:v>1.953125E-3</c:v>
                </c:pt>
                <c:pt idx="413">
                  <c:v>1.953125E-3</c:v>
                </c:pt>
                <c:pt idx="414">
                  <c:v>1.953125E-3</c:v>
                </c:pt>
                <c:pt idx="415">
                  <c:v>1.953125E-3</c:v>
                </c:pt>
                <c:pt idx="416">
                  <c:v>1.953125E-3</c:v>
                </c:pt>
                <c:pt idx="417">
                  <c:v>1.953125E-3</c:v>
                </c:pt>
                <c:pt idx="418">
                  <c:v>1.953125E-3</c:v>
                </c:pt>
                <c:pt idx="419">
                  <c:v>1.953125E-3</c:v>
                </c:pt>
                <c:pt idx="420">
                  <c:v>1.953125E-3</c:v>
                </c:pt>
                <c:pt idx="421">
                  <c:v>1.953125E-3</c:v>
                </c:pt>
                <c:pt idx="422">
                  <c:v>1.953125E-3</c:v>
                </c:pt>
                <c:pt idx="423">
                  <c:v>1.953125E-3</c:v>
                </c:pt>
                <c:pt idx="424">
                  <c:v>1.953125E-3</c:v>
                </c:pt>
                <c:pt idx="425">
                  <c:v>1.953125E-3</c:v>
                </c:pt>
                <c:pt idx="426">
                  <c:v>1.953125E-3</c:v>
                </c:pt>
                <c:pt idx="427">
                  <c:v>1.953125E-3</c:v>
                </c:pt>
                <c:pt idx="428">
                  <c:v>1.953125E-3</c:v>
                </c:pt>
                <c:pt idx="429">
                  <c:v>1.953125E-3</c:v>
                </c:pt>
                <c:pt idx="430">
                  <c:v>1.953125E-3</c:v>
                </c:pt>
                <c:pt idx="431">
                  <c:v>1.953125E-3</c:v>
                </c:pt>
                <c:pt idx="432">
                  <c:v>1.953125E-3</c:v>
                </c:pt>
                <c:pt idx="433">
                  <c:v>1.953125E-3</c:v>
                </c:pt>
                <c:pt idx="434">
                  <c:v>1.953125E-3</c:v>
                </c:pt>
                <c:pt idx="435">
                  <c:v>1.953125E-3</c:v>
                </c:pt>
                <c:pt idx="436">
                  <c:v>1.953125E-3</c:v>
                </c:pt>
                <c:pt idx="437">
                  <c:v>1.953125E-3</c:v>
                </c:pt>
                <c:pt idx="438">
                  <c:v>1.953125E-3</c:v>
                </c:pt>
                <c:pt idx="439">
                  <c:v>1.953125E-3</c:v>
                </c:pt>
                <c:pt idx="440">
                  <c:v>1.953125E-3</c:v>
                </c:pt>
                <c:pt idx="441">
                  <c:v>1.953125E-3</c:v>
                </c:pt>
                <c:pt idx="442">
                  <c:v>1.953125E-3</c:v>
                </c:pt>
                <c:pt idx="443">
                  <c:v>1.953125E-3</c:v>
                </c:pt>
                <c:pt idx="444">
                  <c:v>1.953125E-3</c:v>
                </c:pt>
                <c:pt idx="445">
                  <c:v>1.953125E-3</c:v>
                </c:pt>
                <c:pt idx="446">
                  <c:v>1.953125E-3</c:v>
                </c:pt>
                <c:pt idx="447">
                  <c:v>1.953125E-3</c:v>
                </c:pt>
                <c:pt idx="448">
                  <c:v>1.953125E-3</c:v>
                </c:pt>
                <c:pt idx="449">
                  <c:v>1.953125E-3</c:v>
                </c:pt>
                <c:pt idx="450">
                  <c:v>1.953125E-3</c:v>
                </c:pt>
                <c:pt idx="451">
                  <c:v>1.953125E-3</c:v>
                </c:pt>
                <c:pt idx="452">
                  <c:v>1.953125E-3</c:v>
                </c:pt>
                <c:pt idx="453">
                  <c:v>1.953125E-3</c:v>
                </c:pt>
                <c:pt idx="454">
                  <c:v>1.953125E-3</c:v>
                </c:pt>
                <c:pt idx="455">
                  <c:v>1.953125E-3</c:v>
                </c:pt>
                <c:pt idx="456">
                  <c:v>1.953125E-3</c:v>
                </c:pt>
                <c:pt idx="457">
                  <c:v>1.953125E-3</c:v>
                </c:pt>
                <c:pt idx="458">
                  <c:v>1.953125E-3</c:v>
                </c:pt>
                <c:pt idx="459">
                  <c:v>1.953125E-3</c:v>
                </c:pt>
                <c:pt idx="460">
                  <c:v>1.953125E-3</c:v>
                </c:pt>
                <c:pt idx="461">
                  <c:v>1.953125E-3</c:v>
                </c:pt>
                <c:pt idx="462">
                  <c:v>1.953125E-3</c:v>
                </c:pt>
                <c:pt idx="463">
                  <c:v>1.953125E-3</c:v>
                </c:pt>
                <c:pt idx="464">
                  <c:v>1.953125E-3</c:v>
                </c:pt>
                <c:pt idx="465">
                  <c:v>1.953125E-3</c:v>
                </c:pt>
                <c:pt idx="466">
                  <c:v>1.953125E-3</c:v>
                </c:pt>
                <c:pt idx="467">
                  <c:v>1.953125E-3</c:v>
                </c:pt>
                <c:pt idx="468">
                  <c:v>1.953125E-3</c:v>
                </c:pt>
                <c:pt idx="469">
                  <c:v>1.953125E-3</c:v>
                </c:pt>
                <c:pt idx="470">
                  <c:v>1.953125E-3</c:v>
                </c:pt>
                <c:pt idx="471">
                  <c:v>1.953125E-3</c:v>
                </c:pt>
                <c:pt idx="472">
                  <c:v>1.953125E-3</c:v>
                </c:pt>
                <c:pt idx="473">
                  <c:v>1.953125E-3</c:v>
                </c:pt>
                <c:pt idx="474">
                  <c:v>1.953125E-3</c:v>
                </c:pt>
                <c:pt idx="475">
                  <c:v>1.953125E-3</c:v>
                </c:pt>
                <c:pt idx="476">
                  <c:v>1.953125E-3</c:v>
                </c:pt>
                <c:pt idx="477">
                  <c:v>1.953125E-3</c:v>
                </c:pt>
                <c:pt idx="478">
                  <c:v>1.953125E-3</c:v>
                </c:pt>
                <c:pt idx="479">
                  <c:v>1.953125E-3</c:v>
                </c:pt>
                <c:pt idx="480">
                  <c:v>1.953125E-3</c:v>
                </c:pt>
                <c:pt idx="481">
                  <c:v>1.953125E-3</c:v>
                </c:pt>
                <c:pt idx="482">
                  <c:v>1.953125E-3</c:v>
                </c:pt>
                <c:pt idx="483">
                  <c:v>1.953125E-3</c:v>
                </c:pt>
                <c:pt idx="484">
                  <c:v>1.953125E-3</c:v>
                </c:pt>
                <c:pt idx="485">
                  <c:v>1.953125E-3</c:v>
                </c:pt>
                <c:pt idx="486">
                  <c:v>1.953125E-3</c:v>
                </c:pt>
                <c:pt idx="487">
                  <c:v>1.953125E-3</c:v>
                </c:pt>
                <c:pt idx="488">
                  <c:v>1.9531306262630423E-3</c:v>
                </c:pt>
                <c:pt idx="489">
                  <c:v>1.9534965351588099E-3</c:v>
                </c:pt>
                <c:pt idx="490">
                  <c:v>1.9550715575983122E-3</c:v>
                </c:pt>
                <c:pt idx="491">
                  <c:v>1.9586410418110708E-3</c:v>
                </c:pt>
                <c:pt idx="492">
                  <c:v>1.9648793624058251E-3</c:v>
                </c:pt>
                <c:pt idx="493">
                  <c:v>1.9743549320405548E-3</c:v>
                </c:pt>
                <c:pt idx="494">
                  <c:v>1.9875352130925088E-3</c:v>
                </c:pt>
                <c:pt idx="495">
                  <c:v>2.0047917293282307E-3</c:v>
                </c:pt>
                <c:pt idx="496">
                  <c:v>2.0264050775735849E-3</c:v>
                </c:pt>
                <c:pt idx="497">
                  <c:v>2.0525699393837832E-3</c:v>
                </c:pt>
                <c:pt idx="498">
                  <c:v>2.0834000927134107E-3</c:v>
                </c:pt>
                <c:pt idx="499">
                  <c:v>2.118933423586454E-3</c:v>
                </c:pt>
                <c:pt idx="500">
                  <c:v>2.159136937766325E-3</c:v>
                </c:pt>
                <c:pt idx="501">
                  <c:v>2.2039117724258882E-3</c:v>
                </c:pt>
                <c:pt idx="502">
                  <c:v>2.2530982078174887E-3</c:v>
                </c:pt>
                <c:pt idx="503">
                  <c:v>2.3064806789429761E-3</c:v>
                </c:pt>
                <c:pt idx="504">
                  <c:v>2.3637927872237315E-3</c:v>
                </c:pt>
                <c:pt idx="505">
                  <c:v>2.4247223121706954E-3</c:v>
                </c:pt>
                <c:pt idx="506">
                  <c:v>2.4889162230543917E-3</c:v>
                </c:pt>
                <c:pt idx="507">
                  <c:v>2.5559856905749568E-3</c:v>
                </c:pt>
                <c:pt idx="508">
                  <c:v>2.6255110985321634E-3</c:v>
                </c:pt>
                <c:pt idx="509">
                  <c:v>2.6970470554954478E-3</c:v>
                </c:pt>
                <c:pt idx="510">
                  <c:v>2.7701274064739359E-3</c:v>
                </c:pt>
                <c:pt idx="511">
                  <c:v>2.844270244586472E-3</c:v>
                </c:pt>
                <c:pt idx="512">
                  <c:v>2.9189829227316416E-3</c:v>
                </c:pt>
                <c:pt idx="513">
                  <c:v>2.9937670652577988E-3</c:v>
                </c:pt>
                <c:pt idx="514">
                  <c:v>3.0681235796330949E-3</c:v>
                </c:pt>
                <c:pt idx="515">
                  <c:v>3.1415578099364952E-3</c:v>
                </c:pt>
                <c:pt idx="516">
                  <c:v>3.2137953130924961E-3</c:v>
                </c:pt>
                <c:pt idx="517">
                  <c:v>3.2851665020490767E-3</c:v>
                </c:pt>
                <c:pt idx="518">
                  <c:v>3.3560361217461533E-3</c:v>
                </c:pt>
                <c:pt idx="519">
                  <c:v>3.4270233249368426E-3</c:v>
                </c:pt>
                <c:pt idx="520">
                  <c:v>3.4991697531081977E-3</c:v>
                </c:pt>
                <c:pt idx="521">
                  <c:v>3.5733883952228625E-3</c:v>
                </c:pt>
                <c:pt idx="522">
                  <c:v>3.6504234997411259E-3</c:v>
                </c:pt>
                <c:pt idx="523">
                  <c:v>3.730865609630994E-3</c:v>
                </c:pt>
                <c:pt idx="524">
                  <c:v>3.8151665973782728E-3</c:v>
                </c:pt>
                <c:pt idx="525">
                  <c:v>3.9036547122488115E-3</c:v>
                </c:pt>
                <c:pt idx="526">
                  <c:v>3.9967321097084335E-3</c:v>
                </c:pt>
                <c:pt idx="527">
                  <c:v>4.095308921267346E-3</c:v>
                </c:pt>
                <c:pt idx="528">
                  <c:v>4.200250276302519E-3</c:v>
                </c:pt>
                <c:pt idx="529">
                  <c:v>4.3122454201021823E-3</c:v>
                </c:pt>
                <c:pt idx="530">
                  <c:v>4.431827760545932E-3</c:v>
                </c:pt>
                <c:pt idx="531">
                  <c:v>4.5594136272053181E-3</c:v>
                </c:pt>
                <c:pt idx="532">
                  <c:v>4.6957498529430529E-3</c:v>
                </c:pt>
                <c:pt idx="533">
                  <c:v>4.8418818339192125E-3</c:v>
                </c:pt>
                <c:pt idx="534">
                  <c:v>4.998687288030464E-3</c:v>
                </c:pt>
                <c:pt idx="535">
                  <c:v>5.1668781602057243E-3</c:v>
                </c:pt>
                <c:pt idx="536">
                  <c:v>5.3470256807562977E-3</c:v>
                </c:pt>
                <c:pt idx="537">
                  <c:v>5.5395754441830529E-3</c:v>
                </c:pt>
                <c:pt idx="538">
                  <c:v>5.7444557860678392E-3</c:v>
                </c:pt>
                <c:pt idx="539">
                  <c:v>5.960891555743939E-3</c:v>
                </c:pt>
                <c:pt idx="540">
                  <c:v>6.1880271391347328E-3</c:v>
                </c:pt>
                <c:pt idx="541">
                  <c:v>6.4254637720846247E-3</c:v>
                </c:pt>
                <c:pt idx="542">
                  <c:v>6.6727704213695631E-3</c:v>
                </c:pt>
                <c:pt idx="543">
                  <c:v>6.9292932148852472E-3</c:v>
                </c:pt>
                <c:pt idx="544">
                  <c:v>7.1941804193600195E-3</c:v>
                </c:pt>
                <c:pt idx="545">
                  <c:v>7.4664074987050265E-3</c:v>
                </c:pt>
                <c:pt idx="546">
                  <c:v>7.7448859711679845E-3</c:v>
                </c:pt>
                <c:pt idx="547">
                  <c:v>8.0294333709472095E-3</c:v>
                </c:pt>
                <c:pt idx="548">
                  <c:v>8.3203680400421708E-3</c:v>
                </c:pt>
                <c:pt idx="549">
                  <c:v>8.6177286212163664E-3</c:v>
                </c:pt>
                <c:pt idx="550">
                  <c:v>8.9212872745438321E-3</c:v>
                </c:pt>
                <c:pt idx="551">
                  <c:v>9.2305849436358275E-3</c:v>
                </c:pt>
                <c:pt idx="552">
                  <c:v>9.545182016681213E-3</c:v>
                </c:pt>
                <c:pt idx="553">
                  <c:v>9.8650659053068999E-3</c:v>
                </c:pt>
                <c:pt idx="554">
                  <c:v>1.0190104170457315E-2</c:v>
                </c:pt>
                <c:pt idx="555">
                  <c:v>1.0519961362950454E-2</c:v>
                </c:pt>
                <c:pt idx="556">
                  <c:v>1.0854350121936317E-2</c:v>
                </c:pt>
                <c:pt idx="557">
                  <c:v>1.1193450546097434E-2</c:v>
                </c:pt>
                <c:pt idx="558">
                  <c:v>1.1537369603713066E-2</c:v>
                </c:pt>
                <c:pt idx="559">
                  <c:v>1.1886109484038159E-2</c:v>
                </c:pt>
                <c:pt idx="560">
                  <c:v>1.2240105221079468E-2</c:v>
                </c:pt>
                <c:pt idx="561">
                  <c:v>1.2599988720247351E-2</c:v>
                </c:pt>
                <c:pt idx="562">
                  <c:v>1.2966294435059963E-2</c:v>
                </c:pt>
                <c:pt idx="563">
                  <c:v>1.3339966945718826E-2</c:v>
                </c:pt>
                <c:pt idx="564">
                  <c:v>1.3722251074445815E-2</c:v>
                </c:pt>
                <c:pt idx="565">
                  <c:v>1.4114039791354329E-2</c:v>
                </c:pt>
                <c:pt idx="566">
                  <c:v>1.4515464023512073E-2</c:v>
                </c:pt>
                <c:pt idx="567">
                  <c:v>1.4926432970883011E-2</c:v>
                </c:pt>
                <c:pt idx="568">
                  <c:v>1.5346370729753221E-2</c:v>
                </c:pt>
                <c:pt idx="569">
                  <c:v>1.577404206100565E-2</c:v>
                </c:pt>
                <c:pt idx="570">
                  <c:v>1.6208076929998962E-2</c:v>
                </c:pt>
                <c:pt idx="571">
                  <c:v>1.6647054833483395E-2</c:v>
                </c:pt>
                <c:pt idx="572">
                  <c:v>1.7089673868957572E-2</c:v>
                </c:pt>
                <c:pt idx="573">
                  <c:v>1.7535693526617074E-2</c:v>
                </c:pt>
                <c:pt idx="574">
                  <c:v>1.7985741371849905E-2</c:v>
                </c:pt>
                <c:pt idx="575">
                  <c:v>1.8440932432398211E-2</c:v>
                </c:pt>
                <c:pt idx="576">
                  <c:v>1.890274610658417E-2</c:v>
                </c:pt>
                <c:pt idx="577">
                  <c:v>1.9372642420245195E-2</c:v>
                </c:pt>
                <c:pt idx="578">
                  <c:v>1.9851687826712087E-2</c:v>
                </c:pt>
                <c:pt idx="579">
                  <c:v>2.0340737414377266E-2</c:v>
                </c:pt>
                <c:pt idx="580">
                  <c:v>2.0840954390113908E-2</c:v>
                </c:pt>
                <c:pt idx="581">
                  <c:v>2.1352869640632592E-2</c:v>
                </c:pt>
                <c:pt idx="582">
                  <c:v>2.1876586283478081E-2</c:v>
                </c:pt>
                <c:pt idx="583">
                  <c:v>2.2412348660732939E-2</c:v>
                </c:pt>
                <c:pt idx="584">
                  <c:v>2.2960131292176927E-2</c:v>
                </c:pt>
                <c:pt idx="585">
                  <c:v>2.3520159132876584E-2</c:v>
                </c:pt>
                <c:pt idx="586">
                  <c:v>2.4092693582269533E-2</c:v>
                </c:pt>
                <c:pt idx="587">
                  <c:v>2.4677734450749028E-2</c:v>
                </c:pt>
                <c:pt idx="588">
                  <c:v>2.5275101055918663E-2</c:v>
                </c:pt>
                <c:pt idx="589">
                  <c:v>2.5884734280896507E-2</c:v>
                </c:pt>
                <c:pt idx="590">
                  <c:v>2.650624669557422E-2</c:v>
                </c:pt>
                <c:pt idx="591">
                  <c:v>2.7138907631576968E-2</c:v>
                </c:pt>
                <c:pt idx="592">
                  <c:v>2.7781851942096505E-2</c:v>
                </c:pt>
                <c:pt idx="593">
                  <c:v>2.8434155177310752E-2</c:v>
                </c:pt>
                <c:pt idx="594">
                  <c:v>2.9095011142381125E-2</c:v>
                </c:pt>
                <c:pt idx="595">
                  <c:v>2.976519965999893E-2</c:v>
                </c:pt>
                <c:pt idx="596">
                  <c:v>3.0446076564362226E-2</c:v>
                </c:pt>
                <c:pt idx="597">
                  <c:v>3.1138039884979721E-2</c:v>
                </c:pt>
                <c:pt idx="598">
                  <c:v>3.1841087321368186E-2</c:v>
                </c:pt>
                <c:pt idx="599">
                  <c:v>3.2554914404525445E-2</c:v>
                </c:pt>
                <c:pt idx="600">
                  <c:v>3.3278998887140643E-2</c:v>
                </c:pt>
                <c:pt idx="601">
                  <c:v>3.4012414104286154E-2</c:v>
                </c:pt>
                <c:pt idx="602">
                  <c:v>3.4753583182308465E-2</c:v>
                </c:pt>
                <c:pt idx="603">
                  <c:v>3.5501820493288122E-2</c:v>
                </c:pt>
                <c:pt idx="604">
                  <c:v>3.6256944988970669E-2</c:v>
                </c:pt>
                <c:pt idx="605">
                  <c:v>3.7018366497931242E-2</c:v>
                </c:pt>
                <c:pt idx="606">
                  <c:v>3.778491622580582E-2</c:v>
                </c:pt>
                <c:pt idx="607">
                  <c:v>3.8555815351112056E-2</c:v>
                </c:pt>
                <c:pt idx="608">
                  <c:v>3.9330247517792481E-2</c:v>
                </c:pt>
                <c:pt idx="609">
                  <c:v>4.010737007008229E-2</c:v>
                </c:pt>
                <c:pt idx="610">
                  <c:v>4.0887396013416066E-2</c:v>
                </c:pt>
                <c:pt idx="611">
                  <c:v>4.1670779498224834E-2</c:v>
                </c:pt>
                <c:pt idx="612">
                  <c:v>4.2457403288157093E-2</c:v>
                </c:pt>
                <c:pt idx="613">
                  <c:v>4.324752043679761E-2</c:v>
                </c:pt>
                <c:pt idx="614">
                  <c:v>4.4041582953205975E-2</c:v>
                </c:pt>
                <c:pt idx="615">
                  <c:v>4.4840410007414393E-2</c:v>
                </c:pt>
                <c:pt idx="616">
                  <c:v>4.5645638576937923E-2</c:v>
                </c:pt>
                <c:pt idx="617">
                  <c:v>4.6459110136795677E-2</c:v>
                </c:pt>
                <c:pt idx="618">
                  <c:v>4.7283251153163772E-2</c:v>
                </c:pt>
                <c:pt idx="619">
                  <c:v>4.8120888647171789E-2</c:v>
                </c:pt>
                <c:pt idx="620">
                  <c:v>4.8975633715622871E-2</c:v>
                </c:pt>
                <c:pt idx="621">
                  <c:v>4.9852071124740688E-2</c:v>
                </c:pt>
                <c:pt idx="622">
                  <c:v>5.075368272601679E-2</c:v>
                </c:pt>
                <c:pt idx="623">
                  <c:v>5.1683022678568794E-2</c:v>
                </c:pt>
                <c:pt idx="624">
                  <c:v>5.2642788708885252E-2</c:v>
                </c:pt>
                <c:pt idx="625">
                  <c:v>5.3634907840059011E-2</c:v>
                </c:pt>
                <c:pt idx="626">
                  <c:v>5.4661271229262828E-2</c:v>
                </c:pt>
                <c:pt idx="627">
                  <c:v>5.572381398709899E-2</c:v>
                </c:pt>
                <c:pt idx="628">
                  <c:v>5.6824637740408662E-2</c:v>
                </c:pt>
                <c:pt idx="629">
                  <c:v>5.7964556120044981E-2</c:v>
                </c:pt>
                <c:pt idx="630">
                  <c:v>5.9143399405767003E-2</c:v>
                </c:pt>
                <c:pt idx="631">
                  <c:v>6.036003054514931E-2</c:v>
                </c:pt>
                <c:pt idx="632">
                  <c:v>6.1613388558631861E-2</c:v>
                </c:pt>
                <c:pt idx="633">
                  <c:v>6.2902992588714068E-2</c:v>
                </c:pt>
                <c:pt idx="634">
                  <c:v>6.42277642686232E-2</c:v>
                </c:pt>
                <c:pt idx="635">
                  <c:v>6.5585894051960955E-2</c:v>
                </c:pt>
                <c:pt idx="636">
                  <c:v>6.6974943609436677E-2</c:v>
                </c:pt>
                <c:pt idx="637">
                  <c:v>6.8392271855003947E-2</c:v>
                </c:pt>
                <c:pt idx="638">
                  <c:v>6.9835472839182067E-2</c:v>
                </c:pt>
                <c:pt idx="639">
                  <c:v>7.1303225719199559E-2</c:v>
                </c:pt>
                <c:pt idx="640">
                  <c:v>7.2794894818122069E-2</c:v>
                </c:pt>
                <c:pt idx="641">
                  <c:v>7.4309350625892404E-2</c:v>
                </c:pt>
                <c:pt idx="642">
                  <c:v>7.5845436158328797E-2</c:v>
                </c:pt>
                <c:pt idx="643">
                  <c:v>7.7402410004327141E-2</c:v>
                </c:pt>
                <c:pt idx="644">
                  <c:v>7.897958179374831E-2</c:v>
                </c:pt>
                <c:pt idx="645">
                  <c:v>8.0575596686954659E-2</c:v>
                </c:pt>
                <c:pt idx="646">
                  <c:v>8.2189492579763754E-2</c:v>
                </c:pt>
                <c:pt idx="647">
                  <c:v>8.3820314623928388E-2</c:v>
                </c:pt>
                <c:pt idx="648">
                  <c:v>8.546661113263887E-2</c:v>
                </c:pt>
                <c:pt idx="649">
                  <c:v>8.7126935981102827E-2</c:v>
                </c:pt>
                <c:pt idx="650">
                  <c:v>8.8799812344480811E-2</c:v>
                </c:pt>
                <c:pt idx="651">
                  <c:v>9.0484328679660622E-2</c:v>
                </c:pt>
                <c:pt idx="652">
                  <c:v>9.217951712032843E-2</c:v>
                </c:pt>
                <c:pt idx="653">
                  <c:v>9.3884768259286211E-2</c:v>
                </c:pt>
                <c:pt idx="654">
                  <c:v>9.559981062250604E-2</c:v>
                </c:pt>
                <c:pt idx="655">
                  <c:v>9.732457992089652E-2</c:v>
                </c:pt>
                <c:pt idx="656">
                  <c:v>9.9059825077985539E-2</c:v>
                </c:pt>
                <c:pt idx="657">
                  <c:v>0.10080836015335796</c:v>
                </c:pt>
                <c:pt idx="658">
                  <c:v>0.10257353209425818</c:v>
                </c:pt>
                <c:pt idx="659">
                  <c:v>0.104358931031413</c:v>
                </c:pt>
                <c:pt idx="660">
                  <c:v>0.10616889537601007</c:v>
                </c:pt>
                <c:pt idx="661">
                  <c:v>0.10800795755492261</c:v>
                </c:pt>
                <c:pt idx="662">
                  <c:v>0.1098806808240536</c:v>
                </c:pt>
                <c:pt idx="663">
                  <c:v>0.11179204201274033</c:v>
                </c:pt>
                <c:pt idx="664">
                  <c:v>0.11374723857593222</c:v>
                </c:pt>
                <c:pt idx="665">
                  <c:v>0.11575133370106669</c:v>
                </c:pt>
                <c:pt idx="666">
                  <c:v>0.11780945726173285</c:v>
                </c:pt>
                <c:pt idx="667">
                  <c:v>0.1199257965292931</c:v>
                </c:pt>
                <c:pt idx="668">
                  <c:v>0.12210300720956779</c:v>
                </c:pt>
                <c:pt idx="669">
                  <c:v>0.12434213651132976</c:v>
                </c:pt>
                <c:pt idx="670">
                  <c:v>0.12664274989882296</c:v>
                </c:pt>
                <c:pt idx="671">
                  <c:v>0.12900549860661961</c:v>
                </c:pt>
                <c:pt idx="672">
                  <c:v>0.13143227842100194</c:v>
                </c:pt>
                <c:pt idx="673">
                  <c:v>0.13392492251318283</c:v>
                </c:pt>
                <c:pt idx="674">
                  <c:v>0.13648443690139647</c:v>
                </c:pt>
                <c:pt idx="675">
                  <c:v>0.13911162173951525</c:v>
                </c:pt>
                <c:pt idx="676">
                  <c:v>0.14180673042913675</c:v>
                </c:pt>
                <c:pt idx="677">
                  <c:v>0.14456931892335501</c:v>
                </c:pt>
                <c:pt idx="678">
                  <c:v>0.14739978311859323</c:v>
                </c:pt>
                <c:pt idx="679">
                  <c:v>0.15029914499907732</c:v>
                </c:pt>
                <c:pt idx="680">
                  <c:v>0.15326777096569774</c:v>
                </c:pt>
                <c:pt idx="681">
                  <c:v>0.15630675524924384</c:v>
                </c:pt>
                <c:pt idx="682">
                  <c:v>0.1594173947942634</c:v>
                </c:pt>
                <c:pt idx="683">
                  <c:v>0.16260103601796819</c:v>
                </c:pt>
                <c:pt idx="684">
                  <c:v>0.16585799873329937</c:v>
                </c:pt>
                <c:pt idx="685">
                  <c:v>0.16918758219303306</c:v>
                </c:pt>
                <c:pt idx="686">
                  <c:v>0.17258862710626896</c:v>
                </c:pt>
                <c:pt idx="687">
                  <c:v>0.17605891095498696</c:v>
                </c:pt>
                <c:pt idx="688">
                  <c:v>0.17959420081996449</c:v>
                </c:pt>
                <c:pt idx="689">
                  <c:v>0.18318947021078444</c:v>
                </c:pt>
                <c:pt idx="690">
                  <c:v>0.18684059807841044</c:v>
                </c:pt>
                <c:pt idx="691">
                  <c:v>0.19054417378242841</c:v>
                </c:pt>
                <c:pt idx="692">
                  <c:v>0.19429717896431281</c:v>
                </c:pt>
                <c:pt idx="693">
                  <c:v>0.19809577226322314</c:v>
                </c:pt>
                <c:pt idx="694">
                  <c:v>0.20193620197959866</c:v>
                </c:pt>
                <c:pt idx="695">
                  <c:v>0.20581480074114458</c:v>
                </c:pt>
                <c:pt idx="696">
                  <c:v>0.2097285614866912</c:v>
                </c:pt>
                <c:pt idx="697">
                  <c:v>0.21367600936796705</c:v>
                </c:pt>
                <c:pt idx="698">
                  <c:v>0.2176567883961871</c:v>
                </c:pt>
                <c:pt idx="699">
                  <c:v>0.22167186174145151</c:v>
                </c:pt>
                <c:pt idx="700">
                  <c:v>0.22572489934466786</c:v>
                </c:pt>
                <c:pt idx="701">
                  <c:v>0.22982187668986909</c:v>
                </c:pt>
                <c:pt idx="702">
                  <c:v>0.23396824020843004</c:v>
                </c:pt>
                <c:pt idx="703">
                  <c:v>0.23816884493664162</c:v>
                </c:pt>
                <c:pt idx="704">
                  <c:v>0.24242893649238997</c:v>
                </c:pt>
                <c:pt idx="705">
                  <c:v>0.24675495925487165</c:v>
                </c:pt>
                <c:pt idx="706">
                  <c:v>0.251150893884519</c:v>
                </c:pt>
                <c:pt idx="707">
                  <c:v>0.25561897769671288</c:v>
                </c:pt>
                <c:pt idx="708">
                  <c:v>0.26016080172600387</c:v>
                </c:pt>
                <c:pt idx="709">
                  <c:v>0.26477771547245094</c:v>
                </c:pt>
                <c:pt idx="710">
                  <c:v>0.26947092043151322</c:v>
                </c:pt>
                <c:pt idx="711">
                  <c:v>0.27424096262945596</c:v>
                </c:pt>
                <c:pt idx="712">
                  <c:v>0.27908715198608941</c:v>
                </c:pt>
                <c:pt idx="713">
                  <c:v>0.28400709597598534</c:v>
                </c:pt>
                <c:pt idx="714">
                  <c:v>0.28899702314497366</c:v>
                </c:pt>
                <c:pt idx="715">
                  <c:v>0.29405328846789314</c:v>
                </c:pt>
                <c:pt idx="716">
                  <c:v>0.29917229349641339</c:v>
                </c:pt>
                <c:pt idx="717">
                  <c:v>0.30435147110585392</c:v>
                </c:pt>
                <c:pt idx="718">
                  <c:v>0.30958971921587336</c:v>
                </c:pt>
                <c:pt idx="719">
                  <c:v>0.31488674319570248</c:v>
                </c:pt>
                <c:pt idx="720">
                  <c:v>0.3202426301312456</c:v>
                </c:pt>
                <c:pt idx="721">
                  <c:v>0.32565863478611062</c:v>
                </c:pt>
                <c:pt idx="722">
                  <c:v>0.33113657337024321</c:v>
                </c:pt>
                <c:pt idx="723">
                  <c:v>0.33667773175316112</c:v>
                </c:pt>
                <c:pt idx="724">
                  <c:v>0.34227987496083045</c:v>
                </c:pt>
                <c:pt idx="725">
                  <c:v>0.34793879248920007</c:v>
                </c:pt>
                <c:pt idx="726">
                  <c:v>0.3536490358204466</c:v>
                </c:pt>
                <c:pt idx="727">
                  <c:v>0.3594036087416243</c:v>
                </c:pt>
                <c:pt idx="728">
                  <c:v>0.36519630340772136</c:v>
                </c:pt>
                <c:pt idx="729">
                  <c:v>0.37102145158189903</c:v>
                </c:pt>
                <c:pt idx="730">
                  <c:v>0.37687131591678591</c:v>
                </c:pt>
                <c:pt idx="731">
                  <c:v>0.38273697904536602</c:v>
                </c:pt>
                <c:pt idx="732">
                  <c:v>0.38861121311342578</c:v>
                </c:pt>
                <c:pt idx="733">
                  <c:v>0.39448926537228252</c:v>
                </c:pt>
                <c:pt idx="734">
                  <c:v>0.40036733268409036</c:v>
                </c:pt>
                <c:pt idx="735">
                  <c:v>0.40624172245544243</c:v>
                </c:pt>
                <c:pt idx="736">
                  <c:v>0.41210932118466664</c:v>
                </c:pt>
                <c:pt idx="737">
                  <c:v>0.41796855850103776</c:v>
                </c:pt>
                <c:pt idx="738">
                  <c:v>0.42381988157113837</c:v>
                </c:pt>
                <c:pt idx="739">
                  <c:v>0.4296657557911</c:v>
                </c:pt>
                <c:pt idx="740">
                  <c:v>0.43551015350597738</c:v>
                </c:pt>
                <c:pt idx="741">
                  <c:v>0.44135722491659179</c:v>
                </c:pt>
                <c:pt idx="742">
                  <c:v>0.44721145398162393</c:v>
                </c:pt>
                <c:pt idx="743">
                  <c:v>0.45307594609111379</c:v>
                </c:pt>
                <c:pt idx="744">
                  <c:v>0.45895406591147808</c:v>
                </c:pt>
                <c:pt idx="745">
                  <c:v>0.46484967079450579</c:v>
                </c:pt>
                <c:pt idx="746">
                  <c:v>0.47076514430608202</c:v>
                </c:pt>
                <c:pt idx="747">
                  <c:v>0.47670407367435091</c:v>
                </c:pt>
                <c:pt idx="748">
                  <c:v>0.48267123736917505</c:v>
                </c:pt>
                <c:pt idx="749">
                  <c:v>0.48867082344550411</c:v>
                </c:pt>
                <c:pt idx="750">
                  <c:v>0.49470416910210346</c:v>
                </c:pt>
                <c:pt idx="751">
                  <c:v>0.50077076348951621</c:v>
                </c:pt>
                <c:pt idx="752">
                  <c:v>0.50686954400920914</c:v>
                </c:pt>
                <c:pt idx="753">
                  <c:v>0.51299709129099791</c:v>
                </c:pt>
                <c:pt idx="754">
                  <c:v>0.51914689904941935</c:v>
                </c:pt>
                <c:pt idx="755">
                  <c:v>0.52531248344654013</c:v>
                </c:pt>
                <c:pt idx="756">
                  <c:v>0.5314872733428383</c:v>
                </c:pt>
                <c:pt idx="757">
                  <c:v>0.53766479375280962</c:v>
                </c:pt>
                <c:pt idx="758">
                  <c:v>0.54383809192110588</c:v>
                </c:pt>
                <c:pt idx="759">
                  <c:v>0.54999897161432709</c:v>
                </c:pt>
                <c:pt idx="760">
                  <c:v>0.5561387427142569</c:v>
                </c:pt>
                <c:pt idx="761">
                  <c:v>0.56224872384406055</c:v>
                </c:pt>
                <c:pt idx="762">
                  <c:v>0.56832129931970676</c:v>
                </c:pt>
                <c:pt idx="763">
                  <c:v>0.57434927005535685</c:v>
                </c:pt>
                <c:pt idx="764">
                  <c:v>0.58032446427865625</c:v>
                </c:pt>
                <c:pt idx="765">
                  <c:v>0.58623968239783408</c:v>
                </c:pt>
                <c:pt idx="766">
                  <c:v>0.59208987292928028</c:v>
                </c:pt>
                <c:pt idx="767">
                  <c:v>0.59787132315480485</c:v>
                </c:pt>
                <c:pt idx="768">
                  <c:v>0.60358167652004746</c:v>
                </c:pt>
                <c:pt idx="769">
                  <c:v>0.60921822526740643</c:v>
                </c:pt>
                <c:pt idx="770">
                  <c:v>0.61477610670993099</c:v>
                </c:pt>
                <c:pt idx="771">
                  <c:v>0.62024846987554316</c:v>
                </c:pt>
                <c:pt idx="772">
                  <c:v>0.62562906340507829</c:v>
                </c:pt>
                <c:pt idx="773">
                  <c:v>0.63091476902743582</c:v>
                </c:pt>
                <c:pt idx="774">
                  <c:v>0.63610559362478836</c:v>
                </c:pt>
                <c:pt idx="775">
                  <c:v>0.64120276733444459</c:v>
                </c:pt>
                <c:pt idx="776">
                  <c:v>0.64620940312385389</c:v>
                </c:pt>
                <c:pt idx="777">
                  <c:v>0.65112964198052559</c:v>
                </c:pt>
                <c:pt idx="778">
                  <c:v>0.65596883963943731</c:v>
                </c:pt>
                <c:pt idx="779">
                  <c:v>0.66073352475953473</c:v>
                </c:pt>
                <c:pt idx="780">
                  <c:v>0.66543153449524761</c:v>
                </c:pt>
                <c:pt idx="781">
                  <c:v>0.67006915839849124</c:v>
                </c:pt>
                <c:pt idx="782">
                  <c:v>0.67465063837993411</c:v>
                </c:pt>
                <c:pt idx="783">
                  <c:v>0.67918139611852157</c:v>
                </c:pt>
                <c:pt idx="784">
                  <c:v>0.68366843515319475</c:v>
                </c:pt>
                <c:pt idx="785">
                  <c:v>0.68811789100431342</c:v>
                </c:pt>
                <c:pt idx="786">
                  <c:v>0.69253550783336337</c:v>
                </c:pt>
                <c:pt idx="787">
                  <c:v>0.6969270859741048</c:v>
                </c:pt>
                <c:pt idx="788">
                  <c:v>0.70129721957619995</c:v>
                </c:pt>
                <c:pt idx="789">
                  <c:v>0.70565103607539437</c:v>
                </c:pt>
                <c:pt idx="790">
                  <c:v>0.70999453049180439</c:v>
                </c:pt>
                <c:pt idx="791">
                  <c:v>0.71433235153262598</c:v>
                </c:pt>
                <c:pt idx="792">
                  <c:v>0.71866800629392291</c:v>
                </c:pt>
                <c:pt idx="793">
                  <c:v>0.72300406255407001</c:v>
                </c:pt>
                <c:pt idx="794">
                  <c:v>0.72734322220771663</c:v>
                </c:pt>
                <c:pt idx="795">
                  <c:v>0.73168863489582281</c:v>
                </c:pt>
                <c:pt idx="796">
                  <c:v>0.73604136629743755</c:v>
                </c:pt>
                <c:pt idx="797">
                  <c:v>0.74040039017820281</c:v>
                </c:pt>
                <c:pt idx="798">
                  <c:v>0.74476081065062782</c:v>
                </c:pt>
                <c:pt idx="799">
                  <c:v>0.749115216388622</c:v>
                </c:pt>
                <c:pt idx="800">
                  <c:v>0.75345483608931063</c:v>
                </c:pt>
                <c:pt idx="801">
                  <c:v>0.75776964942478409</c:v>
                </c:pt>
                <c:pt idx="802">
                  <c:v>0.76204975118652263</c:v>
                </c:pt>
                <c:pt idx="803">
                  <c:v>0.76628498539454248</c:v>
                </c:pt>
                <c:pt idx="804">
                  <c:v>0.77046564872413359</c:v>
                </c:pt>
                <c:pt idx="805">
                  <c:v>0.77458333386169909</c:v>
                </c:pt>
                <c:pt idx="806">
                  <c:v>0.77862963624014792</c:v>
                </c:pt>
                <c:pt idx="807">
                  <c:v>0.78259698790454379</c:v>
                </c:pt>
                <c:pt idx="808">
                  <c:v>0.7864803598999035</c:v>
                </c:pt>
                <c:pt idx="809">
                  <c:v>0.790275691603474</c:v>
                </c:pt>
                <c:pt idx="810">
                  <c:v>0.79398153695440488</c:v>
                </c:pt>
                <c:pt idx="811">
                  <c:v>0.7975986079277384</c:v>
                </c:pt>
                <c:pt idx="812">
                  <c:v>0.80112978580478056</c:v>
                </c:pt>
                <c:pt idx="813">
                  <c:v>0.80457977428519134</c:v>
                </c:pt>
                <c:pt idx="814">
                  <c:v>0.80795390143075629</c:v>
                </c:pt>
                <c:pt idx="815">
                  <c:v>0.8112560852830718</c:v>
                </c:pt>
                <c:pt idx="816">
                  <c:v>0.81448927090579692</c:v>
                </c:pt>
                <c:pt idx="817">
                  <c:v>0.8176570509872636</c:v>
                </c:pt>
                <c:pt idx="818">
                  <c:v>0.82076441243563836</c:v>
                </c:pt>
                <c:pt idx="819">
                  <c:v>0.82381802424729611</c:v>
                </c:pt>
                <c:pt idx="820">
                  <c:v>0.82682543012509568</c:v>
                </c:pt>
                <c:pt idx="821">
                  <c:v>0.82979339454366341</c:v>
                </c:pt>
                <c:pt idx="822">
                  <c:v>0.83272794571492792</c:v>
                </c:pt>
                <c:pt idx="823">
                  <c:v>0.83563381353613642</c:v>
                </c:pt>
                <c:pt idx="824">
                  <c:v>0.83851607248312376</c:v>
                </c:pt>
                <c:pt idx="825">
                  <c:v>0.84137861390113611</c:v>
                </c:pt>
                <c:pt idx="826">
                  <c:v>0.84422356916460894</c:v>
                </c:pt>
                <c:pt idx="827">
                  <c:v>0.84705351271767382</c:v>
                </c:pt>
                <c:pt idx="828">
                  <c:v>0.8498713162973679</c:v>
                </c:pt>
                <c:pt idx="829">
                  <c:v>0.85268137969864377</c:v>
                </c:pt>
                <c:pt idx="830">
                  <c:v>0.85548947279821053</c:v>
                </c:pt>
                <c:pt idx="831">
                  <c:v>0.85830088881950262</c:v>
                </c:pt>
                <c:pt idx="832">
                  <c:v>0.86111856442241452</c:v>
                </c:pt>
                <c:pt idx="833">
                  <c:v>0.86394380926747438</c:v>
                </c:pt>
                <c:pt idx="834">
                  <c:v>0.86677850490147801</c:v>
                </c:pt>
                <c:pt idx="835">
                  <c:v>0.86962450859034912</c:v>
                </c:pt>
                <c:pt idx="836">
                  <c:v>0.87248231383895247</c:v>
                </c:pt>
                <c:pt idx="837">
                  <c:v>0.87535074950792313</c:v>
                </c:pt>
                <c:pt idx="838">
                  <c:v>0.87822541931813802</c:v>
                </c:pt>
                <c:pt idx="839">
                  <c:v>0.88109957864950528</c:v>
                </c:pt>
                <c:pt idx="840">
                  <c:v>0.88396679790154786</c:v>
                </c:pt>
                <c:pt idx="841">
                  <c:v>0.88682153140000752</c:v>
                </c:pt>
                <c:pt idx="842">
                  <c:v>0.88965774758152383</c:v>
                </c:pt>
                <c:pt idx="843">
                  <c:v>0.89246764855764016</c:v>
                </c:pt>
                <c:pt idx="844">
                  <c:v>0.8952425858983778</c:v>
                </c:pt>
                <c:pt idx="845">
                  <c:v>0.89797304662544475</c:v>
                </c:pt>
                <c:pt idx="846">
                  <c:v>0.90064855102702535</c:v>
                </c:pt>
                <c:pt idx="847">
                  <c:v>0.90325923477744019</c:v>
                </c:pt>
                <c:pt idx="848">
                  <c:v>0.9057965904940829</c:v>
                </c:pt>
                <c:pt idx="849">
                  <c:v>0.90825373004161392</c:v>
                </c:pt>
                <c:pt idx="850">
                  <c:v>0.91062607193525857</c:v>
                </c:pt>
                <c:pt idx="851">
                  <c:v>0.91291102355838394</c:v>
                </c:pt>
                <c:pt idx="852">
                  <c:v>0.91510860526597471</c:v>
                </c:pt>
                <c:pt idx="853">
                  <c:v>0.91722019494240892</c:v>
                </c:pt>
                <c:pt idx="854">
                  <c:v>0.91924793827029028</c:v>
                </c:pt>
                <c:pt idx="855">
                  <c:v>0.92119431006908925</c:v>
                </c:pt>
                <c:pt idx="856">
                  <c:v>0.92306186948581748</c:v>
                </c:pt>
                <c:pt idx="857">
                  <c:v>0.92485293052541939</c:v>
                </c:pt>
                <c:pt idx="858">
                  <c:v>0.92657059181371582</c:v>
                </c:pt>
                <c:pt idx="859">
                  <c:v>0.92821801382841473</c:v>
                </c:pt>
                <c:pt idx="860">
                  <c:v>0.9297982333530509</c:v>
                </c:pt>
                <c:pt idx="861">
                  <c:v>0.93131465422786019</c:v>
                </c:pt>
                <c:pt idx="862">
                  <c:v>0.93277056813964976</c:v>
                </c:pt>
                <c:pt idx="863">
                  <c:v>0.93416898034973572</c:v>
                </c:pt>
                <c:pt idx="864">
                  <c:v>0.93551358625156822</c:v>
                </c:pt>
                <c:pt idx="865">
                  <c:v>0.93680870430338814</c:v>
                </c:pt>
                <c:pt idx="866">
                  <c:v>0.93805785630771965</c:v>
                </c:pt>
                <c:pt idx="867">
                  <c:v>0.93926380470105408</c:v>
                </c:pt>
                <c:pt idx="868">
                  <c:v>0.940428251366343</c:v>
                </c:pt>
                <c:pt idx="869">
                  <c:v>0.94155260954807873</c:v>
                </c:pt>
                <c:pt idx="870">
                  <c:v>0.94263899365727422</c:v>
                </c:pt>
                <c:pt idx="871">
                  <c:v>0.94369113226519297</c:v>
                </c:pt>
                <c:pt idx="872">
                  <c:v>0.94471407203194824</c:v>
                </c:pt>
                <c:pt idx="873">
                  <c:v>0.9457131594543795</c:v>
                </c:pt>
                <c:pt idx="874">
                  <c:v>0.94669440374546876</c:v>
                </c:pt>
                <c:pt idx="875">
                  <c:v>0.94766462658111417</c:v>
                </c:pt>
                <c:pt idx="876">
                  <c:v>0.94862986998172516</c:v>
                </c:pt>
                <c:pt idx="877">
                  <c:v>0.94959550962298767</c:v>
                </c:pt>
                <c:pt idx="878">
                  <c:v>0.95056378646334394</c:v>
                </c:pt>
                <c:pt idx="879">
                  <c:v>0.95153378389159426</c:v>
                </c:pt>
                <c:pt idx="880">
                  <c:v>0.95250411244586131</c:v>
                </c:pt>
                <c:pt idx="881">
                  <c:v>0.95347382752630838</c:v>
                </c:pt>
                <c:pt idx="882">
                  <c:v>0.95444252032960186</c:v>
                </c:pt>
                <c:pt idx="883">
                  <c:v>0.95541004362125659</c:v>
                </c:pt>
                <c:pt idx="884">
                  <c:v>0.95637529598628246</c:v>
                </c:pt>
                <c:pt idx="885">
                  <c:v>0.95733645187476613</c:v>
                </c:pt>
                <c:pt idx="886">
                  <c:v>0.95829179888792482</c:v>
                </c:pt>
                <c:pt idx="887">
                  <c:v>0.95923987282449208</c:v>
                </c:pt>
                <c:pt idx="888">
                  <c:v>0.96017938585753548</c:v>
                </c:pt>
                <c:pt idx="889">
                  <c:v>0.96110933784776176</c:v>
                </c:pt>
                <c:pt idx="890">
                  <c:v>0.96202898553999128</c:v>
                </c:pt>
                <c:pt idx="891">
                  <c:v>0.96293720390478987</c:v>
                </c:pt>
                <c:pt idx="892">
                  <c:v>0.96383268940019406</c:v>
                </c:pt>
                <c:pt idx="893">
                  <c:v>0.96471487375545895</c:v>
                </c:pt>
                <c:pt idx="894">
                  <c:v>0.9655839654030709</c:v>
                </c:pt>
                <c:pt idx="895">
                  <c:v>0.96644080537259236</c:v>
                </c:pt>
                <c:pt idx="896">
                  <c:v>0.96728697854528412</c:v>
                </c:pt>
                <c:pt idx="897">
                  <c:v>0.96812371880625625</c:v>
                </c:pt>
                <c:pt idx="898">
                  <c:v>0.96895180849379636</c:v>
                </c:pt>
                <c:pt idx="899">
                  <c:v>0.96977110983146941</c:v>
                </c:pt>
                <c:pt idx="900">
                  <c:v>0.97058103712411292</c:v>
                </c:pt>
                <c:pt idx="901">
                  <c:v>0.97137988047146473</c:v>
                </c:pt>
                <c:pt idx="902">
                  <c:v>0.97216569473032644</c:v>
                </c:pt>
                <c:pt idx="903">
                  <c:v>0.97293676264971907</c:v>
                </c:pt>
                <c:pt idx="904">
                  <c:v>0.97369168594260258</c:v>
                </c:pt>
                <c:pt idx="905">
                  <c:v>0.97442947549593528</c:v>
                </c:pt>
                <c:pt idx="906">
                  <c:v>0.975149747831354</c:v>
                </c:pt>
                <c:pt idx="907">
                  <c:v>0.9758529952343844</c:v>
                </c:pt>
                <c:pt idx="908">
                  <c:v>0.97653981589828798</c:v>
                </c:pt>
                <c:pt idx="909">
                  <c:v>0.97721066229434506</c:v>
                </c:pt>
                <c:pt idx="910">
                  <c:v>0.97786489112928354</c:v>
                </c:pt>
                <c:pt idx="911">
                  <c:v>0.97850179294427808</c:v>
                </c:pt>
                <c:pt idx="912">
                  <c:v>0.9791209460253063</c:v>
                </c:pt>
                <c:pt idx="913">
                  <c:v>0.97972229658987242</c:v>
                </c:pt>
                <c:pt idx="914">
                  <c:v>0.98030623897372549</c:v>
                </c:pt>
                <c:pt idx="915">
                  <c:v>0.98087367522393676</c:v>
                </c:pt>
                <c:pt idx="916">
                  <c:v>0.98142561482333679</c:v>
                </c:pt>
                <c:pt idx="917">
                  <c:v>0.98196315459073413</c:v>
                </c:pt>
                <c:pt idx="918">
                  <c:v>0.98248751817809588</c:v>
                </c:pt>
                <c:pt idx="919">
                  <c:v>0.9829998750386334</c:v>
                </c:pt>
                <c:pt idx="920">
                  <c:v>0.98350018546194307</c:v>
                </c:pt>
                <c:pt idx="921">
                  <c:v>0.98398732335679273</c:v>
                </c:pt>
                <c:pt idx="922">
                  <c:v>0.98445989200388162</c:v>
                </c:pt>
                <c:pt idx="923">
                  <c:v>0.98491647199836174</c:v>
                </c:pt>
                <c:pt idx="924">
                  <c:v>0.98535532370679446</c:v>
                </c:pt>
                <c:pt idx="925">
                  <c:v>0.98577493572346597</c:v>
                </c:pt>
                <c:pt idx="926">
                  <c:v>0.98617414511481649</c:v>
                </c:pt>
                <c:pt idx="927">
                  <c:v>0.98655218252447108</c:v>
                </c:pt>
                <c:pt idx="928">
                  <c:v>0.98690871727827023</c:v>
                </c:pt>
                <c:pt idx="929">
                  <c:v>0.98724398596755436</c:v>
                </c:pt>
                <c:pt idx="930">
                  <c:v>0.98755892290474945</c:v>
                </c:pt>
                <c:pt idx="931">
                  <c:v>0.98785408615359471</c:v>
                </c:pt>
                <c:pt idx="932">
                  <c:v>0.98812984829641781</c:v>
                </c:pt>
                <c:pt idx="933">
                  <c:v>0.988387438316503</c:v>
                </c:pt>
                <c:pt idx="934">
                  <c:v>0.98862856824874057</c:v>
                </c:pt>
                <c:pt idx="935">
                  <c:v>0.98885520909933833</c:v>
                </c:pt>
                <c:pt idx="936">
                  <c:v>0.98906966348835657</c:v>
                </c:pt>
                <c:pt idx="937">
                  <c:v>0.98927487380199175</c:v>
                </c:pt>
                <c:pt idx="938">
                  <c:v>0.98947321139326649</c:v>
                </c:pt>
                <c:pt idx="939">
                  <c:v>0.98966657191096319</c:v>
                </c:pt>
                <c:pt idx="940">
                  <c:v>0.98985695291631726</c:v>
                </c:pt>
                <c:pt idx="941">
                  <c:v>0.99004647182619077</c:v>
                </c:pt>
                <c:pt idx="942">
                  <c:v>0.99023688791415088</c:v>
                </c:pt>
                <c:pt idx="943">
                  <c:v>0.99042964871938977</c:v>
                </c:pt>
                <c:pt idx="944">
                  <c:v>0.99062593922783315</c:v>
                </c:pt>
                <c:pt idx="945">
                  <c:v>0.99082573752380343</c:v>
                </c:pt>
                <c:pt idx="946">
                  <c:v>0.99102862541762349</c:v>
                </c:pt>
                <c:pt idx="947">
                  <c:v>0.99123416388418062</c:v>
                </c:pt>
                <c:pt idx="948">
                  <c:v>0.99144191945884552</c:v>
                </c:pt>
                <c:pt idx="949">
                  <c:v>0.99165148929582236</c:v>
                </c:pt>
                <c:pt idx="950">
                  <c:v>0.99186252622649984</c:v>
                </c:pt>
                <c:pt idx="951">
                  <c:v>0.9920747638177998</c:v>
                </c:pt>
                <c:pt idx="952">
                  <c:v>0.99228804143052807</c:v>
                </c:pt>
                <c:pt idx="953">
                  <c:v>0.9925023292777253</c:v>
                </c:pt>
                <c:pt idx="954">
                  <c:v>0.99271775348301583</c:v>
                </c:pt>
                <c:pt idx="955">
                  <c:v>0.9929344787821559</c:v>
                </c:pt>
                <c:pt idx="956">
                  <c:v>0.9931521429471335</c:v>
                </c:pt>
                <c:pt idx="957">
                  <c:v>0.99336984826293062</c:v>
                </c:pt>
                <c:pt idx="958">
                  <c:v>0.99358619704901163</c:v>
                </c:pt>
                <c:pt idx="959">
                  <c:v>0.99379977354185278</c:v>
                </c:pt>
                <c:pt idx="960">
                  <c:v>0.99400919112919572</c:v>
                </c:pt>
                <c:pt idx="961">
                  <c:v>0.99421310738505819</c:v>
                </c:pt>
                <c:pt idx="962">
                  <c:v>0.99441023910474302</c:v>
                </c:pt>
                <c:pt idx="963">
                  <c:v>0.9945993773398496</c:v>
                </c:pt>
                <c:pt idx="964">
                  <c:v>0.99477940243328244</c:v>
                </c:pt>
                <c:pt idx="965">
                  <c:v>0.99494929905426233</c:v>
                </c:pt>
                <c:pt idx="966">
                  <c:v>0.99510817123333617</c:v>
                </c:pt>
                <c:pt idx="967">
                  <c:v>0.99525525739738652</c:v>
                </c:pt>
                <c:pt idx="968">
                  <c:v>0.99538994540464276</c:v>
                </c:pt>
                <c:pt idx="969">
                  <c:v>0.99551178757969006</c:v>
                </c:pt>
                <c:pt idx="970">
                  <c:v>0.99562051574847998</c:v>
                </c:pt>
                <c:pt idx="971">
                  <c:v>0.99571614223089755</c:v>
                </c:pt>
                <c:pt idx="972">
                  <c:v>0.99579947732969376</c:v>
                </c:pt>
                <c:pt idx="973">
                  <c:v>0.99587172493860165</c:v>
                </c:pt>
                <c:pt idx="974">
                  <c:v>0.99593421621018652</c:v>
                </c:pt>
                <c:pt idx="975">
                  <c:v>0.99598842842726842</c:v>
                </c:pt>
                <c:pt idx="976">
                  <c:v>0.99603600504960355</c:v>
                </c:pt>
                <c:pt idx="977">
                  <c:v>0.99607877576056325</c:v>
                </c:pt>
                <c:pt idx="978">
                  <c:v>0.9961186549620894</c:v>
                </c:pt>
                <c:pt idx="979">
                  <c:v>0.99615724247704751</c:v>
                </c:pt>
                <c:pt idx="980">
                  <c:v>0.99619664444895828</c:v>
                </c:pt>
                <c:pt idx="981">
                  <c:v>0.99623902328998648</c:v>
                </c:pt>
                <c:pt idx="982">
                  <c:v>0.99628586674527664</c:v>
                </c:pt>
                <c:pt idx="983">
                  <c:v>0.99633837882266119</c:v>
                </c:pt>
                <c:pt idx="984">
                  <c:v>0.99639770812380235</c:v>
                </c:pt>
                <c:pt idx="985">
                  <c:v>0.99646492211819571</c:v>
                </c:pt>
                <c:pt idx="986">
                  <c:v>0.99654047937378432</c:v>
                </c:pt>
                <c:pt idx="987">
                  <c:v>0.996624320387129</c:v>
                </c:pt>
                <c:pt idx="988">
                  <c:v>0.99671625091774407</c:v>
                </c:pt>
                <c:pt idx="989">
                  <c:v>0.99681596089363778</c:v>
                </c:pt>
                <c:pt idx="990">
                  <c:v>0.99692303443465258</c:v>
                </c:pt>
                <c:pt idx="991">
                  <c:v>0.99703695987580465</c:v>
                </c:pt>
                <c:pt idx="992">
                  <c:v>0.99715713979062393</c:v>
                </c:pt>
                <c:pt idx="993">
                  <c:v>0.99728290101449524</c:v>
                </c:pt>
                <c:pt idx="994">
                  <c:v>0.9974135046679965</c:v>
                </c:pt>
                <c:pt idx="995">
                  <c:v>0.99754815618024062</c:v>
                </c:pt>
                <c:pt idx="996">
                  <c:v>0.99768601531221435</c:v>
                </c:pt>
                <c:pt idx="997">
                  <c:v>0.99782620618011886</c:v>
                </c:pt>
                <c:pt idx="998">
                  <c:v>0.99796782727870958</c:v>
                </c:pt>
                <c:pt idx="999">
                  <c:v>0.99810996150463616</c:v>
                </c:pt>
                <c:pt idx="1000">
                  <c:v>0.99825168617978299</c:v>
                </c:pt>
                <c:pt idx="1001">
                  <c:v>0.99839208307460903</c:v>
                </c:pt>
                <c:pt idx="1002">
                  <c:v>0.9985302484314873</c:v>
                </c:pt>
                <c:pt idx="1003">
                  <c:v>0.9986653029880459</c:v>
                </c:pt>
                <c:pt idx="1004">
                  <c:v>0.99879640200050723</c:v>
                </c:pt>
                <c:pt idx="1005">
                  <c:v>0.99892274526702873</c:v>
                </c:pt>
                <c:pt idx="1006">
                  <c:v>0.99904358715104224</c:v>
                </c:pt>
                <c:pt idx="1007">
                  <c:v>0.99915824660459474</c:v>
                </c:pt>
                <c:pt idx="1008">
                  <c:v>0.99926611719168779</c:v>
                </c:pt>
                <c:pt idx="1009">
                  <c:v>0.9993666771116182</c:v>
                </c:pt>
                <c:pt idx="1010">
                  <c:v>0.99945949922231736</c:v>
                </c:pt>
                <c:pt idx="1011">
                  <c:v>0.99954426106369176</c:v>
                </c:pt>
                <c:pt idx="1012">
                  <c:v>0.99962075488096325</c:v>
                </c:pt>
                <c:pt idx="1013">
                  <c:v>0.99968889764800861</c:v>
                </c:pt>
                <c:pt idx="1014">
                  <c:v>0.99974874109069956</c:v>
                </c:pt>
                <c:pt idx="1015">
                  <c:v>0.99980048171024372</c:v>
                </c:pt>
                <c:pt idx="1016">
                  <c:v>0.99984447080652306</c:v>
                </c:pt>
                <c:pt idx="1017">
                  <c:v>0.99988122450143579</c:v>
                </c:pt>
                <c:pt idx="1018">
                  <c:v>0.99991143376223501</c:v>
                </c:pt>
                <c:pt idx="1019">
                  <c:v>0.99993597442486926</c:v>
                </c:pt>
                <c:pt idx="1020">
                  <c:v>0.99995580292669883</c:v>
                </c:pt>
                <c:pt idx="1021">
                  <c:v>0.99997137680449488</c:v>
                </c:pt>
                <c:pt idx="1022">
                  <c:v>0.99998301305321158</c:v>
                </c:pt>
                <c:pt idx="1023">
                  <c:v>0.99999112128388834</c:v>
                </c:pt>
                <c:pt idx="1024">
                  <c:v>0.99999620906729036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52-4C80-A541-EB6F430D4D3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Estimation_1516!$H:$H</c:f>
              <c:strCache>
                <c:ptCount val="1025"/>
                <c:pt idx="1">
                  <c:v>x</c:v>
                </c:pt>
                <c:pt idx="2">
                  <c:v>-0,22462855</c:v>
                </c:pt>
                <c:pt idx="3">
                  <c:v>-0,22432855</c:v>
                </c:pt>
                <c:pt idx="4">
                  <c:v>-0,22402855</c:v>
                </c:pt>
                <c:pt idx="5">
                  <c:v>-0,22372855</c:v>
                </c:pt>
                <c:pt idx="6">
                  <c:v>-0,22342855</c:v>
                </c:pt>
                <c:pt idx="7">
                  <c:v>-0,22312855</c:v>
                </c:pt>
                <c:pt idx="8">
                  <c:v>-0,22282855</c:v>
                </c:pt>
                <c:pt idx="9">
                  <c:v>-0,22252855</c:v>
                </c:pt>
                <c:pt idx="10">
                  <c:v>-0,22222855</c:v>
                </c:pt>
                <c:pt idx="11">
                  <c:v>-0,22192855</c:v>
                </c:pt>
                <c:pt idx="12">
                  <c:v>-0,22162855</c:v>
                </c:pt>
                <c:pt idx="13">
                  <c:v>-0,22132855</c:v>
                </c:pt>
                <c:pt idx="14">
                  <c:v>-0,22102855</c:v>
                </c:pt>
                <c:pt idx="15">
                  <c:v>-0,22072855</c:v>
                </c:pt>
                <c:pt idx="16">
                  <c:v>-0,22042855</c:v>
                </c:pt>
                <c:pt idx="17">
                  <c:v>-0,22012855</c:v>
                </c:pt>
                <c:pt idx="18">
                  <c:v>-0,21982855</c:v>
                </c:pt>
                <c:pt idx="19">
                  <c:v>-0,21952855</c:v>
                </c:pt>
                <c:pt idx="20">
                  <c:v>-0,21922855</c:v>
                </c:pt>
                <c:pt idx="21">
                  <c:v>-0,21892855</c:v>
                </c:pt>
                <c:pt idx="22">
                  <c:v>-0,21862855</c:v>
                </c:pt>
                <c:pt idx="23">
                  <c:v>-0,21832855</c:v>
                </c:pt>
                <c:pt idx="24">
                  <c:v>-0,21802855</c:v>
                </c:pt>
                <c:pt idx="25">
                  <c:v>-0,21772855</c:v>
                </c:pt>
                <c:pt idx="26">
                  <c:v>-0,21742855</c:v>
                </c:pt>
                <c:pt idx="27">
                  <c:v>-0,21712855</c:v>
                </c:pt>
                <c:pt idx="28">
                  <c:v>-0,21682855</c:v>
                </c:pt>
                <c:pt idx="29">
                  <c:v>-0,21652855</c:v>
                </c:pt>
                <c:pt idx="30">
                  <c:v>-0,21622855</c:v>
                </c:pt>
                <c:pt idx="31">
                  <c:v>-0,21592855</c:v>
                </c:pt>
                <c:pt idx="32">
                  <c:v>-0,21562855</c:v>
                </c:pt>
                <c:pt idx="33">
                  <c:v>-0,21532855</c:v>
                </c:pt>
                <c:pt idx="34">
                  <c:v>-0,21502855</c:v>
                </c:pt>
                <c:pt idx="35">
                  <c:v>-0,21472855</c:v>
                </c:pt>
                <c:pt idx="36">
                  <c:v>-0,21442855</c:v>
                </c:pt>
                <c:pt idx="37">
                  <c:v>-0,21412855</c:v>
                </c:pt>
                <c:pt idx="38">
                  <c:v>-0,21382855</c:v>
                </c:pt>
                <c:pt idx="39">
                  <c:v>-0,21352855</c:v>
                </c:pt>
                <c:pt idx="40">
                  <c:v>-0,21322855</c:v>
                </c:pt>
                <c:pt idx="41">
                  <c:v>-0,21292855</c:v>
                </c:pt>
                <c:pt idx="42">
                  <c:v>-0,21262855</c:v>
                </c:pt>
                <c:pt idx="43">
                  <c:v>-0,21232855</c:v>
                </c:pt>
                <c:pt idx="44">
                  <c:v>-0,21202855</c:v>
                </c:pt>
                <c:pt idx="45">
                  <c:v>-0,21172855</c:v>
                </c:pt>
                <c:pt idx="46">
                  <c:v>-0,21142855</c:v>
                </c:pt>
                <c:pt idx="47">
                  <c:v>-0,21112855</c:v>
                </c:pt>
                <c:pt idx="48">
                  <c:v>-0,21082855</c:v>
                </c:pt>
                <c:pt idx="49">
                  <c:v>-0,21052855</c:v>
                </c:pt>
                <c:pt idx="50">
                  <c:v>-0,21022855</c:v>
                </c:pt>
                <c:pt idx="51">
                  <c:v>-0,20992855</c:v>
                </c:pt>
                <c:pt idx="52">
                  <c:v>-0,20962855</c:v>
                </c:pt>
                <c:pt idx="53">
                  <c:v>-0,20932855</c:v>
                </c:pt>
                <c:pt idx="54">
                  <c:v>-0,20902855</c:v>
                </c:pt>
                <c:pt idx="55">
                  <c:v>-0,20872855</c:v>
                </c:pt>
                <c:pt idx="56">
                  <c:v>-0,20842855</c:v>
                </c:pt>
                <c:pt idx="57">
                  <c:v>-0,20812855</c:v>
                </c:pt>
                <c:pt idx="58">
                  <c:v>-0,20782855</c:v>
                </c:pt>
                <c:pt idx="59">
                  <c:v>-0,20752855</c:v>
                </c:pt>
                <c:pt idx="60">
                  <c:v>-0,20722855</c:v>
                </c:pt>
                <c:pt idx="61">
                  <c:v>-0,20692855</c:v>
                </c:pt>
                <c:pt idx="62">
                  <c:v>-0,20662855</c:v>
                </c:pt>
                <c:pt idx="63">
                  <c:v>-0,20632855</c:v>
                </c:pt>
                <c:pt idx="64">
                  <c:v>-0,20602855</c:v>
                </c:pt>
                <c:pt idx="65">
                  <c:v>-0,20572855</c:v>
                </c:pt>
                <c:pt idx="66">
                  <c:v>-0,20542855</c:v>
                </c:pt>
                <c:pt idx="67">
                  <c:v>-0,20512855</c:v>
                </c:pt>
                <c:pt idx="68">
                  <c:v>-0,20482855</c:v>
                </c:pt>
                <c:pt idx="69">
                  <c:v>-0,20452855</c:v>
                </c:pt>
                <c:pt idx="70">
                  <c:v>-0,20422855</c:v>
                </c:pt>
                <c:pt idx="71">
                  <c:v>-0,20392855</c:v>
                </c:pt>
                <c:pt idx="72">
                  <c:v>-0,20362855</c:v>
                </c:pt>
                <c:pt idx="73">
                  <c:v>-0,20332855</c:v>
                </c:pt>
                <c:pt idx="74">
                  <c:v>-0,20302855</c:v>
                </c:pt>
                <c:pt idx="75">
                  <c:v>-0,20272855</c:v>
                </c:pt>
                <c:pt idx="76">
                  <c:v>-0,20242855</c:v>
                </c:pt>
                <c:pt idx="77">
                  <c:v>-0,20212855</c:v>
                </c:pt>
                <c:pt idx="78">
                  <c:v>-0,20182855</c:v>
                </c:pt>
                <c:pt idx="79">
                  <c:v>-0,20152855</c:v>
                </c:pt>
                <c:pt idx="80">
                  <c:v>-0,20122855</c:v>
                </c:pt>
                <c:pt idx="81">
                  <c:v>-0,20092855</c:v>
                </c:pt>
                <c:pt idx="82">
                  <c:v>-0,20062855</c:v>
                </c:pt>
                <c:pt idx="83">
                  <c:v>-0,20032855</c:v>
                </c:pt>
                <c:pt idx="84">
                  <c:v>-0,20002855</c:v>
                </c:pt>
                <c:pt idx="85">
                  <c:v>-0,19972855</c:v>
                </c:pt>
                <c:pt idx="86">
                  <c:v>-0,19942855</c:v>
                </c:pt>
                <c:pt idx="87">
                  <c:v>-0,19912855</c:v>
                </c:pt>
                <c:pt idx="88">
                  <c:v>-0,19882855</c:v>
                </c:pt>
                <c:pt idx="89">
                  <c:v>-0,19852855</c:v>
                </c:pt>
                <c:pt idx="90">
                  <c:v>-0,19822855</c:v>
                </c:pt>
                <c:pt idx="91">
                  <c:v>-0,19792855</c:v>
                </c:pt>
                <c:pt idx="92">
                  <c:v>-0,19762855</c:v>
                </c:pt>
                <c:pt idx="93">
                  <c:v>-0,19732855</c:v>
                </c:pt>
                <c:pt idx="94">
                  <c:v>-0,19702855</c:v>
                </c:pt>
                <c:pt idx="95">
                  <c:v>-0,19672855</c:v>
                </c:pt>
                <c:pt idx="96">
                  <c:v>-0,19642855</c:v>
                </c:pt>
                <c:pt idx="97">
                  <c:v>-0,19612855</c:v>
                </c:pt>
                <c:pt idx="98">
                  <c:v>-0,19582855</c:v>
                </c:pt>
                <c:pt idx="99">
                  <c:v>-0,19552855</c:v>
                </c:pt>
                <c:pt idx="100">
                  <c:v>-0,19522855</c:v>
                </c:pt>
                <c:pt idx="101">
                  <c:v>-0,19492855</c:v>
                </c:pt>
                <c:pt idx="102">
                  <c:v>-0,19462855</c:v>
                </c:pt>
                <c:pt idx="103">
                  <c:v>-0,19432855</c:v>
                </c:pt>
                <c:pt idx="104">
                  <c:v>-0,19402855</c:v>
                </c:pt>
                <c:pt idx="105">
                  <c:v>-0,19372855</c:v>
                </c:pt>
                <c:pt idx="106">
                  <c:v>-0,19342855</c:v>
                </c:pt>
                <c:pt idx="107">
                  <c:v>-0,19312855</c:v>
                </c:pt>
                <c:pt idx="108">
                  <c:v>-0,19282855</c:v>
                </c:pt>
                <c:pt idx="109">
                  <c:v>-0,19252855</c:v>
                </c:pt>
                <c:pt idx="110">
                  <c:v>-0,19222855</c:v>
                </c:pt>
                <c:pt idx="111">
                  <c:v>-0,19192855</c:v>
                </c:pt>
                <c:pt idx="112">
                  <c:v>-0,19162855</c:v>
                </c:pt>
                <c:pt idx="113">
                  <c:v>-0,19132855</c:v>
                </c:pt>
                <c:pt idx="114">
                  <c:v>-0,19102855</c:v>
                </c:pt>
                <c:pt idx="115">
                  <c:v>-0,19072855</c:v>
                </c:pt>
                <c:pt idx="116">
                  <c:v>-0,19042855</c:v>
                </c:pt>
                <c:pt idx="117">
                  <c:v>-0,19012855</c:v>
                </c:pt>
                <c:pt idx="118">
                  <c:v>-0,18982855</c:v>
                </c:pt>
                <c:pt idx="119">
                  <c:v>-0,18952855</c:v>
                </c:pt>
                <c:pt idx="120">
                  <c:v>-0,18922855</c:v>
                </c:pt>
                <c:pt idx="121">
                  <c:v>-0,18892855</c:v>
                </c:pt>
                <c:pt idx="122">
                  <c:v>-0,18862855</c:v>
                </c:pt>
                <c:pt idx="123">
                  <c:v>-0,18832855</c:v>
                </c:pt>
                <c:pt idx="124">
                  <c:v>-0,18802855</c:v>
                </c:pt>
                <c:pt idx="125">
                  <c:v>-0,18772855</c:v>
                </c:pt>
                <c:pt idx="126">
                  <c:v>-0,18742855</c:v>
                </c:pt>
                <c:pt idx="127">
                  <c:v>-0,18712855</c:v>
                </c:pt>
                <c:pt idx="128">
                  <c:v>-0,18682855</c:v>
                </c:pt>
                <c:pt idx="129">
                  <c:v>-0,18652855</c:v>
                </c:pt>
                <c:pt idx="130">
                  <c:v>-0,18622855</c:v>
                </c:pt>
                <c:pt idx="131">
                  <c:v>-0,18592855</c:v>
                </c:pt>
                <c:pt idx="132">
                  <c:v>-0,18562855</c:v>
                </c:pt>
                <c:pt idx="133">
                  <c:v>-0,18532855</c:v>
                </c:pt>
                <c:pt idx="134">
                  <c:v>-0,18502855</c:v>
                </c:pt>
                <c:pt idx="135">
                  <c:v>-0,18472855</c:v>
                </c:pt>
                <c:pt idx="136">
                  <c:v>-0,18442855</c:v>
                </c:pt>
                <c:pt idx="137">
                  <c:v>-0,18412855</c:v>
                </c:pt>
                <c:pt idx="138">
                  <c:v>-0,18382855</c:v>
                </c:pt>
                <c:pt idx="139">
                  <c:v>-0,18352855</c:v>
                </c:pt>
                <c:pt idx="140">
                  <c:v>-0,18322855</c:v>
                </c:pt>
                <c:pt idx="141">
                  <c:v>-0,18292855</c:v>
                </c:pt>
                <c:pt idx="142">
                  <c:v>-0,18262855</c:v>
                </c:pt>
                <c:pt idx="143">
                  <c:v>-0,18232855</c:v>
                </c:pt>
                <c:pt idx="144">
                  <c:v>-0,18202855</c:v>
                </c:pt>
                <c:pt idx="145">
                  <c:v>-0,18172855</c:v>
                </c:pt>
                <c:pt idx="146">
                  <c:v>-0,18142855</c:v>
                </c:pt>
                <c:pt idx="147">
                  <c:v>-0,18112855</c:v>
                </c:pt>
                <c:pt idx="148">
                  <c:v>-0,18082855</c:v>
                </c:pt>
                <c:pt idx="149">
                  <c:v>-0,18052855</c:v>
                </c:pt>
                <c:pt idx="150">
                  <c:v>-0,18022855</c:v>
                </c:pt>
                <c:pt idx="151">
                  <c:v>-0,17992855</c:v>
                </c:pt>
                <c:pt idx="152">
                  <c:v>-0,17962855</c:v>
                </c:pt>
                <c:pt idx="153">
                  <c:v>-0,17932855</c:v>
                </c:pt>
                <c:pt idx="154">
                  <c:v>-0,17902855</c:v>
                </c:pt>
                <c:pt idx="155">
                  <c:v>-0,17872855</c:v>
                </c:pt>
                <c:pt idx="156">
                  <c:v>-0,17842855</c:v>
                </c:pt>
                <c:pt idx="157">
                  <c:v>-0,17812855</c:v>
                </c:pt>
                <c:pt idx="158">
                  <c:v>-0,17782855</c:v>
                </c:pt>
                <c:pt idx="159">
                  <c:v>-0,17752855</c:v>
                </c:pt>
                <c:pt idx="160">
                  <c:v>-0,17722855</c:v>
                </c:pt>
                <c:pt idx="161">
                  <c:v>-0,17692855</c:v>
                </c:pt>
                <c:pt idx="162">
                  <c:v>-0,17662855</c:v>
                </c:pt>
                <c:pt idx="163">
                  <c:v>-0,17632855</c:v>
                </c:pt>
                <c:pt idx="164">
                  <c:v>-0,17602855</c:v>
                </c:pt>
                <c:pt idx="165">
                  <c:v>-0,17572855</c:v>
                </c:pt>
                <c:pt idx="166">
                  <c:v>-0,17542855</c:v>
                </c:pt>
                <c:pt idx="167">
                  <c:v>-0,17512855</c:v>
                </c:pt>
                <c:pt idx="168">
                  <c:v>-0,17482855</c:v>
                </c:pt>
                <c:pt idx="169">
                  <c:v>-0,17452855</c:v>
                </c:pt>
                <c:pt idx="170">
                  <c:v>-0,17422855</c:v>
                </c:pt>
                <c:pt idx="171">
                  <c:v>-0,17392855</c:v>
                </c:pt>
                <c:pt idx="172">
                  <c:v>-0,17362855</c:v>
                </c:pt>
                <c:pt idx="173">
                  <c:v>-0,17332855</c:v>
                </c:pt>
                <c:pt idx="174">
                  <c:v>-0,17302855</c:v>
                </c:pt>
                <c:pt idx="175">
                  <c:v>-0,17272855</c:v>
                </c:pt>
                <c:pt idx="176">
                  <c:v>-0,17242855</c:v>
                </c:pt>
                <c:pt idx="177">
                  <c:v>-0,17212855</c:v>
                </c:pt>
                <c:pt idx="178">
                  <c:v>-0,17182855</c:v>
                </c:pt>
                <c:pt idx="179">
                  <c:v>-0,17152855</c:v>
                </c:pt>
                <c:pt idx="180">
                  <c:v>-0,17122855</c:v>
                </c:pt>
                <c:pt idx="181">
                  <c:v>-0,17092855</c:v>
                </c:pt>
                <c:pt idx="182">
                  <c:v>-0,17062855</c:v>
                </c:pt>
                <c:pt idx="183">
                  <c:v>-0,17032855</c:v>
                </c:pt>
                <c:pt idx="184">
                  <c:v>-0,17002855</c:v>
                </c:pt>
                <c:pt idx="185">
                  <c:v>-0,16972855</c:v>
                </c:pt>
                <c:pt idx="186">
                  <c:v>-0,16942855</c:v>
                </c:pt>
                <c:pt idx="187">
                  <c:v>-0,16912855</c:v>
                </c:pt>
                <c:pt idx="188">
                  <c:v>-0,16882855</c:v>
                </c:pt>
                <c:pt idx="189">
                  <c:v>-0,16852855</c:v>
                </c:pt>
                <c:pt idx="190">
                  <c:v>-0,16822855</c:v>
                </c:pt>
                <c:pt idx="191">
                  <c:v>-0,16792855</c:v>
                </c:pt>
                <c:pt idx="192">
                  <c:v>-0,16762855</c:v>
                </c:pt>
                <c:pt idx="193">
                  <c:v>-0,16732855</c:v>
                </c:pt>
                <c:pt idx="194">
                  <c:v>-0,16702855</c:v>
                </c:pt>
                <c:pt idx="195">
                  <c:v>-0,16672855</c:v>
                </c:pt>
                <c:pt idx="196">
                  <c:v>-0,16642855</c:v>
                </c:pt>
                <c:pt idx="197">
                  <c:v>-0,16612855</c:v>
                </c:pt>
                <c:pt idx="198">
                  <c:v>-0,16582855</c:v>
                </c:pt>
                <c:pt idx="199">
                  <c:v>-0,16552855</c:v>
                </c:pt>
                <c:pt idx="200">
                  <c:v>-0,16522855</c:v>
                </c:pt>
                <c:pt idx="201">
                  <c:v>-0,16492855</c:v>
                </c:pt>
                <c:pt idx="202">
                  <c:v>-0,16462855</c:v>
                </c:pt>
                <c:pt idx="203">
                  <c:v>-0,16432855</c:v>
                </c:pt>
                <c:pt idx="204">
                  <c:v>-0,16402855</c:v>
                </c:pt>
                <c:pt idx="205">
                  <c:v>-0,16372855</c:v>
                </c:pt>
                <c:pt idx="206">
                  <c:v>-0,16342855</c:v>
                </c:pt>
                <c:pt idx="207">
                  <c:v>-0,16312855</c:v>
                </c:pt>
                <c:pt idx="208">
                  <c:v>-0,16282855</c:v>
                </c:pt>
                <c:pt idx="209">
                  <c:v>-0,16252855</c:v>
                </c:pt>
                <c:pt idx="210">
                  <c:v>-0,16222855</c:v>
                </c:pt>
                <c:pt idx="211">
                  <c:v>-0,16192855</c:v>
                </c:pt>
                <c:pt idx="212">
                  <c:v>-0,16162855</c:v>
                </c:pt>
                <c:pt idx="213">
                  <c:v>-0,16132855</c:v>
                </c:pt>
                <c:pt idx="214">
                  <c:v>-0,16102855</c:v>
                </c:pt>
                <c:pt idx="215">
                  <c:v>-0,16072855</c:v>
                </c:pt>
                <c:pt idx="216">
                  <c:v>-0,16042855</c:v>
                </c:pt>
                <c:pt idx="217">
                  <c:v>-0,16012855</c:v>
                </c:pt>
                <c:pt idx="218">
                  <c:v>-0,15982855</c:v>
                </c:pt>
                <c:pt idx="219">
                  <c:v>-0,15952855</c:v>
                </c:pt>
                <c:pt idx="220">
                  <c:v>-0,15922855</c:v>
                </c:pt>
                <c:pt idx="221">
                  <c:v>-0,15892855</c:v>
                </c:pt>
                <c:pt idx="222">
                  <c:v>-0,15862855</c:v>
                </c:pt>
                <c:pt idx="223">
                  <c:v>-0,15832855</c:v>
                </c:pt>
                <c:pt idx="224">
                  <c:v>-0,15802855</c:v>
                </c:pt>
                <c:pt idx="225">
                  <c:v>-0,15772855</c:v>
                </c:pt>
                <c:pt idx="226">
                  <c:v>-0,15742855</c:v>
                </c:pt>
                <c:pt idx="227">
                  <c:v>-0,15712855</c:v>
                </c:pt>
                <c:pt idx="228">
                  <c:v>-0,15682855</c:v>
                </c:pt>
                <c:pt idx="229">
                  <c:v>-0,15652855</c:v>
                </c:pt>
                <c:pt idx="230">
                  <c:v>-0,15622855</c:v>
                </c:pt>
                <c:pt idx="231">
                  <c:v>-0,15592855</c:v>
                </c:pt>
                <c:pt idx="232">
                  <c:v>-0,15562855</c:v>
                </c:pt>
                <c:pt idx="233">
                  <c:v>-0,15532855</c:v>
                </c:pt>
                <c:pt idx="234">
                  <c:v>-0,15502855</c:v>
                </c:pt>
                <c:pt idx="235">
                  <c:v>-0,15472855</c:v>
                </c:pt>
                <c:pt idx="236">
                  <c:v>-0,15442855</c:v>
                </c:pt>
                <c:pt idx="237">
                  <c:v>-0,15412855</c:v>
                </c:pt>
                <c:pt idx="238">
                  <c:v>-0,15382855</c:v>
                </c:pt>
                <c:pt idx="239">
                  <c:v>-0,15352855</c:v>
                </c:pt>
                <c:pt idx="240">
                  <c:v>-0,15322855</c:v>
                </c:pt>
                <c:pt idx="241">
                  <c:v>-0,15292855</c:v>
                </c:pt>
                <c:pt idx="242">
                  <c:v>-0,15262855</c:v>
                </c:pt>
                <c:pt idx="243">
                  <c:v>-0,15232855</c:v>
                </c:pt>
                <c:pt idx="244">
                  <c:v>-0,15202855</c:v>
                </c:pt>
                <c:pt idx="245">
                  <c:v>-0,15172855</c:v>
                </c:pt>
                <c:pt idx="246">
                  <c:v>-0,15142855</c:v>
                </c:pt>
                <c:pt idx="247">
                  <c:v>-0,15112855</c:v>
                </c:pt>
                <c:pt idx="248">
                  <c:v>-0,15082855</c:v>
                </c:pt>
                <c:pt idx="249">
                  <c:v>-0,15052855</c:v>
                </c:pt>
                <c:pt idx="250">
                  <c:v>-0,15022855</c:v>
                </c:pt>
                <c:pt idx="251">
                  <c:v>-0,14992855</c:v>
                </c:pt>
                <c:pt idx="252">
                  <c:v>-0,14962855</c:v>
                </c:pt>
                <c:pt idx="253">
                  <c:v>-0,14932855</c:v>
                </c:pt>
                <c:pt idx="254">
                  <c:v>-0,14902855</c:v>
                </c:pt>
                <c:pt idx="255">
                  <c:v>-0,14872855</c:v>
                </c:pt>
                <c:pt idx="256">
                  <c:v>-0,14842855</c:v>
                </c:pt>
                <c:pt idx="257">
                  <c:v>-0,14812855</c:v>
                </c:pt>
                <c:pt idx="258">
                  <c:v>-0,14782855</c:v>
                </c:pt>
                <c:pt idx="259">
                  <c:v>-0,14752855</c:v>
                </c:pt>
                <c:pt idx="260">
                  <c:v>-0,14722855</c:v>
                </c:pt>
                <c:pt idx="261">
                  <c:v>-0,14692855</c:v>
                </c:pt>
                <c:pt idx="262">
                  <c:v>-0,14662855</c:v>
                </c:pt>
                <c:pt idx="263">
                  <c:v>-0,14632855</c:v>
                </c:pt>
                <c:pt idx="264">
                  <c:v>-0,14602855</c:v>
                </c:pt>
                <c:pt idx="265">
                  <c:v>-0,14572855</c:v>
                </c:pt>
                <c:pt idx="266">
                  <c:v>-0,14542855</c:v>
                </c:pt>
                <c:pt idx="267">
                  <c:v>-0,14512855</c:v>
                </c:pt>
                <c:pt idx="268">
                  <c:v>-0,14482855</c:v>
                </c:pt>
                <c:pt idx="269">
                  <c:v>-0,14452855</c:v>
                </c:pt>
                <c:pt idx="270">
                  <c:v>-0,14422855</c:v>
                </c:pt>
                <c:pt idx="271">
                  <c:v>-0,14392855</c:v>
                </c:pt>
                <c:pt idx="272">
                  <c:v>-0,14362855</c:v>
                </c:pt>
                <c:pt idx="273">
                  <c:v>-0,14332855</c:v>
                </c:pt>
                <c:pt idx="274">
                  <c:v>-0,14302855</c:v>
                </c:pt>
                <c:pt idx="275">
                  <c:v>-0,14272855</c:v>
                </c:pt>
                <c:pt idx="276">
                  <c:v>-0,14242855</c:v>
                </c:pt>
                <c:pt idx="277">
                  <c:v>-0,14212855</c:v>
                </c:pt>
                <c:pt idx="278">
                  <c:v>-0,14182855</c:v>
                </c:pt>
                <c:pt idx="279">
                  <c:v>-0,14152855</c:v>
                </c:pt>
                <c:pt idx="280">
                  <c:v>-0,14122855</c:v>
                </c:pt>
                <c:pt idx="281">
                  <c:v>-0,14092855</c:v>
                </c:pt>
                <c:pt idx="282">
                  <c:v>-0,14062855</c:v>
                </c:pt>
                <c:pt idx="283">
                  <c:v>-0,14032855</c:v>
                </c:pt>
                <c:pt idx="284">
                  <c:v>-0,14002855</c:v>
                </c:pt>
                <c:pt idx="285">
                  <c:v>-0,13972855</c:v>
                </c:pt>
                <c:pt idx="286">
                  <c:v>-0,13942855</c:v>
                </c:pt>
                <c:pt idx="287">
                  <c:v>-0,13912855</c:v>
                </c:pt>
                <c:pt idx="288">
                  <c:v>-0,13882855</c:v>
                </c:pt>
                <c:pt idx="289">
                  <c:v>-0,13852855</c:v>
                </c:pt>
                <c:pt idx="290">
                  <c:v>-0,13822855</c:v>
                </c:pt>
                <c:pt idx="291">
                  <c:v>-0,13792855</c:v>
                </c:pt>
                <c:pt idx="292">
                  <c:v>-0,13762855</c:v>
                </c:pt>
                <c:pt idx="293">
                  <c:v>-0,13732855</c:v>
                </c:pt>
                <c:pt idx="294">
                  <c:v>-0,13702855</c:v>
                </c:pt>
                <c:pt idx="295">
                  <c:v>-0,13672855</c:v>
                </c:pt>
                <c:pt idx="296">
                  <c:v>-0,13642855</c:v>
                </c:pt>
                <c:pt idx="297">
                  <c:v>-0,13612855</c:v>
                </c:pt>
                <c:pt idx="298">
                  <c:v>-0,13582855</c:v>
                </c:pt>
                <c:pt idx="299">
                  <c:v>-0,13552855</c:v>
                </c:pt>
                <c:pt idx="300">
                  <c:v>-0,13522855</c:v>
                </c:pt>
                <c:pt idx="301">
                  <c:v>-0,13492855</c:v>
                </c:pt>
                <c:pt idx="302">
                  <c:v>-0,13462855</c:v>
                </c:pt>
                <c:pt idx="303">
                  <c:v>-0,13432855</c:v>
                </c:pt>
                <c:pt idx="304">
                  <c:v>-0,13402855</c:v>
                </c:pt>
                <c:pt idx="305">
                  <c:v>-0,13372855</c:v>
                </c:pt>
                <c:pt idx="306">
                  <c:v>-0,13342855</c:v>
                </c:pt>
                <c:pt idx="307">
                  <c:v>-0,13312855</c:v>
                </c:pt>
                <c:pt idx="308">
                  <c:v>-0,13282855</c:v>
                </c:pt>
                <c:pt idx="309">
                  <c:v>-0,13252855</c:v>
                </c:pt>
                <c:pt idx="310">
                  <c:v>-0,13222855</c:v>
                </c:pt>
                <c:pt idx="311">
                  <c:v>-0,13192855</c:v>
                </c:pt>
                <c:pt idx="312">
                  <c:v>-0,13162855</c:v>
                </c:pt>
                <c:pt idx="313">
                  <c:v>-0,13132855</c:v>
                </c:pt>
                <c:pt idx="314">
                  <c:v>-0,13102855</c:v>
                </c:pt>
                <c:pt idx="315">
                  <c:v>-0,13072855</c:v>
                </c:pt>
                <c:pt idx="316">
                  <c:v>-0,13042855</c:v>
                </c:pt>
                <c:pt idx="317">
                  <c:v>-0,13012855</c:v>
                </c:pt>
                <c:pt idx="318">
                  <c:v>-0,12982855</c:v>
                </c:pt>
                <c:pt idx="319">
                  <c:v>-0,12952855</c:v>
                </c:pt>
                <c:pt idx="320">
                  <c:v>-0,12922855</c:v>
                </c:pt>
                <c:pt idx="321">
                  <c:v>-0,12892855</c:v>
                </c:pt>
                <c:pt idx="322">
                  <c:v>-0,12862855</c:v>
                </c:pt>
                <c:pt idx="323">
                  <c:v>-0,12832855</c:v>
                </c:pt>
                <c:pt idx="324">
                  <c:v>-0,12802855</c:v>
                </c:pt>
                <c:pt idx="325">
                  <c:v>-0,12772855</c:v>
                </c:pt>
                <c:pt idx="326">
                  <c:v>-0,12742855</c:v>
                </c:pt>
                <c:pt idx="327">
                  <c:v>-0,12712855</c:v>
                </c:pt>
                <c:pt idx="328">
                  <c:v>-0,12682855</c:v>
                </c:pt>
                <c:pt idx="329">
                  <c:v>-0,12652855</c:v>
                </c:pt>
                <c:pt idx="330">
                  <c:v>-0,12622855</c:v>
                </c:pt>
                <c:pt idx="331">
                  <c:v>-0,12592855</c:v>
                </c:pt>
                <c:pt idx="332">
                  <c:v>-0,12562855</c:v>
                </c:pt>
                <c:pt idx="333">
                  <c:v>-0,12532855</c:v>
                </c:pt>
                <c:pt idx="334">
                  <c:v>-0,12502855</c:v>
                </c:pt>
                <c:pt idx="335">
                  <c:v>-0,12472855</c:v>
                </c:pt>
                <c:pt idx="336">
                  <c:v>-0,12442855</c:v>
                </c:pt>
                <c:pt idx="337">
                  <c:v>-0,12412855</c:v>
                </c:pt>
                <c:pt idx="338">
                  <c:v>-0,12382855</c:v>
                </c:pt>
                <c:pt idx="339">
                  <c:v>-0,12352855</c:v>
                </c:pt>
                <c:pt idx="340">
                  <c:v>-0,12322855</c:v>
                </c:pt>
                <c:pt idx="341">
                  <c:v>-0,12292855</c:v>
                </c:pt>
                <c:pt idx="342">
                  <c:v>-0,12262855</c:v>
                </c:pt>
                <c:pt idx="343">
                  <c:v>-0,12232855</c:v>
                </c:pt>
                <c:pt idx="344">
                  <c:v>-0,12202855</c:v>
                </c:pt>
                <c:pt idx="345">
                  <c:v>-0,12172855</c:v>
                </c:pt>
                <c:pt idx="346">
                  <c:v>-0,12142855</c:v>
                </c:pt>
                <c:pt idx="347">
                  <c:v>-0,12112855</c:v>
                </c:pt>
                <c:pt idx="348">
                  <c:v>-0,12082855</c:v>
                </c:pt>
                <c:pt idx="349">
                  <c:v>-0,12052855</c:v>
                </c:pt>
                <c:pt idx="350">
                  <c:v>-0,12022855</c:v>
                </c:pt>
                <c:pt idx="351">
                  <c:v>-0,11992855</c:v>
                </c:pt>
                <c:pt idx="352">
                  <c:v>-0,11962855</c:v>
                </c:pt>
                <c:pt idx="353">
                  <c:v>-0,11932855</c:v>
                </c:pt>
                <c:pt idx="354">
                  <c:v>-0,11902855</c:v>
                </c:pt>
                <c:pt idx="355">
                  <c:v>-0,11872855</c:v>
                </c:pt>
                <c:pt idx="356">
                  <c:v>-0,11842855</c:v>
                </c:pt>
                <c:pt idx="357">
                  <c:v>-0,11812855</c:v>
                </c:pt>
                <c:pt idx="358">
                  <c:v>-0,11782855</c:v>
                </c:pt>
                <c:pt idx="359">
                  <c:v>-0,11752855</c:v>
                </c:pt>
                <c:pt idx="360">
                  <c:v>-0,11722855</c:v>
                </c:pt>
                <c:pt idx="361">
                  <c:v>-0,11692855</c:v>
                </c:pt>
                <c:pt idx="362">
                  <c:v>-0,11662855</c:v>
                </c:pt>
                <c:pt idx="363">
                  <c:v>-0,11632855</c:v>
                </c:pt>
                <c:pt idx="364">
                  <c:v>-0,11602855</c:v>
                </c:pt>
                <c:pt idx="365">
                  <c:v>-0,11572855</c:v>
                </c:pt>
                <c:pt idx="366">
                  <c:v>-0,11542855</c:v>
                </c:pt>
                <c:pt idx="367">
                  <c:v>-0,11512855</c:v>
                </c:pt>
                <c:pt idx="368">
                  <c:v>-0,11482855</c:v>
                </c:pt>
                <c:pt idx="369">
                  <c:v>-0,11452855</c:v>
                </c:pt>
                <c:pt idx="370">
                  <c:v>-0,11422855</c:v>
                </c:pt>
                <c:pt idx="371">
                  <c:v>-0,11392855</c:v>
                </c:pt>
                <c:pt idx="372">
                  <c:v>-0,11362855</c:v>
                </c:pt>
                <c:pt idx="373">
                  <c:v>-0,11332855</c:v>
                </c:pt>
                <c:pt idx="374">
                  <c:v>-0,11302855</c:v>
                </c:pt>
                <c:pt idx="375">
                  <c:v>-0,11272855</c:v>
                </c:pt>
                <c:pt idx="376">
                  <c:v>-0,11242855</c:v>
                </c:pt>
                <c:pt idx="377">
                  <c:v>-0,11212855</c:v>
                </c:pt>
                <c:pt idx="378">
                  <c:v>-0,11182855</c:v>
                </c:pt>
                <c:pt idx="379">
                  <c:v>-0,11152855</c:v>
                </c:pt>
                <c:pt idx="380">
                  <c:v>-0,11122855</c:v>
                </c:pt>
                <c:pt idx="381">
                  <c:v>-0,11092855</c:v>
                </c:pt>
                <c:pt idx="382">
                  <c:v>-0,11062855</c:v>
                </c:pt>
                <c:pt idx="383">
                  <c:v>-0,11032855</c:v>
                </c:pt>
                <c:pt idx="384">
                  <c:v>-0,11002855</c:v>
                </c:pt>
                <c:pt idx="385">
                  <c:v>-0,10972855</c:v>
                </c:pt>
                <c:pt idx="386">
                  <c:v>-0,10942855</c:v>
                </c:pt>
                <c:pt idx="387">
                  <c:v>-0,10912855</c:v>
                </c:pt>
                <c:pt idx="388">
                  <c:v>-0,10882855</c:v>
                </c:pt>
                <c:pt idx="389">
                  <c:v>-0,10852855</c:v>
                </c:pt>
                <c:pt idx="390">
                  <c:v>-0,10822855</c:v>
                </c:pt>
                <c:pt idx="391">
                  <c:v>-0,10792855</c:v>
                </c:pt>
                <c:pt idx="392">
                  <c:v>-0,10762855</c:v>
                </c:pt>
                <c:pt idx="393">
                  <c:v>-0,10732855</c:v>
                </c:pt>
                <c:pt idx="394">
                  <c:v>-0,10702855</c:v>
                </c:pt>
                <c:pt idx="395">
                  <c:v>-0,10672855</c:v>
                </c:pt>
                <c:pt idx="396">
                  <c:v>-0,10642855</c:v>
                </c:pt>
                <c:pt idx="397">
                  <c:v>-0,10612855</c:v>
                </c:pt>
                <c:pt idx="398">
                  <c:v>-0,10582855</c:v>
                </c:pt>
                <c:pt idx="399">
                  <c:v>-0,10552855</c:v>
                </c:pt>
                <c:pt idx="400">
                  <c:v>-0,10522855</c:v>
                </c:pt>
                <c:pt idx="401">
                  <c:v>-0,10492855</c:v>
                </c:pt>
                <c:pt idx="402">
                  <c:v>-0,10462855</c:v>
                </c:pt>
                <c:pt idx="403">
                  <c:v>-0,10432855</c:v>
                </c:pt>
                <c:pt idx="404">
                  <c:v>-0,10402855</c:v>
                </c:pt>
                <c:pt idx="405">
                  <c:v>-0,10372855</c:v>
                </c:pt>
                <c:pt idx="406">
                  <c:v>-0,10342855</c:v>
                </c:pt>
                <c:pt idx="407">
                  <c:v>-0,10312855</c:v>
                </c:pt>
                <c:pt idx="408">
                  <c:v>-0,10282855</c:v>
                </c:pt>
                <c:pt idx="409">
                  <c:v>-0,10252855</c:v>
                </c:pt>
                <c:pt idx="410">
                  <c:v>-0,10222855</c:v>
                </c:pt>
                <c:pt idx="411">
                  <c:v>-0,10192855</c:v>
                </c:pt>
                <c:pt idx="412">
                  <c:v>-0,10162855</c:v>
                </c:pt>
                <c:pt idx="413">
                  <c:v>-0,10132855</c:v>
                </c:pt>
                <c:pt idx="414">
                  <c:v>-0,10102855</c:v>
                </c:pt>
                <c:pt idx="415">
                  <c:v>-0,10072855</c:v>
                </c:pt>
                <c:pt idx="416">
                  <c:v>-0,10042855</c:v>
                </c:pt>
                <c:pt idx="417">
                  <c:v>-0,10012855</c:v>
                </c:pt>
                <c:pt idx="418">
                  <c:v>-0,09982855</c:v>
                </c:pt>
                <c:pt idx="419">
                  <c:v>-0,09952855</c:v>
                </c:pt>
                <c:pt idx="420">
                  <c:v>-0,09922855</c:v>
                </c:pt>
                <c:pt idx="421">
                  <c:v>-0,09892855</c:v>
                </c:pt>
                <c:pt idx="422">
                  <c:v>-0,09862855</c:v>
                </c:pt>
                <c:pt idx="423">
                  <c:v>-0,09832855</c:v>
                </c:pt>
                <c:pt idx="424">
                  <c:v>-0,09802855</c:v>
                </c:pt>
                <c:pt idx="425">
                  <c:v>-0,09772855</c:v>
                </c:pt>
                <c:pt idx="426">
                  <c:v>-0,09742855</c:v>
                </c:pt>
                <c:pt idx="427">
                  <c:v>-0,09712855</c:v>
                </c:pt>
                <c:pt idx="428">
                  <c:v>-0,09682855</c:v>
                </c:pt>
                <c:pt idx="429">
                  <c:v>-0,09652855</c:v>
                </c:pt>
                <c:pt idx="430">
                  <c:v>-0,09622855</c:v>
                </c:pt>
                <c:pt idx="431">
                  <c:v>-0,09592855</c:v>
                </c:pt>
                <c:pt idx="432">
                  <c:v>-0,09562855</c:v>
                </c:pt>
                <c:pt idx="433">
                  <c:v>-0,09532855</c:v>
                </c:pt>
                <c:pt idx="434">
                  <c:v>-0,09502855</c:v>
                </c:pt>
                <c:pt idx="435">
                  <c:v>-0,09472855</c:v>
                </c:pt>
                <c:pt idx="436">
                  <c:v>-0,09442855</c:v>
                </c:pt>
                <c:pt idx="437">
                  <c:v>-0,09412855</c:v>
                </c:pt>
                <c:pt idx="438">
                  <c:v>-0,09382855</c:v>
                </c:pt>
                <c:pt idx="439">
                  <c:v>-0,09352855</c:v>
                </c:pt>
                <c:pt idx="440">
                  <c:v>-0,09322855</c:v>
                </c:pt>
                <c:pt idx="441">
                  <c:v>-0,09292855</c:v>
                </c:pt>
                <c:pt idx="442">
                  <c:v>-0,09262855</c:v>
                </c:pt>
                <c:pt idx="443">
                  <c:v>-0,09232855</c:v>
                </c:pt>
                <c:pt idx="444">
                  <c:v>-0,09202855</c:v>
                </c:pt>
                <c:pt idx="445">
                  <c:v>-0,09172855</c:v>
                </c:pt>
                <c:pt idx="446">
                  <c:v>-0,09142855</c:v>
                </c:pt>
                <c:pt idx="447">
                  <c:v>-0,09112855</c:v>
                </c:pt>
                <c:pt idx="448">
                  <c:v>-0,09082855</c:v>
                </c:pt>
                <c:pt idx="449">
                  <c:v>-0,09052855</c:v>
                </c:pt>
                <c:pt idx="450">
                  <c:v>-0,09022855</c:v>
                </c:pt>
                <c:pt idx="451">
                  <c:v>-0,08992855</c:v>
                </c:pt>
                <c:pt idx="452">
                  <c:v>-0,08962855</c:v>
                </c:pt>
                <c:pt idx="453">
                  <c:v>-0,08932855</c:v>
                </c:pt>
                <c:pt idx="454">
                  <c:v>-0,08902855</c:v>
                </c:pt>
                <c:pt idx="455">
                  <c:v>-0,08872855</c:v>
                </c:pt>
                <c:pt idx="456">
                  <c:v>-0,08842855</c:v>
                </c:pt>
                <c:pt idx="457">
                  <c:v>-0,08812855</c:v>
                </c:pt>
                <c:pt idx="458">
                  <c:v>-0,08782855</c:v>
                </c:pt>
                <c:pt idx="459">
                  <c:v>-0,08752855</c:v>
                </c:pt>
                <c:pt idx="460">
                  <c:v>-0,08722855</c:v>
                </c:pt>
                <c:pt idx="461">
                  <c:v>-0,08692855</c:v>
                </c:pt>
                <c:pt idx="462">
                  <c:v>-0,08662855</c:v>
                </c:pt>
                <c:pt idx="463">
                  <c:v>-0,08632855</c:v>
                </c:pt>
                <c:pt idx="464">
                  <c:v>-0,08602855</c:v>
                </c:pt>
                <c:pt idx="465">
                  <c:v>-0,08572855</c:v>
                </c:pt>
                <c:pt idx="466">
                  <c:v>-0,08542855</c:v>
                </c:pt>
                <c:pt idx="467">
                  <c:v>-0,08512855</c:v>
                </c:pt>
                <c:pt idx="468">
                  <c:v>-0,08482855</c:v>
                </c:pt>
                <c:pt idx="469">
                  <c:v>-0,08452855</c:v>
                </c:pt>
                <c:pt idx="470">
                  <c:v>-0,08422855</c:v>
                </c:pt>
                <c:pt idx="471">
                  <c:v>-0,08392855</c:v>
                </c:pt>
                <c:pt idx="472">
                  <c:v>-0,08362855</c:v>
                </c:pt>
                <c:pt idx="473">
                  <c:v>-0,08332855</c:v>
                </c:pt>
                <c:pt idx="474">
                  <c:v>-0,08302855</c:v>
                </c:pt>
                <c:pt idx="475">
                  <c:v>-0,08272855</c:v>
                </c:pt>
                <c:pt idx="476">
                  <c:v>-0,08242855</c:v>
                </c:pt>
                <c:pt idx="477">
                  <c:v>-0,08212855</c:v>
                </c:pt>
                <c:pt idx="478">
                  <c:v>-0,08182855</c:v>
                </c:pt>
                <c:pt idx="479">
                  <c:v>-0,08152855</c:v>
                </c:pt>
                <c:pt idx="480">
                  <c:v>-0,08122855</c:v>
                </c:pt>
                <c:pt idx="481">
                  <c:v>-0,08092855</c:v>
                </c:pt>
                <c:pt idx="482">
                  <c:v>-0,08062855</c:v>
                </c:pt>
                <c:pt idx="483">
                  <c:v>-0,08032855</c:v>
                </c:pt>
                <c:pt idx="484">
                  <c:v>-0,08002855</c:v>
                </c:pt>
                <c:pt idx="485">
                  <c:v>-0,07972855</c:v>
                </c:pt>
                <c:pt idx="486">
                  <c:v>-0,07942855</c:v>
                </c:pt>
                <c:pt idx="487">
                  <c:v>-0,07912855</c:v>
                </c:pt>
                <c:pt idx="488">
                  <c:v>-0,07882855</c:v>
                </c:pt>
                <c:pt idx="489">
                  <c:v>-0,07852855</c:v>
                </c:pt>
                <c:pt idx="490">
                  <c:v>-0,07822855</c:v>
                </c:pt>
                <c:pt idx="491">
                  <c:v>-0,07792855</c:v>
                </c:pt>
                <c:pt idx="492">
                  <c:v>-0,07762855</c:v>
                </c:pt>
                <c:pt idx="493">
                  <c:v>-0,07732855</c:v>
                </c:pt>
                <c:pt idx="494">
                  <c:v>-0,07702855</c:v>
                </c:pt>
                <c:pt idx="495">
                  <c:v>-0,07672855</c:v>
                </c:pt>
                <c:pt idx="496">
                  <c:v>-0,07642855</c:v>
                </c:pt>
                <c:pt idx="497">
                  <c:v>-0,07612855</c:v>
                </c:pt>
                <c:pt idx="498">
                  <c:v>-0,07582855</c:v>
                </c:pt>
                <c:pt idx="499">
                  <c:v>-0,07552855</c:v>
                </c:pt>
                <c:pt idx="500">
                  <c:v>-0,07522855</c:v>
                </c:pt>
                <c:pt idx="501">
                  <c:v>-0,07492855</c:v>
                </c:pt>
                <c:pt idx="502">
                  <c:v>-0,07462855</c:v>
                </c:pt>
                <c:pt idx="503">
                  <c:v>-0,07432855</c:v>
                </c:pt>
                <c:pt idx="504">
                  <c:v>-0,07402855</c:v>
                </c:pt>
                <c:pt idx="505">
                  <c:v>-0,07372855</c:v>
                </c:pt>
                <c:pt idx="506">
                  <c:v>-0,07342855</c:v>
                </c:pt>
                <c:pt idx="507">
                  <c:v>-0,07312855</c:v>
                </c:pt>
                <c:pt idx="508">
                  <c:v>-0,07282855</c:v>
                </c:pt>
                <c:pt idx="509">
                  <c:v>-0,07252855</c:v>
                </c:pt>
                <c:pt idx="510">
                  <c:v>-0,07222855</c:v>
                </c:pt>
                <c:pt idx="511">
                  <c:v>-0,07192855</c:v>
                </c:pt>
                <c:pt idx="512">
                  <c:v>-0,07162855</c:v>
                </c:pt>
                <c:pt idx="513">
                  <c:v>-0,07132855</c:v>
                </c:pt>
                <c:pt idx="514">
                  <c:v>-0,07102855</c:v>
                </c:pt>
                <c:pt idx="515">
                  <c:v>-0,07072855</c:v>
                </c:pt>
                <c:pt idx="516">
                  <c:v>-0,07042855</c:v>
                </c:pt>
                <c:pt idx="517">
                  <c:v>-0,07012855</c:v>
                </c:pt>
                <c:pt idx="518">
                  <c:v>-0,06982855</c:v>
                </c:pt>
                <c:pt idx="519">
                  <c:v>-0,06952855</c:v>
                </c:pt>
                <c:pt idx="520">
                  <c:v>-0,06922855</c:v>
                </c:pt>
                <c:pt idx="521">
                  <c:v>-0,06892855</c:v>
                </c:pt>
                <c:pt idx="522">
                  <c:v>-0,06862855</c:v>
                </c:pt>
                <c:pt idx="523">
                  <c:v>-0,06832855</c:v>
                </c:pt>
                <c:pt idx="524">
                  <c:v>-0,06802855</c:v>
                </c:pt>
                <c:pt idx="525">
                  <c:v>-0,06772855</c:v>
                </c:pt>
                <c:pt idx="526">
                  <c:v>-0,06742855</c:v>
                </c:pt>
                <c:pt idx="527">
                  <c:v>-0,06712855</c:v>
                </c:pt>
                <c:pt idx="528">
                  <c:v>-0,06682855</c:v>
                </c:pt>
                <c:pt idx="529">
                  <c:v>-0,06652855</c:v>
                </c:pt>
                <c:pt idx="530">
                  <c:v>-0,06622855</c:v>
                </c:pt>
                <c:pt idx="531">
                  <c:v>-0,06592855</c:v>
                </c:pt>
                <c:pt idx="532">
                  <c:v>-0,06562855</c:v>
                </c:pt>
                <c:pt idx="533">
                  <c:v>-0,06532855</c:v>
                </c:pt>
                <c:pt idx="534">
                  <c:v>-0,06502855</c:v>
                </c:pt>
                <c:pt idx="535">
                  <c:v>-0,06472855</c:v>
                </c:pt>
                <c:pt idx="536">
                  <c:v>-0,06442855</c:v>
                </c:pt>
                <c:pt idx="537">
                  <c:v>-0,06412855</c:v>
                </c:pt>
                <c:pt idx="538">
                  <c:v>-0,06382855</c:v>
                </c:pt>
                <c:pt idx="539">
                  <c:v>-0,06352855</c:v>
                </c:pt>
                <c:pt idx="540">
                  <c:v>-0,06322855</c:v>
                </c:pt>
                <c:pt idx="541">
                  <c:v>-0,06292855</c:v>
                </c:pt>
                <c:pt idx="542">
                  <c:v>-0,06262855</c:v>
                </c:pt>
                <c:pt idx="543">
                  <c:v>-0,06232855</c:v>
                </c:pt>
                <c:pt idx="544">
                  <c:v>-0,06202855</c:v>
                </c:pt>
                <c:pt idx="545">
                  <c:v>-0,06172855</c:v>
                </c:pt>
                <c:pt idx="546">
                  <c:v>-0,06142855</c:v>
                </c:pt>
                <c:pt idx="547">
                  <c:v>-0,06112855</c:v>
                </c:pt>
                <c:pt idx="548">
                  <c:v>-0,06082855</c:v>
                </c:pt>
                <c:pt idx="549">
                  <c:v>-0,06052855</c:v>
                </c:pt>
                <c:pt idx="550">
                  <c:v>-0,06022855</c:v>
                </c:pt>
                <c:pt idx="551">
                  <c:v>-0,05992855</c:v>
                </c:pt>
                <c:pt idx="552">
                  <c:v>-0,05962855</c:v>
                </c:pt>
                <c:pt idx="553">
                  <c:v>-0,05932855</c:v>
                </c:pt>
                <c:pt idx="554">
                  <c:v>-0,05902855</c:v>
                </c:pt>
                <c:pt idx="555">
                  <c:v>-0,05872855</c:v>
                </c:pt>
                <c:pt idx="556">
                  <c:v>-0,05842855</c:v>
                </c:pt>
                <c:pt idx="557">
                  <c:v>-0,05812855</c:v>
                </c:pt>
                <c:pt idx="558">
                  <c:v>-0,05782855</c:v>
                </c:pt>
                <c:pt idx="559">
                  <c:v>-0,05752855</c:v>
                </c:pt>
                <c:pt idx="560">
                  <c:v>-0,05722855</c:v>
                </c:pt>
                <c:pt idx="561">
                  <c:v>-0,05692855</c:v>
                </c:pt>
                <c:pt idx="562">
                  <c:v>-0,05662855</c:v>
                </c:pt>
                <c:pt idx="563">
                  <c:v>-0,05632855</c:v>
                </c:pt>
                <c:pt idx="564">
                  <c:v>-0,05602855</c:v>
                </c:pt>
                <c:pt idx="565">
                  <c:v>-0,05572855</c:v>
                </c:pt>
                <c:pt idx="566">
                  <c:v>-0,05542855</c:v>
                </c:pt>
                <c:pt idx="567">
                  <c:v>-0,05512855</c:v>
                </c:pt>
                <c:pt idx="568">
                  <c:v>-0,05482855</c:v>
                </c:pt>
                <c:pt idx="569">
                  <c:v>-0,05452855</c:v>
                </c:pt>
                <c:pt idx="570">
                  <c:v>-0,05422855</c:v>
                </c:pt>
                <c:pt idx="571">
                  <c:v>-0,05392855</c:v>
                </c:pt>
                <c:pt idx="572">
                  <c:v>-0,05362855</c:v>
                </c:pt>
                <c:pt idx="573">
                  <c:v>-0,05332855</c:v>
                </c:pt>
                <c:pt idx="574">
                  <c:v>-0,05302855</c:v>
                </c:pt>
                <c:pt idx="575">
                  <c:v>-0,05272855</c:v>
                </c:pt>
                <c:pt idx="576">
                  <c:v>-0,05242855</c:v>
                </c:pt>
                <c:pt idx="577">
                  <c:v>-0,05212855</c:v>
                </c:pt>
                <c:pt idx="578">
                  <c:v>-0,05182855</c:v>
                </c:pt>
                <c:pt idx="579">
                  <c:v>-0,05152855</c:v>
                </c:pt>
                <c:pt idx="580">
                  <c:v>-0,05122855</c:v>
                </c:pt>
                <c:pt idx="581">
                  <c:v>-0,05092855</c:v>
                </c:pt>
                <c:pt idx="582">
                  <c:v>-0,05062855</c:v>
                </c:pt>
                <c:pt idx="583">
                  <c:v>-0,05032855</c:v>
                </c:pt>
                <c:pt idx="584">
                  <c:v>-0,05002855</c:v>
                </c:pt>
                <c:pt idx="585">
                  <c:v>-0,04972855</c:v>
                </c:pt>
                <c:pt idx="586">
                  <c:v>-0,04942855</c:v>
                </c:pt>
                <c:pt idx="587">
                  <c:v>-0,04912855</c:v>
                </c:pt>
                <c:pt idx="588">
                  <c:v>-0,04882855</c:v>
                </c:pt>
                <c:pt idx="589">
                  <c:v>-0,04852855</c:v>
                </c:pt>
                <c:pt idx="590">
                  <c:v>-0,04822855</c:v>
                </c:pt>
                <c:pt idx="591">
                  <c:v>-0,04792855</c:v>
                </c:pt>
                <c:pt idx="592">
                  <c:v>-0,04762855</c:v>
                </c:pt>
                <c:pt idx="593">
                  <c:v>-0,04732855</c:v>
                </c:pt>
                <c:pt idx="594">
                  <c:v>-0,04702855</c:v>
                </c:pt>
                <c:pt idx="595">
                  <c:v>-0,04672855</c:v>
                </c:pt>
                <c:pt idx="596">
                  <c:v>-0,04642855</c:v>
                </c:pt>
                <c:pt idx="597">
                  <c:v>-0,04612855</c:v>
                </c:pt>
                <c:pt idx="598">
                  <c:v>-0,04582855</c:v>
                </c:pt>
                <c:pt idx="599">
                  <c:v>-0,04552855</c:v>
                </c:pt>
                <c:pt idx="600">
                  <c:v>-0,04522855</c:v>
                </c:pt>
                <c:pt idx="601">
                  <c:v>-0,04492855</c:v>
                </c:pt>
                <c:pt idx="602">
                  <c:v>-0,04462855</c:v>
                </c:pt>
                <c:pt idx="603">
                  <c:v>-0,04432855</c:v>
                </c:pt>
                <c:pt idx="604">
                  <c:v>-0,04402855</c:v>
                </c:pt>
                <c:pt idx="605">
                  <c:v>-0,04372855</c:v>
                </c:pt>
                <c:pt idx="606">
                  <c:v>-0,04342855</c:v>
                </c:pt>
                <c:pt idx="607">
                  <c:v>-0,04312855</c:v>
                </c:pt>
                <c:pt idx="608">
                  <c:v>-0,04282855</c:v>
                </c:pt>
                <c:pt idx="609">
                  <c:v>-0,04252855</c:v>
                </c:pt>
                <c:pt idx="610">
                  <c:v>-0,04222855</c:v>
                </c:pt>
                <c:pt idx="611">
                  <c:v>-0,04192855</c:v>
                </c:pt>
                <c:pt idx="612">
                  <c:v>-0,04162855</c:v>
                </c:pt>
                <c:pt idx="613">
                  <c:v>-0,04132855</c:v>
                </c:pt>
                <c:pt idx="614">
                  <c:v>-0,04102855</c:v>
                </c:pt>
                <c:pt idx="615">
                  <c:v>-0,04072855</c:v>
                </c:pt>
                <c:pt idx="616">
                  <c:v>-0,04042855</c:v>
                </c:pt>
                <c:pt idx="617">
                  <c:v>-0,04012855</c:v>
                </c:pt>
                <c:pt idx="618">
                  <c:v>-0,03982855</c:v>
                </c:pt>
                <c:pt idx="619">
                  <c:v>-0,03952855</c:v>
                </c:pt>
                <c:pt idx="620">
                  <c:v>-0,03922855</c:v>
                </c:pt>
                <c:pt idx="621">
                  <c:v>-0,03892855</c:v>
                </c:pt>
                <c:pt idx="622">
                  <c:v>-0,03862855</c:v>
                </c:pt>
                <c:pt idx="623">
                  <c:v>-0,03832855</c:v>
                </c:pt>
                <c:pt idx="624">
                  <c:v>-0,03802855</c:v>
                </c:pt>
                <c:pt idx="625">
                  <c:v>-0,03772855</c:v>
                </c:pt>
                <c:pt idx="626">
                  <c:v>-0,03742855</c:v>
                </c:pt>
                <c:pt idx="627">
                  <c:v>-0,03712855</c:v>
                </c:pt>
                <c:pt idx="628">
                  <c:v>-0,03682855</c:v>
                </c:pt>
                <c:pt idx="629">
                  <c:v>-0,03652855</c:v>
                </c:pt>
                <c:pt idx="630">
                  <c:v>-0,03622855</c:v>
                </c:pt>
                <c:pt idx="631">
                  <c:v>-0,03592855</c:v>
                </c:pt>
                <c:pt idx="632">
                  <c:v>-0,03562855</c:v>
                </c:pt>
                <c:pt idx="633">
                  <c:v>-0,03532855</c:v>
                </c:pt>
                <c:pt idx="634">
                  <c:v>-0,03502855</c:v>
                </c:pt>
                <c:pt idx="635">
                  <c:v>-0,03472855</c:v>
                </c:pt>
                <c:pt idx="636">
                  <c:v>-0,03442855</c:v>
                </c:pt>
                <c:pt idx="637">
                  <c:v>-0,03412855</c:v>
                </c:pt>
                <c:pt idx="638">
                  <c:v>-0,03382855</c:v>
                </c:pt>
                <c:pt idx="639">
                  <c:v>-0,03352855</c:v>
                </c:pt>
                <c:pt idx="640">
                  <c:v>-0,03322855</c:v>
                </c:pt>
                <c:pt idx="641">
                  <c:v>-0,03292855</c:v>
                </c:pt>
                <c:pt idx="642">
                  <c:v>-0,03262855</c:v>
                </c:pt>
                <c:pt idx="643">
                  <c:v>-0,03232855</c:v>
                </c:pt>
                <c:pt idx="644">
                  <c:v>-0,03202855</c:v>
                </c:pt>
                <c:pt idx="645">
                  <c:v>-0,03172855</c:v>
                </c:pt>
                <c:pt idx="646">
                  <c:v>-0,03142855</c:v>
                </c:pt>
                <c:pt idx="647">
                  <c:v>-0,03112855</c:v>
                </c:pt>
                <c:pt idx="648">
                  <c:v>-0,03082855</c:v>
                </c:pt>
                <c:pt idx="649">
                  <c:v>-0,03052855</c:v>
                </c:pt>
                <c:pt idx="650">
                  <c:v>-0,03022855</c:v>
                </c:pt>
                <c:pt idx="651">
                  <c:v>-0,02992855</c:v>
                </c:pt>
                <c:pt idx="652">
                  <c:v>-0,02962855</c:v>
                </c:pt>
                <c:pt idx="653">
                  <c:v>-0,02932855</c:v>
                </c:pt>
                <c:pt idx="654">
                  <c:v>-0,02902855</c:v>
                </c:pt>
                <c:pt idx="655">
                  <c:v>-0,02872855</c:v>
                </c:pt>
                <c:pt idx="656">
                  <c:v>-0,02842855</c:v>
                </c:pt>
                <c:pt idx="657">
                  <c:v>-0,02812855</c:v>
                </c:pt>
                <c:pt idx="658">
                  <c:v>-0,02782855</c:v>
                </c:pt>
                <c:pt idx="659">
                  <c:v>-0,02752855</c:v>
                </c:pt>
                <c:pt idx="660">
                  <c:v>-0,02722855</c:v>
                </c:pt>
                <c:pt idx="661">
                  <c:v>-0,02692855</c:v>
                </c:pt>
                <c:pt idx="662">
                  <c:v>-0,02662855</c:v>
                </c:pt>
                <c:pt idx="663">
                  <c:v>-0,02632855</c:v>
                </c:pt>
                <c:pt idx="664">
                  <c:v>-0,02602855</c:v>
                </c:pt>
                <c:pt idx="665">
                  <c:v>-0,02572855</c:v>
                </c:pt>
                <c:pt idx="666">
                  <c:v>-0,02542855</c:v>
                </c:pt>
                <c:pt idx="667">
                  <c:v>-0,02512855</c:v>
                </c:pt>
                <c:pt idx="668">
                  <c:v>-0,02482855</c:v>
                </c:pt>
                <c:pt idx="669">
                  <c:v>-0,02452855</c:v>
                </c:pt>
                <c:pt idx="670">
                  <c:v>-0,02422855</c:v>
                </c:pt>
                <c:pt idx="671">
                  <c:v>-0,02392855</c:v>
                </c:pt>
                <c:pt idx="672">
                  <c:v>-0,02362855</c:v>
                </c:pt>
                <c:pt idx="673">
                  <c:v>-0,02332855</c:v>
                </c:pt>
                <c:pt idx="674">
                  <c:v>-0,02302855</c:v>
                </c:pt>
                <c:pt idx="675">
                  <c:v>-0,02272855</c:v>
                </c:pt>
                <c:pt idx="676">
                  <c:v>-0,02242855</c:v>
                </c:pt>
                <c:pt idx="677">
                  <c:v>-0,02212855</c:v>
                </c:pt>
                <c:pt idx="678">
                  <c:v>-0,02182855</c:v>
                </c:pt>
                <c:pt idx="679">
                  <c:v>-0,02152855</c:v>
                </c:pt>
                <c:pt idx="680">
                  <c:v>-0,02122855</c:v>
                </c:pt>
                <c:pt idx="681">
                  <c:v>-0,02092855</c:v>
                </c:pt>
                <c:pt idx="682">
                  <c:v>-0,02062855</c:v>
                </c:pt>
                <c:pt idx="683">
                  <c:v>-0,02032855</c:v>
                </c:pt>
                <c:pt idx="684">
                  <c:v>-0,02002855</c:v>
                </c:pt>
                <c:pt idx="685">
                  <c:v>-0,01972855</c:v>
                </c:pt>
                <c:pt idx="686">
                  <c:v>-0,01942855</c:v>
                </c:pt>
                <c:pt idx="687">
                  <c:v>-0,01912855</c:v>
                </c:pt>
                <c:pt idx="688">
                  <c:v>-0,01882855</c:v>
                </c:pt>
                <c:pt idx="689">
                  <c:v>-0,01852855</c:v>
                </c:pt>
                <c:pt idx="690">
                  <c:v>-0,01822855</c:v>
                </c:pt>
                <c:pt idx="691">
                  <c:v>-0,01792855</c:v>
                </c:pt>
                <c:pt idx="692">
                  <c:v>-0,01762855</c:v>
                </c:pt>
                <c:pt idx="693">
                  <c:v>-0,01732855</c:v>
                </c:pt>
                <c:pt idx="694">
                  <c:v>-0,01702855</c:v>
                </c:pt>
                <c:pt idx="695">
                  <c:v>-0,01672855</c:v>
                </c:pt>
                <c:pt idx="696">
                  <c:v>-0,01642855</c:v>
                </c:pt>
                <c:pt idx="697">
                  <c:v>-0,01612855</c:v>
                </c:pt>
                <c:pt idx="698">
                  <c:v>-0,01582855</c:v>
                </c:pt>
                <c:pt idx="699">
                  <c:v>-0,01552855</c:v>
                </c:pt>
                <c:pt idx="700">
                  <c:v>-0,01522855</c:v>
                </c:pt>
                <c:pt idx="701">
                  <c:v>-0,01492855</c:v>
                </c:pt>
                <c:pt idx="702">
                  <c:v>-0,01462855</c:v>
                </c:pt>
                <c:pt idx="703">
                  <c:v>-0,01432855</c:v>
                </c:pt>
                <c:pt idx="704">
                  <c:v>-0,01402855</c:v>
                </c:pt>
                <c:pt idx="705">
                  <c:v>-0,01372855</c:v>
                </c:pt>
                <c:pt idx="706">
                  <c:v>-0,01342855</c:v>
                </c:pt>
                <c:pt idx="707">
                  <c:v>-0,01312855</c:v>
                </c:pt>
                <c:pt idx="708">
                  <c:v>-0,01282855</c:v>
                </c:pt>
                <c:pt idx="709">
                  <c:v>-0,01252855</c:v>
                </c:pt>
                <c:pt idx="710">
                  <c:v>-0,01222855</c:v>
                </c:pt>
                <c:pt idx="711">
                  <c:v>-0,01192855</c:v>
                </c:pt>
                <c:pt idx="712">
                  <c:v>-0,01162855</c:v>
                </c:pt>
                <c:pt idx="713">
                  <c:v>-0,01132855</c:v>
                </c:pt>
                <c:pt idx="714">
                  <c:v>-0,01102855</c:v>
                </c:pt>
                <c:pt idx="715">
                  <c:v>-0,01072855</c:v>
                </c:pt>
                <c:pt idx="716">
                  <c:v>-0,01042855</c:v>
                </c:pt>
                <c:pt idx="717">
                  <c:v>-0,01012855</c:v>
                </c:pt>
                <c:pt idx="718">
                  <c:v>-0,00982855</c:v>
                </c:pt>
                <c:pt idx="719">
                  <c:v>-0,00952855</c:v>
                </c:pt>
                <c:pt idx="720">
                  <c:v>-0,00922855</c:v>
                </c:pt>
                <c:pt idx="721">
                  <c:v>-0,00892855</c:v>
                </c:pt>
                <c:pt idx="722">
                  <c:v>-0,00862855</c:v>
                </c:pt>
                <c:pt idx="723">
                  <c:v>-0,00832855</c:v>
                </c:pt>
                <c:pt idx="724">
                  <c:v>-0,00802855</c:v>
                </c:pt>
                <c:pt idx="725">
                  <c:v>-0,00772855</c:v>
                </c:pt>
                <c:pt idx="726">
                  <c:v>-0,00742855</c:v>
                </c:pt>
                <c:pt idx="727">
                  <c:v>-0,00712855</c:v>
                </c:pt>
                <c:pt idx="728">
                  <c:v>-0,00682855</c:v>
                </c:pt>
                <c:pt idx="729">
                  <c:v>-0,00652855</c:v>
                </c:pt>
                <c:pt idx="730">
                  <c:v>-0,00622855</c:v>
                </c:pt>
                <c:pt idx="731">
                  <c:v>-0,00592855</c:v>
                </c:pt>
                <c:pt idx="732">
                  <c:v>-0,00562855</c:v>
                </c:pt>
                <c:pt idx="733">
                  <c:v>-0,00532855</c:v>
                </c:pt>
                <c:pt idx="734">
                  <c:v>-0,00502855</c:v>
                </c:pt>
                <c:pt idx="735">
                  <c:v>-0,00472855</c:v>
                </c:pt>
                <c:pt idx="736">
                  <c:v>-0,00442855</c:v>
                </c:pt>
                <c:pt idx="737">
                  <c:v>-0,00412855</c:v>
                </c:pt>
                <c:pt idx="738">
                  <c:v>-0,00382855</c:v>
                </c:pt>
                <c:pt idx="739">
                  <c:v>-0,00352855</c:v>
                </c:pt>
                <c:pt idx="740">
                  <c:v>-0,00322855</c:v>
                </c:pt>
                <c:pt idx="741">
                  <c:v>-0,00292855</c:v>
                </c:pt>
                <c:pt idx="742">
                  <c:v>-0,00262855</c:v>
                </c:pt>
                <c:pt idx="743">
                  <c:v>-0,00232855</c:v>
                </c:pt>
                <c:pt idx="744">
                  <c:v>-0,00202855</c:v>
                </c:pt>
                <c:pt idx="745">
                  <c:v>-0,00172855</c:v>
                </c:pt>
                <c:pt idx="746">
                  <c:v>-0,00142855</c:v>
                </c:pt>
                <c:pt idx="747">
                  <c:v>-0,00112855</c:v>
                </c:pt>
                <c:pt idx="748">
                  <c:v>-0,00082855</c:v>
                </c:pt>
                <c:pt idx="749">
                  <c:v>-0,00052855</c:v>
                </c:pt>
                <c:pt idx="750">
                  <c:v>-0,00022855</c:v>
                </c:pt>
                <c:pt idx="751">
                  <c:v>7,14497E-05</c:v>
                </c:pt>
                <c:pt idx="752">
                  <c:v>0,00037145</c:v>
                </c:pt>
                <c:pt idx="753">
                  <c:v>0,00067145</c:v>
                </c:pt>
                <c:pt idx="754">
                  <c:v>0,00097145</c:v>
                </c:pt>
                <c:pt idx="755">
                  <c:v>0,00127145</c:v>
                </c:pt>
                <c:pt idx="756">
                  <c:v>0,00157145</c:v>
                </c:pt>
                <c:pt idx="757">
                  <c:v>0,00187145</c:v>
                </c:pt>
                <c:pt idx="758">
                  <c:v>0,00217145</c:v>
                </c:pt>
                <c:pt idx="759">
                  <c:v>0,00247145</c:v>
                </c:pt>
                <c:pt idx="760">
                  <c:v>0,00277145</c:v>
                </c:pt>
                <c:pt idx="761">
                  <c:v>0,00307145</c:v>
                </c:pt>
                <c:pt idx="762">
                  <c:v>0,00337145</c:v>
                </c:pt>
                <c:pt idx="763">
                  <c:v>0,00367145</c:v>
                </c:pt>
                <c:pt idx="764">
                  <c:v>0,00397145</c:v>
                </c:pt>
                <c:pt idx="765">
                  <c:v>0,00427145</c:v>
                </c:pt>
                <c:pt idx="766">
                  <c:v>0,00457145</c:v>
                </c:pt>
                <c:pt idx="767">
                  <c:v>0,00487145</c:v>
                </c:pt>
                <c:pt idx="768">
                  <c:v>0,00517145</c:v>
                </c:pt>
                <c:pt idx="769">
                  <c:v>0,00547145</c:v>
                </c:pt>
                <c:pt idx="770">
                  <c:v>0,00577145</c:v>
                </c:pt>
                <c:pt idx="771">
                  <c:v>0,00607145</c:v>
                </c:pt>
                <c:pt idx="772">
                  <c:v>0,00637145</c:v>
                </c:pt>
                <c:pt idx="773">
                  <c:v>0,00667145</c:v>
                </c:pt>
                <c:pt idx="774">
                  <c:v>0,00697145</c:v>
                </c:pt>
                <c:pt idx="775">
                  <c:v>0,00727145</c:v>
                </c:pt>
                <c:pt idx="776">
                  <c:v>0,00757145</c:v>
                </c:pt>
                <c:pt idx="777">
                  <c:v>0,00787145</c:v>
                </c:pt>
                <c:pt idx="778">
                  <c:v>0,00817145</c:v>
                </c:pt>
                <c:pt idx="779">
                  <c:v>0,00847145</c:v>
                </c:pt>
                <c:pt idx="780">
                  <c:v>0,00877145</c:v>
                </c:pt>
                <c:pt idx="781">
                  <c:v>0,00907145</c:v>
                </c:pt>
                <c:pt idx="782">
                  <c:v>0,00937145</c:v>
                </c:pt>
                <c:pt idx="783">
                  <c:v>0,00967145</c:v>
                </c:pt>
                <c:pt idx="784">
                  <c:v>0,00997145</c:v>
                </c:pt>
                <c:pt idx="785">
                  <c:v>0,01027145</c:v>
                </c:pt>
                <c:pt idx="786">
                  <c:v>0,01057145</c:v>
                </c:pt>
                <c:pt idx="787">
                  <c:v>0,01087145</c:v>
                </c:pt>
                <c:pt idx="788">
                  <c:v>0,01117145</c:v>
                </c:pt>
                <c:pt idx="789">
                  <c:v>0,01147145</c:v>
                </c:pt>
                <c:pt idx="790">
                  <c:v>0,01177145</c:v>
                </c:pt>
                <c:pt idx="791">
                  <c:v>0,01207145</c:v>
                </c:pt>
                <c:pt idx="792">
                  <c:v>0,01237145</c:v>
                </c:pt>
                <c:pt idx="793">
                  <c:v>0,01267145</c:v>
                </c:pt>
                <c:pt idx="794">
                  <c:v>0,01297145</c:v>
                </c:pt>
                <c:pt idx="795">
                  <c:v>0,01327145</c:v>
                </c:pt>
                <c:pt idx="796">
                  <c:v>0,01357145</c:v>
                </c:pt>
                <c:pt idx="797">
                  <c:v>0,01387145</c:v>
                </c:pt>
                <c:pt idx="798">
                  <c:v>0,01417145</c:v>
                </c:pt>
                <c:pt idx="799">
                  <c:v>0,01447145</c:v>
                </c:pt>
                <c:pt idx="800">
                  <c:v>0,01477145</c:v>
                </c:pt>
                <c:pt idx="801">
                  <c:v>0,01507145</c:v>
                </c:pt>
                <c:pt idx="802">
                  <c:v>0,01537145</c:v>
                </c:pt>
                <c:pt idx="803">
                  <c:v>0,01567145</c:v>
                </c:pt>
                <c:pt idx="804">
                  <c:v>0,01597145</c:v>
                </c:pt>
                <c:pt idx="805">
                  <c:v>0,01627145</c:v>
                </c:pt>
                <c:pt idx="806">
                  <c:v>0,01657145</c:v>
                </c:pt>
                <c:pt idx="807">
                  <c:v>0,01687145</c:v>
                </c:pt>
                <c:pt idx="808">
                  <c:v>0,01717145</c:v>
                </c:pt>
                <c:pt idx="809">
                  <c:v>0,01747145</c:v>
                </c:pt>
                <c:pt idx="810">
                  <c:v>0,01777145</c:v>
                </c:pt>
                <c:pt idx="811">
                  <c:v>0,01807145</c:v>
                </c:pt>
                <c:pt idx="812">
                  <c:v>0,01837145</c:v>
                </c:pt>
                <c:pt idx="813">
                  <c:v>0,01867145</c:v>
                </c:pt>
                <c:pt idx="814">
                  <c:v>0,01897145</c:v>
                </c:pt>
                <c:pt idx="815">
                  <c:v>0,01927145</c:v>
                </c:pt>
                <c:pt idx="816">
                  <c:v>0,01957145</c:v>
                </c:pt>
                <c:pt idx="817">
                  <c:v>0,01987145</c:v>
                </c:pt>
                <c:pt idx="818">
                  <c:v>0,02017145</c:v>
                </c:pt>
                <c:pt idx="819">
                  <c:v>0,02047145</c:v>
                </c:pt>
                <c:pt idx="820">
                  <c:v>0,02077145</c:v>
                </c:pt>
                <c:pt idx="821">
                  <c:v>0,02107145</c:v>
                </c:pt>
                <c:pt idx="822">
                  <c:v>0,02137145</c:v>
                </c:pt>
                <c:pt idx="823">
                  <c:v>0,02167145</c:v>
                </c:pt>
                <c:pt idx="824">
                  <c:v>0,02197145</c:v>
                </c:pt>
                <c:pt idx="825">
                  <c:v>0,02227145</c:v>
                </c:pt>
                <c:pt idx="826">
                  <c:v>0,02257145</c:v>
                </c:pt>
                <c:pt idx="827">
                  <c:v>0,02287145</c:v>
                </c:pt>
                <c:pt idx="828">
                  <c:v>0,02317145</c:v>
                </c:pt>
                <c:pt idx="829">
                  <c:v>0,02347145</c:v>
                </c:pt>
                <c:pt idx="830">
                  <c:v>0,02377145</c:v>
                </c:pt>
                <c:pt idx="831">
                  <c:v>0,02407145</c:v>
                </c:pt>
                <c:pt idx="832">
                  <c:v>0,02437145</c:v>
                </c:pt>
                <c:pt idx="833">
                  <c:v>0,02467145</c:v>
                </c:pt>
                <c:pt idx="834">
                  <c:v>0,02497145</c:v>
                </c:pt>
                <c:pt idx="835">
                  <c:v>0,02527145</c:v>
                </c:pt>
                <c:pt idx="836">
                  <c:v>0,02557145</c:v>
                </c:pt>
                <c:pt idx="837">
                  <c:v>0,02587145</c:v>
                </c:pt>
                <c:pt idx="838">
                  <c:v>0,02617145</c:v>
                </c:pt>
                <c:pt idx="839">
                  <c:v>0,02647145</c:v>
                </c:pt>
                <c:pt idx="840">
                  <c:v>0,02677145</c:v>
                </c:pt>
                <c:pt idx="841">
                  <c:v>0,02707145</c:v>
                </c:pt>
                <c:pt idx="842">
                  <c:v>0,02737145</c:v>
                </c:pt>
                <c:pt idx="843">
                  <c:v>0,02767145</c:v>
                </c:pt>
                <c:pt idx="844">
                  <c:v>0,02797145</c:v>
                </c:pt>
                <c:pt idx="845">
                  <c:v>0,02827145</c:v>
                </c:pt>
                <c:pt idx="846">
                  <c:v>0,02857145</c:v>
                </c:pt>
                <c:pt idx="847">
                  <c:v>0,02887145</c:v>
                </c:pt>
                <c:pt idx="848">
                  <c:v>0,02917145</c:v>
                </c:pt>
                <c:pt idx="849">
                  <c:v>0,02947145</c:v>
                </c:pt>
                <c:pt idx="850">
                  <c:v>0,02977145</c:v>
                </c:pt>
                <c:pt idx="851">
                  <c:v>0,03007145</c:v>
                </c:pt>
                <c:pt idx="852">
                  <c:v>0,03037145</c:v>
                </c:pt>
                <c:pt idx="853">
                  <c:v>0,03067145</c:v>
                </c:pt>
                <c:pt idx="854">
                  <c:v>0,03097145</c:v>
                </c:pt>
                <c:pt idx="855">
                  <c:v>0,03127145</c:v>
                </c:pt>
                <c:pt idx="856">
                  <c:v>0,03157145</c:v>
                </c:pt>
                <c:pt idx="857">
                  <c:v>0,03187145</c:v>
                </c:pt>
                <c:pt idx="858">
                  <c:v>0,03217145</c:v>
                </c:pt>
                <c:pt idx="859">
                  <c:v>0,03247145</c:v>
                </c:pt>
                <c:pt idx="860">
                  <c:v>0,03277145</c:v>
                </c:pt>
                <c:pt idx="861">
                  <c:v>0,03307145</c:v>
                </c:pt>
                <c:pt idx="862">
                  <c:v>0,03337145</c:v>
                </c:pt>
                <c:pt idx="863">
                  <c:v>0,03367145</c:v>
                </c:pt>
                <c:pt idx="864">
                  <c:v>0,03397145</c:v>
                </c:pt>
                <c:pt idx="865">
                  <c:v>0,03427145</c:v>
                </c:pt>
                <c:pt idx="866">
                  <c:v>0,03457145</c:v>
                </c:pt>
                <c:pt idx="867">
                  <c:v>0,03487145</c:v>
                </c:pt>
                <c:pt idx="868">
                  <c:v>0,03517145</c:v>
                </c:pt>
                <c:pt idx="869">
                  <c:v>0,03547145</c:v>
                </c:pt>
                <c:pt idx="870">
                  <c:v>0,03577145</c:v>
                </c:pt>
                <c:pt idx="871">
                  <c:v>0,03607145</c:v>
                </c:pt>
                <c:pt idx="872">
                  <c:v>0,03637145</c:v>
                </c:pt>
                <c:pt idx="873">
                  <c:v>0,03667145</c:v>
                </c:pt>
                <c:pt idx="874">
                  <c:v>0,03697145</c:v>
                </c:pt>
                <c:pt idx="875">
                  <c:v>0,03727145</c:v>
                </c:pt>
                <c:pt idx="876">
                  <c:v>0,03757145</c:v>
                </c:pt>
                <c:pt idx="877">
                  <c:v>0,03787145</c:v>
                </c:pt>
                <c:pt idx="878">
                  <c:v>0,03817145</c:v>
                </c:pt>
                <c:pt idx="879">
                  <c:v>0,03847145</c:v>
                </c:pt>
                <c:pt idx="880">
                  <c:v>0,03877145</c:v>
                </c:pt>
                <c:pt idx="881">
                  <c:v>0,03907145</c:v>
                </c:pt>
                <c:pt idx="882">
                  <c:v>0,03937145</c:v>
                </c:pt>
                <c:pt idx="883">
                  <c:v>0,03967145</c:v>
                </c:pt>
                <c:pt idx="884">
                  <c:v>0,03997145</c:v>
                </c:pt>
                <c:pt idx="885">
                  <c:v>0,04027145</c:v>
                </c:pt>
                <c:pt idx="886">
                  <c:v>0,04057145</c:v>
                </c:pt>
                <c:pt idx="887">
                  <c:v>0,04087145</c:v>
                </c:pt>
                <c:pt idx="888">
                  <c:v>0,04117145</c:v>
                </c:pt>
                <c:pt idx="889">
                  <c:v>0,04147145</c:v>
                </c:pt>
                <c:pt idx="890">
                  <c:v>0,04177145</c:v>
                </c:pt>
                <c:pt idx="891">
                  <c:v>0,04207145</c:v>
                </c:pt>
                <c:pt idx="892">
                  <c:v>0,04237145</c:v>
                </c:pt>
                <c:pt idx="893">
                  <c:v>0,04267145</c:v>
                </c:pt>
                <c:pt idx="894">
                  <c:v>0,04297145</c:v>
                </c:pt>
                <c:pt idx="895">
                  <c:v>0,04327145</c:v>
                </c:pt>
                <c:pt idx="896">
                  <c:v>0,04357145</c:v>
                </c:pt>
                <c:pt idx="897">
                  <c:v>0,04387145</c:v>
                </c:pt>
                <c:pt idx="898">
                  <c:v>0,04417145</c:v>
                </c:pt>
                <c:pt idx="899">
                  <c:v>0,04447145</c:v>
                </c:pt>
                <c:pt idx="900">
                  <c:v>0,04477145</c:v>
                </c:pt>
                <c:pt idx="901">
                  <c:v>0,04507145</c:v>
                </c:pt>
                <c:pt idx="902">
                  <c:v>0,04537145</c:v>
                </c:pt>
                <c:pt idx="903">
                  <c:v>0,04567145</c:v>
                </c:pt>
                <c:pt idx="904">
                  <c:v>0,04597145</c:v>
                </c:pt>
                <c:pt idx="905">
                  <c:v>0,04627145</c:v>
                </c:pt>
                <c:pt idx="906">
                  <c:v>0,04657145</c:v>
                </c:pt>
                <c:pt idx="907">
                  <c:v>0,04687145</c:v>
                </c:pt>
                <c:pt idx="908">
                  <c:v>0,04717145</c:v>
                </c:pt>
                <c:pt idx="909">
                  <c:v>0,04747145</c:v>
                </c:pt>
                <c:pt idx="910">
                  <c:v>0,04777145</c:v>
                </c:pt>
                <c:pt idx="911">
                  <c:v>0,04807145</c:v>
                </c:pt>
                <c:pt idx="912">
                  <c:v>0,04837145</c:v>
                </c:pt>
                <c:pt idx="913">
                  <c:v>0,04867145</c:v>
                </c:pt>
                <c:pt idx="914">
                  <c:v>0,04897145</c:v>
                </c:pt>
                <c:pt idx="915">
                  <c:v>0,04927145</c:v>
                </c:pt>
                <c:pt idx="916">
                  <c:v>0,04957145</c:v>
                </c:pt>
                <c:pt idx="917">
                  <c:v>0,04987145</c:v>
                </c:pt>
                <c:pt idx="918">
                  <c:v>0,05017145</c:v>
                </c:pt>
                <c:pt idx="919">
                  <c:v>0,05047145</c:v>
                </c:pt>
                <c:pt idx="920">
                  <c:v>0,05077145</c:v>
                </c:pt>
                <c:pt idx="921">
                  <c:v>0,05107145</c:v>
                </c:pt>
                <c:pt idx="922">
                  <c:v>0,05137145</c:v>
                </c:pt>
                <c:pt idx="923">
                  <c:v>0,05167145</c:v>
                </c:pt>
                <c:pt idx="924">
                  <c:v>0,05197145</c:v>
                </c:pt>
                <c:pt idx="925">
                  <c:v>0,05227145</c:v>
                </c:pt>
                <c:pt idx="926">
                  <c:v>0,05257145</c:v>
                </c:pt>
                <c:pt idx="927">
                  <c:v>0,05287145</c:v>
                </c:pt>
                <c:pt idx="928">
                  <c:v>0,05317145</c:v>
                </c:pt>
                <c:pt idx="929">
                  <c:v>0,05347145</c:v>
                </c:pt>
                <c:pt idx="930">
                  <c:v>0,05377145</c:v>
                </c:pt>
                <c:pt idx="931">
                  <c:v>0,05407145</c:v>
                </c:pt>
                <c:pt idx="932">
                  <c:v>0,05437145</c:v>
                </c:pt>
                <c:pt idx="933">
                  <c:v>0,05467145</c:v>
                </c:pt>
                <c:pt idx="934">
                  <c:v>0,05497145</c:v>
                </c:pt>
                <c:pt idx="935">
                  <c:v>0,05527145</c:v>
                </c:pt>
                <c:pt idx="936">
                  <c:v>0,05557145</c:v>
                </c:pt>
                <c:pt idx="937">
                  <c:v>0,05587145</c:v>
                </c:pt>
                <c:pt idx="938">
                  <c:v>0,05617145</c:v>
                </c:pt>
                <c:pt idx="939">
                  <c:v>0,05647145</c:v>
                </c:pt>
                <c:pt idx="940">
                  <c:v>0,05677145</c:v>
                </c:pt>
                <c:pt idx="941">
                  <c:v>0,05707145</c:v>
                </c:pt>
                <c:pt idx="942">
                  <c:v>0,05737145</c:v>
                </c:pt>
                <c:pt idx="943">
                  <c:v>0,05767145</c:v>
                </c:pt>
                <c:pt idx="944">
                  <c:v>0,05797145</c:v>
                </c:pt>
                <c:pt idx="945">
                  <c:v>0,05827145</c:v>
                </c:pt>
                <c:pt idx="946">
                  <c:v>0,05857145</c:v>
                </c:pt>
                <c:pt idx="947">
                  <c:v>0,05887145</c:v>
                </c:pt>
                <c:pt idx="948">
                  <c:v>0,05917145</c:v>
                </c:pt>
                <c:pt idx="949">
                  <c:v>0,05947145</c:v>
                </c:pt>
                <c:pt idx="950">
                  <c:v>0,05977145</c:v>
                </c:pt>
                <c:pt idx="951">
                  <c:v>0,06007145</c:v>
                </c:pt>
                <c:pt idx="952">
                  <c:v>0,06037145</c:v>
                </c:pt>
                <c:pt idx="953">
                  <c:v>0,06067145</c:v>
                </c:pt>
                <c:pt idx="954">
                  <c:v>0,06097145</c:v>
                </c:pt>
                <c:pt idx="955">
                  <c:v>0,06127145</c:v>
                </c:pt>
                <c:pt idx="956">
                  <c:v>0,06157145</c:v>
                </c:pt>
                <c:pt idx="957">
                  <c:v>0,06187145</c:v>
                </c:pt>
                <c:pt idx="958">
                  <c:v>0,06217145</c:v>
                </c:pt>
                <c:pt idx="959">
                  <c:v>0,06247145</c:v>
                </c:pt>
                <c:pt idx="960">
                  <c:v>0,06277145</c:v>
                </c:pt>
                <c:pt idx="961">
                  <c:v>0,06307145</c:v>
                </c:pt>
                <c:pt idx="962">
                  <c:v>0,06337145</c:v>
                </c:pt>
                <c:pt idx="963">
                  <c:v>0,06367145</c:v>
                </c:pt>
                <c:pt idx="964">
                  <c:v>0,06397145</c:v>
                </c:pt>
                <c:pt idx="965">
                  <c:v>0,06427145</c:v>
                </c:pt>
                <c:pt idx="966">
                  <c:v>0,06457145</c:v>
                </c:pt>
                <c:pt idx="967">
                  <c:v>0,06487145</c:v>
                </c:pt>
                <c:pt idx="968">
                  <c:v>0,06517145</c:v>
                </c:pt>
                <c:pt idx="969">
                  <c:v>0,06547145</c:v>
                </c:pt>
                <c:pt idx="970">
                  <c:v>0,06577145</c:v>
                </c:pt>
                <c:pt idx="971">
                  <c:v>0,06607145</c:v>
                </c:pt>
                <c:pt idx="972">
                  <c:v>0,06637145</c:v>
                </c:pt>
                <c:pt idx="973">
                  <c:v>0,06667145</c:v>
                </c:pt>
                <c:pt idx="974">
                  <c:v>0,06697145</c:v>
                </c:pt>
                <c:pt idx="975">
                  <c:v>0,06727145</c:v>
                </c:pt>
                <c:pt idx="976">
                  <c:v>0,06757145</c:v>
                </c:pt>
                <c:pt idx="977">
                  <c:v>0,06787145</c:v>
                </c:pt>
                <c:pt idx="978">
                  <c:v>0,06817145</c:v>
                </c:pt>
                <c:pt idx="979">
                  <c:v>0,06847145</c:v>
                </c:pt>
                <c:pt idx="980">
                  <c:v>0,06877145</c:v>
                </c:pt>
                <c:pt idx="981">
                  <c:v>0,06907145</c:v>
                </c:pt>
                <c:pt idx="982">
                  <c:v>0,06937145</c:v>
                </c:pt>
                <c:pt idx="983">
                  <c:v>0,06967145</c:v>
                </c:pt>
                <c:pt idx="984">
                  <c:v>0,06997145</c:v>
                </c:pt>
                <c:pt idx="985">
                  <c:v>0,07027145</c:v>
                </c:pt>
                <c:pt idx="986">
                  <c:v>0,07057145</c:v>
                </c:pt>
                <c:pt idx="987">
                  <c:v>0,07087145</c:v>
                </c:pt>
                <c:pt idx="988">
                  <c:v>0,07117145</c:v>
                </c:pt>
                <c:pt idx="989">
                  <c:v>0,07147145</c:v>
                </c:pt>
                <c:pt idx="990">
                  <c:v>0,07177145</c:v>
                </c:pt>
                <c:pt idx="991">
                  <c:v>0,07207145</c:v>
                </c:pt>
                <c:pt idx="992">
                  <c:v>0,07237145</c:v>
                </c:pt>
                <c:pt idx="993">
                  <c:v>0,07267145</c:v>
                </c:pt>
                <c:pt idx="994">
                  <c:v>0,07297145</c:v>
                </c:pt>
                <c:pt idx="995">
                  <c:v>0,07327145</c:v>
                </c:pt>
                <c:pt idx="996">
                  <c:v>0,07357145</c:v>
                </c:pt>
                <c:pt idx="997">
                  <c:v>0,07387145</c:v>
                </c:pt>
                <c:pt idx="998">
                  <c:v>0,07417145</c:v>
                </c:pt>
                <c:pt idx="999">
                  <c:v>0,07447145</c:v>
                </c:pt>
                <c:pt idx="1000">
                  <c:v>0,07477145</c:v>
                </c:pt>
                <c:pt idx="1001">
                  <c:v>0,07507145</c:v>
                </c:pt>
                <c:pt idx="1002">
                  <c:v>0,07537145</c:v>
                </c:pt>
                <c:pt idx="1003">
                  <c:v>0,07567145</c:v>
                </c:pt>
                <c:pt idx="1004">
                  <c:v>0,07597145</c:v>
                </c:pt>
                <c:pt idx="1005">
                  <c:v>0,07627145</c:v>
                </c:pt>
                <c:pt idx="1006">
                  <c:v>0,07657145</c:v>
                </c:pt>
                <c:pt idx="1007">
                  <c:v>0,07687145</c:v>
                </c:pt>
                <c:pt idx="1008">
                  <c:v>0,07717145</c:v>
                </c:pt>
                <c:pt idx="1009">
                  <c:v>0,07747145</c:v>
                </c:pt>
                <c:pt idx="1010">
                  <c:v>0,07777145</c:v>
                </c:pt>
                <c:pt idx="1011">
                  <c:v>0,07807145</c:v>
                </c:pt>
                <c:pt idx="1012">
                  <c:v>0,07837145</c:v>
                </c:pt>
                <c:pt idx="1013">
                  <c:v>0,07867145</c:v>
                </c:pt>
                <c:pt idx="1014">
                  <c:v>0,07897145</c:v>
                </c:pt>
                <c:pt idx="1015">
                  <c:v>0,07927145</c:v>
                </c:pt>
                <c:pt idx="1016">
                  <c:v>0,07957145</c:v>
                </c:pt>
                <c:pt idx="1017">
                  <c:v>0,07987145</c:v>
                </c:pt>
                <c:pt idx="1018">
                  <c:v>0,08017145</c:v>
                </c:pt>
                <c:pt idx="1019">
                  <c:v>0,08047145</c:v>
                </c:pt>
                <c:pt idx="1020">
                  <c:v>0,08077145</c:v>
                </c:pt>
                <c:pt idx="1021">
                  <c:v>0,08107145</c:v>
                </c:pt>
                <c:pt idx="1022">
                  <c:v>0,08137145</c:v>
                </c:pt>
                <c:pt idx="1023">
                  <c:v>0,08167145</c:v>
                </c:pt>
                <c:pt idx="1024">
                  <c:v>0,08197145</c:v>
                </c:pt>
              </c:strCache>
            </c:strRef>
          </c:xVal>
          <c:yVal>
            <c:numRef>
              <c:f>Estimation_1516!$K:$K</c:f>
              <c:numCache>
                <c:formatCode>General</c:formatCode>
                <c:ptCount val="1048576"/>
                <c:pt idx="1">
                  <c:v>0</c:v>
                </c:pt>
                <c:pt idx="2" formatCode="m/d/yyyy">
                  <c:v>0.01</c:v>
                </c:pt>
                <c:pt idx="3" formatCode="m/d/yyyy">
                  <c:v>0.01</c:v>
                </c:pt>
                <c:pt idx="4" formatCode="m/d/yyyy">
                  <c:v>0.01</c:v>
                </c:pt>
                <c:pt idx="5" formatCode="m/d/yyyy">
                  <c:v>0.01</c:v>
                </c:pt>
                <c:pt idx="6" formatCode="m/d/yyyy">
                  <c:v>0.01</c:v>
                </c:pt>
                <c:pt idx="7" formatCode="m/d/yyyy">
                  <c:v>0.01</c:v>
                </c:pt>
                <c:pt idx="8" formatCode="m/d/yyyy">
                  <c:v>0.01</c:v>
                </c:pt>
                <c:pt idx="9" formatCode="m/d/yyyy">
                  <c:v>0.01</c:v>
                </c:pt>
                <c:pt idx="10" formatCode="m/d/yyyy">
                  <c:v>0.01</c:v>
                </c:pt>
                <c:pt idx="11" formatCode="m/d/yyyy">
                  <c:v>0.01</c:v>
                </c:pt>
                <c:pt idx="12" formatCode="m/d/yyyy">
                  <c:v>0.01</c:v>
                </c:pt>
                <c:pt idx="13" formatCode="m/d/yyyy">
                  <c:v>0.01</c:v>
                </c:pt>
                <c:pt idx="14" formatCode="m/d/yyyy">
                  <c:v>0.01</c:v>
                </c:pt>
                <c:pt idx="15" formatCode="m/d/yyyy">
                  <c:v>0.01</c:v>
                </c:pt>
                <c:pt idx="16" formatCode="m/d/yyyy">
                  <c:v>0.01</c:v>
                </c:pt>
                <c:pt idx="17" formatCode="m/d/yyyy">
                  <c:v>0.01</c:v>
                </c:pt>
                <c:pt idx="18" formatCode="m/d/yyyy">
                  <c:v>0.01</c:v>
                </c:pt>
                <c:pt idx="19" formatCode="m/d/yyyy">
                  <c:v>0.01</c:v>
                </c:pt>
                <c:pt idx="20" formatCode="m/d/yyyy">
                  <c:v>0.01</c:v>
                </c:pt>
                <c:pt idx="21" formatCode="m/d/yyyy">
                  <c:v>0.01</c:v>
                </c:pt>
                <c:pt idx="22" formatCode="m/d/yyyy">
                  <c:v>0.01</c:v>
                </c:pt>
                <c:pt idx="23" formatCode="m/d/yyyy">
                  <c:v>0.01</c:v>
                </c:pt>
                <c:pt idx="24" formatCode="m/d/yyyy">
                  <c:v>0.01</c:v>
                </c:pt>
                <c:pt idx="25" formatCode="m/d/yyyy">
                  <c:v>0.01</c:v>
                </c:pt>
                <c:pt idx="26" formatCode="m/d/yyyy">
                  <c:v>0.01</c:v>
                </c:pt>
                <c:pt idx="27" formatCode="m/d/yyyy">
                  <c:v>0.01</c:v>
                </c:pt>
                <c:pt idx="28" formatCode="m/d/yyyy">
                  <c:v>0.01</c:v>
                </c:pt>
                <c:pt idx="29" formatCode="m/d/yyyy">
                  <c:v>0.01</c:v>
                </c:pt>
                <c:pt idx="30" formatCode="m/d/yyyy">
                  <c:v>0.01</c:v>
                </c:pt>
                <c:pt idx="31" formatCode="m/d/yyyy">
                  <c:v>0.01</c:v>
                </c:pt>
                <c:pt idx="32" formatCode="m/d/yyyy">
                  <c:v>0.01</c:v>
                </c:pt>
                <c:pt idx="33" formatCode="m/d/yyyy">
                  <c:v>0.01</c:v>
                </c:pt>
                <c:pt idx="34" formatCode="m/d/yyyy">
                  <c:v>0.01</c:v>
                </c:pt>
                <c:pt idx="35" formatCode="m/d/yyyy">
                  <c:v>0.01</c:v>
                </c:pt>
                <c:pt idx="36" formatCode="m/d/yyyy">
                  <c:v>0.01</c:v>
                </c:pt>
                <c:pt idx="37" formatCode="m/d/yyyy">
                  <c:v>0.01</c:v>
                </c:pt>
                <c:pt idx="38" formatCode="m/d/yyyy">
                  <c:v>0.01</c:v>
                </c:pt>
                <c:pt idx="39" formatCode="m/d/yyyy">
                  <c:v>0.01</c:v>
                </c:pt>
                <c:pt idx="40" formatCode="m/d/yyyy">
                  <c:v>0.01</c:v>
                </c:pt>
                <c:pt idx="41" formatCode="m/d/yyyy">
                  <c:v>0.01</c:v>
                </c:pt>
                <c:pt idx="42" formatCode="m/d/yyyy">
                  <c:v>0.01</c:v>
                </c:pt>
                <c:pt idx="43" formatCode="m/d/yyyy">
                  <c:v>0.01</c:v>
                </c:pt>
                <c:pt idx="44" formatCode="m/d/yyyy">
                  <c:v>0.01</c:v>
                </c:pt>
                <c:pt idx="45" formatCode="m/d/yyyy">
                  <c:v>0.01</c:v>
                </c:pt>
                <c:pt idx="46" formatCode="m/d/yyyy">
                  <c:v>0.01</c:v>
                </c:pt>
                <c:pt idx="47" formatCode="m/d/yyyy">
                  <c:v>0.01</c:v>
                </c:pt>
                <c:pt idx="48" formatCode="m/d/yyyy">
                  <c:v>0.01</c:v>
                </c:pt>
                <c:pt idx="49" formatCode="m/d/yyyy">
                  <c:v>0.01</c:v>
                </c:pt>
                <c:pt idx="50" formatCode="m/d/yyyy">
                  <c:v>0.01</c:v>
                </c:pt>
                <c:pt idx="51" formatCode="m/d/yyyy">
                  <c:v>0.01</c:v>
                </c:pt>
                <c:pt idx="52" formatCode="m/d/yyyy">
                  <c:v>0.01</c:v>
                </c:pt>
                <c:pt idx="53" formatCode="m/d/yyyy">
                  <c:v>0.01</c:v>
                </c:pt>
                <c:pt idx="54" formatCode="m/d/yyyy">
                  <c:v>0.01</c:v>
                </c:pt>
                <c:pt idx="55" formatCode="m/d/yyyy">
                  <c:v>0.01</c:v>
                </c:pt>
                <c:pt idx="56" formatCode="m/d/yyyy">
                  <c:v>0.01</c:v>
                </c:pt>
                <c:pt idx="57" formatCode="m/d/yyyy">
                  <c:v>0.01</c:v>
                </c:pt>
                <c:pt idx="58" formatCode="m/d/yyyy">
                  <c:v>0.01</c:v>
                </c:pt>
                <c:pt idx="59" formatCode="m/d/yyyy">
                  <c:v>0.01</c:v>
                </c:pt>
                <c:pt idx="60" formatCode="m/d/yyyy">
                  <c:v>0.01</c:v>
                </c:pt>
                <c:pt idx="61" formatCode="m/d/yyyy">
                  <c:v>0.01</c:v>
                </c:pt>
                <c:pt idx="62" formatCode="m/d/yyyy">
                  <c:v>0.01</c:v>
                </c:pt>
                <c:pt idx="63" formatCode="m/d/yyyy">
                  <c:v>0.01</c:v>
                </c:pt>
                <c:pt idx="64" formatCode="m/d/yyyy">
                  <c:v>0.01</c:v>
                </c:pt>
                <c:pt idx="65" formatCode="m/d/yyyy">
                  <c:v>0.01</c:v>
                </c:pt>
                <c:pt idx="66" formatCode="m/d/yyyy">
                  <c:v>0.01</c:v>
                </c:pt>
                <c:pt idx="67" formatCode="m/d/yyyy">
                  <c:v>0.01</c:v>
                </c:pt>
                <c:pt idx="68" formatCode="m/d/yyyy">
                  <c:v>0.01</c:v>
                </c:pt>
                <c:pt idx="69" formatCode="m/d/yyyy">
                  <c:v>0.01</c:v>
                </c:pt>
                <c:pt idx="70" formatCode="m/d/yyyy">
                  <c:v>0.01</c:v>
                </c:pt>
                <c:pt idx="71" formatCode="m/d/yyyy">
                  <c:v>0.01</c:v>
                </c:pt>
                <c:pt idx="72" formatCode="m/d/yyyy">
                  <c:v>0.01</c:v>
                </c:pt>
                <c:pt idx="73" formatCode="m/d/yyyy">
                  <c:v>0.01</c:v>
                </c:pt>
                <c:pt idx="74" formatCode="m/d/yyyy">
                  <c:v>0.01</c:v>
                </c:pt>
                <c:pt idx="75" formatCode="m/d/yyyy">
                  <c:v>0.01</c:v>
                </c:pt>
                <c:pt idx="76" formatCode="m/d/yyyy">
                  <c:v>0.01</c:v>
                </c:pt>
                <c:pt idx="77" formatCode="m/d/yyyy">
                  <c:v>0.01</c:v>
                </c:pt>
                <c:pt idx="78" formatCode="m/d/yyyy">
                  <c:v>0.01</c:v>
                </c:pt>
                <c:pt idx="79" formatCode="m/d/yyyy">
                  <c:v>0.01</c:v>
                </c:pt>
                <c:pt idx="80" formatCode="m/d/yyyy">
                  <c:v>0.01</c:v>
                </c:pt>
                <c:pt idx="81" formatCode="m/d/yyyy">
                  <c:v>0.01</c:v>
                </c:pt>
                <c:pt idx="82" formatCode="m/d/yyyy">
                  <c:v>0.01</c:v>
                </c:pt>
                <c:pt idx="83" formatCode="m/d/yyyy">
                  <c:v>0.01</c:v>
                </c:pt>
                <c:pt idx="84" formatCode="m/d/yyyy">
                  <c:v>0.01</c:v>
                </c:pt>
                <c:pt idx="85" formatCode="m/d/yyyy">
                  <c:v>0.01</c:v>
                </c:pt>
                <c:pt idx="86" formatCode="m/d/yyyy">
                  <c:v>0.01</c:v>
                </c:pt>
                <c:pt idx="87" formatCode="m/d/yyyy">
                  <c:v>0.01</c:v>
                </c:pt>
                <c:pt idx="88" formatCode="m/d/yyyy">
                  <c:v>0.01</c:v>
                </c:pt>
                <c:pt idx="89" formatCode="m/d/yyyy">
                  <c:v>0.01</c:v>
                </c:pt>
                <c:pt idx="90" formatCode="m/d/yyyy">
                  <c:v>0.01</c:v>
                </c:pt>
                <c:pt idx="91" formatCode="m/d/yyyy">
                  <c:v>0.01</c:v>
                </c:pt>
                <c:pt idx="92" formatCode="m/d/yyyy">
                  <c:v>0.01</c:v>
                </c:pt>
                <c:pt idx="93" formatCode="m/d/yyyy">
                  <c:v>0.01</c:v>
                </c:pt>
                <c:pt idx="94" formatCode="m/d/yyyy">
                  <c:v>0.01</c:v>
                </c:pt>
                <c:pt idx="95" formatCode="m/d/yyyy">
                  <c:v>0.01</c:v>
                </c:pt>
                <c:pt idx="96" formatCode="m/d/yyyy">
                  <c:v>0.01</c:v>
                </c:pt>
                <c:pt idx="97" formatCode="m/d/yyyy">
                  <c:v>0.01</c:v>
                </c:pt>
                <c:pt idx="98" formatCode="m/d/yyyy">
                  <c:v>0.01</c:v>
                </c:pt>
                <c:pt idx="99" formatCode="m/d/yyyy">
                  <c:v>0.01</c:v>
                </c:pt>
                <c:pt idx="100" formatCode="m/d/yyyy">
                  <c:v>0.01</c:v>
                </c:pt>
                <c:pt idx="101" formatCode="m/d/yyyy">
                  <c:v>0.01</c:v>
                </c:pt>
                <c:pt idx="102" formatCode="m/d/yyyy">
                  <c:v>0.01</c:v>
                </c:pt>
                <c:pt idx="103" formatCode="m/d/yyyy">
                  <c:v>0.01</c:v>
                </c:pt>
                <c:pt idx="104" formatCode="m/d/yyyy">
                  <c:v>0.01</c:v>
                </c:pt>
                <c:pt idx="105" formatCode="m/d/yyyy">
                  <c:v>0.01</c:v>
                </c:pt>
                <c:pt idx="106" formatCode="m/d/yyyy">
                  <c:v>0.01</c:v>
                </c:pt>
                <c:pt idx="107" formatCode="m/d/yyyy">
                  <c:v>0.01</c:v>
                </c:pt>
                <c:pt idx="108" formatCode="m/d/yyyy">
                  <c:v>0.01</c:v>
                </c:pt>
                <c:pt idx="109" formatCode="m/d/yyyy">
                  <c:v>0.01</c:v>
                </c:pt>
                <c:pt idx="110" formatCode="m/d/yyyy">
                  <c:v>0.01</c:v>
                </c:pt>
                <c:pt idx="111" formatCode="m/d/yyyy">
                  <c:v>0.01</c:v>
                </c:pt>
                <c:pt idx="112" formatCode="m/d/yyyy">
                  <c:v>0.01</c:v>
                </c:pt>
                <c:pt idx="113" formatCode="m/d/yyyy">
                  <c:v>0.01</c:v>
                </c:pt>
                <c:pt idx="114" formatCode="m/d/yyyy">
                  <c:v>0.01</c:v>
                </c:pt>
                <c:pt idx="115" formatCode="m/d/yyyy">
                  <c:v>0.01</c:v>
                </c:pt>
                <c:pt idx="116" formatCode="m/d/yyyy">
                  <c:v>0.01</c:v>
                </c:pt>
                <c:pt idx="117" formatCode="m/d/yyyy">
                  <c:v>0.01</c:v>
                </c:pt>
                <c:pt idx="118" formatCode="m/d/yyyy">
                  <c:v>0.01</c:v>
                </c:pt>
                <c:pt idx="119" formatCode="m/d/yyyy">
                  <c:v>0.01</c:v>
                </c:pt>
                <c:pt idx="120" formatCode="m/d/yyyy">
                  <c:v>0.01</c:v>
                </c:pt>
                <c:pt idx="121" formatCode="m/d/yyyy">
                  <c:v>0.01</c:v>
                </c:pt>
                <c:pt idx="122" formatCode="m/d/yyyy">
                  <c:v>0.01</c:v>
                </c:pt>
                <c:pt idx="123" formatCode="m/d/yyyy">
                  <c:v>0.01</c:v>
                </c:pt>
                <c:pt idx="124" formatCode="m/d/yyyy">
                  <c:v>0.01</c:v>
                </c:pt>
                <c:pt idx="125" formatCode="m/d/yyyy">
                  <c:v>0.01</c:v>
                </c:pt>
                <c:pt idx="126" formatCode="m/d/yyyy">
                  <c:v>0.01</c:v>
                </c:pt>
                <c:pt idx="127" formatCode="m/d/yyyy">
                  <c:v>0.01</c:v>
                </c:pt>
                <c:pt idx="128" formatCode="m/d/yyyy">
                  <c:v>0.01</c:v>
                </c:pt>
                <c:pt idx="129" formatCode="m/d/yyyy">
                  <c:v>0.01</c:v>
                </c:pt>
                <c:pt idx="130" formatCode="m/d/yyyy">
                  <c:v>0.01</c:v>
                </c:pt>
                <c:pt idx="131" formatCode="m/d/yyyy">
                  <c:v>0.01</c:v>
                </c:pt>
                <c:pt idx="132" formatCode="m/d/yyyy">
                  <c:v>0.01</c:v>
                </c:pt>
                <c:pt idx="133" formatCode="m/d/yyyy">
                  <c:v>0.01</c:v>
                </c:pt>
                <c:pt idx="134" formatCode="m/d/yyyy">
                  <c:v>0.01</c:v>
                </c:pt>
                <c:pt idx="135" formatCode="m/d/yyyy">
                  <c:v>0.01</c:v>
                </c:pt>
                <c:pt idx="136" formatCode="m/d/yyyy">
                  <c:v>0.01</c:v>
                </c:pt>
                <c:pt idx="137" formatCode="m/d/yyyy">
                  <c:v>0.01</c:v>
                </c:pt>
                <c:pt idx="138" formatCode="m/d/yyyy">
                  <c:v>0.01</c:v>
                </c:pt>
                <c:pt idx="139" formatCode="m/d/yyyy">
                  <c:v>0.01</c:v>
                </c:pt>
                <c:pt idx="140" formatCode="m/d/yyyy">
                  <c:v>0.01</c:v>
                </c:pt>
                <c:pt idx="141" formatCode="m/d/yyyy">
                  <c:v>0.01</c:v>
                </c:pt>
                <c:pt idx="142" formatCode="m/d/yyyy">
                  <c:v>0.01</c:v>
                </c:pt>
                <c:pt idx="143" formatCode="m/d/yyyy">
                  <c:v>0.01</c:v>
                </c:pt>
                <c:pt idx="144" formatCode="m/d/yyyy">
                  <c:v>0.01</c:v>
                </c:pt>
                <c:pt idx="145" formatCode="m/d/yyyy">
                  <c:v>0.01</c:v>
                </c:pt>
                <c:pt idx="146" formatCode="m/d/yyyy">
                  <c:v>0.01</c:v>
                </c:pt>
                <c:pt idx="147" formatCode="m/d/yyyy">
                  <c:v>0.01</c:v>
                </c:pt>
                <c:pt idx="148" formatCode="m/d/yyyy">
                  <c:v>0.01</c:v>
                </c:pt>
                <c:pt idx="149" formatCode="m/d/yyyy">
                  <c:v>0.01</c:v>
                </c:pt>
                <c:pt idx="150" formatCode="m/d/yyyy">
                  <c:v>0.01</c:v>
                </c:pt>
                <c:pt idx="151" formatCode="m/d/yyyy">
                  <c:v>0.01</c:v>
                </c:pt>
                <c:pt idx="152" formatCode="m/d/yyyy">
                  <c:v>0.01</c:v>
                </c:pt>
                <c:pt idx="153" formatCode="m/d/yyyy">
                  <c:v>0.01</c:v>
                </c:pt>
                <c:pt idx="154" formatCode="m/d/yyyy">
                  <c:v>0.01</c:v>
                </c:pt>
                <c:pt idx="155" formatCode="m/d/yyyy">
                  <c:v>0.01</c:v>
                </c:pt>
                <c:pt idx="156" formatCode="m/d/yyyy">
                  <c:v>0.01</c:v>
                </c:pt>
                <c:pt idx="157" formatCode="m/d/yyyy">
                  <c:v>0.01</c:v>
                </c:pt>
                <c:pt idx="158" formatCode="m/d/yyyy">
                  <c:v>0.01</c:v>
                </c:pt>
                <c:pt idx="159" formatCode="m/d/yyyy">
                  <c:v>0.01</c:v>
                </c:pt>
                <c:pt idx="160" formatCode="m/d/yyyy">
                  <c:v>0.01</c:v>
                </c:pt>
                <c:pt idx="161" formatCode="m/d/yyyy">
                  <c:v>0.01</c:v>
                </c:pt>
                <c:pt idx="162" formatCode="m/d/yyyy">
                  <c:v>0.01</c:v>
                </c:pt>
                <c:pt idx="163" formatCode="m/d/yyyy">
                  <c:v>0.01</c:v>
                </c:pt>
                <c:pt idx="164" formatCode="m/d/yyyy">
                  <c:v>0.01</c:v>
                </c:pt>
                <c:pt idx="165" formatCode="m/d/yyyy">
                  <c:v>0.01</c:v>
                </c:pt>
                <c:pt idx="166" formatCode="m/d/yyyy">
                  <c:v>0.01</c:v>
                </c:pt>
                <c:pt idx="167" formatCode="m/d/yyyy">
                  <c:v>0.01</c:v>
                </c:pt>
                <c:pt idx="168" formatCode="m/d/yyyy">
                  <c:v>0.01</c:v>
                </c:pt>
                <c:pt idx="169" formatCode="m/d/yyyy">
                  <c:v>0.01</c:v>
                </c:pt>
                <c:pt idx="170" formatCode="m/d/yyyy">
                  <c:v>0.01</c:v>
                </c:pt>
                <c:pt idx="171" formatCode="m/d/yyyy">
                  <c:v>0.01</c:v>
                </c:pt>
                <c:pt idx="172" formatCode="m/d/yyyy">
                  <c:v>0.01</c:v>
                </c:pt>
                <c:pt idx="173" formatCode="m/d/yyyy">
                  <c:v>0.01</c:v>
                </c:pt>
                <c:pt idx="174" formatCode="m/d/yyyy">
                  <c:v>0.01</c:v>
                </c:pt>
                <c:pt idx="175" formatCode="m/d/yyyy">
                  <c:v>0.01</c:v>
                </c:pt>
                <c:pt idx="176" formatCode="m/d/yyyy">
                  <c:v>0.01</c:v>
                </c:pt>
                <c:pt idx="177" formatCode="m/d/yyyy">
                  <c:v>0.01</c:v>
                </c:pt>
                <c:pt idx="178" formatCode="m/d/yyyy">
                  <c:v>0.01</c:v>
                </c:pt>
                <c:pt idx="179" formatCode="m/d/yyyy">
                  <c:v>0.01</c:v>
                </c:pt>
                <c:pt idx="180" formatCode="m/d/yyyy">
                  <c:v>0.01</c:v>
                </c:pt>
                <c:pt idx="181" formatCode="m/d/yyyy">
                  <c:v>0.01</c:v>
                </c:pt>
                <c:pt idx="182" formatCode="m/d/yyyy">
                  <c:v>0.01</c:v>
                </c:pt>
                <c:pt idx="183" formatCode="m/d/yyyy">
                  <c:v>0.01</c:v>
                </c:pt>
                <c:pt idx="184" formatCode="m/d/yyyy">
                  <c:v>0.01</c:v>
                </c:pt>
                <c:pt idx="185" formatCode="m/d/yyyy">
                  <c:v>0.01</c:v>
                </c:pt>
                <c:pt idx="186" formatCode="m/d/yyyy">
                  <c:v>0.01</c:v>
                </c:pt>
                <c:pt idx="187" formatCode="m/d/yyyy">
                  <c:v>0.01</c:v>
                </c:pt>
                <c:pt idx="188" formatCode="m/d/yyyy">
                  <c:v>0.01</c:v>
                </c:pt>
                <c:pt idx="189" formatCode="m/d/yyyy">
                  <c:v>0.01</c:v>
                </c:pt>
                <c:pt idx="190" formatCode="m/d/yyyy">
                  <c:v>0.01</c:v>
                </c:pt>
                <c:pt idx="191" formatCode="m/d/yyyy">
                  <c:v>0.01</c:v>
                </c:pt>
                <c:pt idx="192" formatCode="m/d/yyyy">
                  <c:v>0.01</c:v>
                </c:pt>
                <c:pt idx="193" formatCode="m/d/yyyy">
                  <c:v>0.01</c:v>
                </c:pt>
                <c:pt idx="194" formatCode="m/d/yyyy">
                  <c:v>0.01</c:v>
                </c:pt>
                <c:pt idx="195" formatCode="m/d/yyyy">
                  <c:v>0.01</c:v>
                </c:pt>
                <c:pt idx="196" formatCode="m/d/yyyy">
                  <c:v>0.01</c:v>
                </c:pt>
                <c:pt idx="197" formatCode="m/d/yyyy">
                  <c:v>0.01</c:v>
                </c:pt>
                <c:pt idx="198" formatCode="m/d/yyyy">
                  <c:v>0.01</c:v>
                </c:pt>
                <c:pt idx="199" formatCode="m/d/yyyy">
                  <c:v>0.01</c:v>
                </c:pt>
                <c:pt idx="200" formatCode="m/d/yyyy">
                  <c:v>0.01</c:v>
                </c:pt>
                <c:pt idx="201" formatCode="m/d/yyyy">
                  <c:v>0.01</c:v>
                </c:pt>
                <c:pt idx="202" formatCode="m/d/yyyy">
                  <c:v>0.01</c:v>
                </c:pt>
                <c:pt idx="203" formatCode="m/d/yyyy">
                  <c:v>0.01</c:v>
                </c:pt>
                <c:pt idx="204" formatCode="m/d/yyyy">
                  <c:v>0.01</c:v>
                </c:pt>
                <c:pt idx="205" formatCode="m/d/yyyy">
                  <c:v>0.01</c:v>
                </c:pt>
                <c:pt idx="206" formatCode="m/d/yyyy">
                  <c:v>0.01</c:v>
                </c:pt>
                <c:pt idx="207" formatCode="m/d/yyyy">
                  <c:v>0.01</c:v>
                </c:pt>
                <c:pt idx="208" formatCode="m/d/yyyy">
                  <c:v>0.01</c:v>
                </c:pt>
                <c:pt idx="209" formatCode="m/d/yyyy">
                  <c:v>0.01</c:v>
                </c:pt>
                <c:pt idx="210" formatCode="m/d/yyyy">
                  <c:v>0.01</c:v>
                </c:pt>
                <c:pt idx="211" formatCode="m/d/yyyy">
                  <c:v>0.01</c:v>
                </c:pt>
                <c:pt idx="212" formatCode="m/d/yyyy">
                  <c:v>0.01</c:v>
                </c:pt>
                <c:pt idx="213" formatCode="m/d/yyyy">
                  <c:v>0.01</c:v>
                </c:pt>
                <c:pt idx="214" formatCode="m/d/yyyy">
                  <c:v>0.01</c:v>
                </c:pt>
                <c:pt idx="215" formatCode="m/d/yyyy">
                  <c:v>0.01</c:v>
                </c:pt>
                <c:pt idx="216" formatCode="m/d/yyyy">
                  <c:v>0.01</c:v>
                </c:pt>
                <c:pt idx="217" formatCode="m/d/yyyy">
                  <c:v>0.01</c:v>
                </c:pt>
                <c:pt idx="218" formatCode="m/d/yyyy">
                  <c:v>0.01</c:v>
                </c:pt>
                <c:pt idx="219" formatCode="m/d/yyyy">
                  <c:v>0.01</c:v>
                </c:pt>
                <c:pt idx="220" formatCode="m/d/yyyy">
                  <c:v>0.01</c:v>
                </c:pt>
                <c:pt idx="221" formatCode="m/d/yyyy">
                  <c:v>0.01</c:v>
                </c:pt>
                <c:pt idx="222" formatCode="m/d/yyyy">
                  <c:v>0.01</c:v>
                </c:pt>
                <c:pt idx="223" formatCode="m/d/yyyy">
                  <c:v>0.01</c:v>
                </c:pt>
                <c:pt idx="224" formatCode="m/d/yyyy">
                  <c:v>0.01</c:v>
                </c:pt>
                <c:pt idx="225" formatCode="m/d/yyyy">
                  <c:v>0.01</c:v>
                </c:pt>
                <c:pt idx="226" formatCode="m/d/yyyy">
                  <c:v>0.01</c:v>
                </c:pt>
                <c:pt idx="227" formatCode="m/d/yyyy">
                  <c:v>0.01</c:v>
                </c:pt>
                <c:pt idx="228" formatCode="m/d/yyyy">
                  <c:v>0.01</c:v>
                </c:pt>
                <c:pt idx="229" formatCode="m/d/yyyy">
                  <c:v>0.01</c:v>
                </c:pt>
                <c:pt idx="230" formatCode="m/d/yyyy">
                  <c:v>0.01</c:v>
                </c:pt>
                <c:pt idx="231" formatCode="m/d/yyyy">
                  <c:v>0.01</c:v>
                </c:pt>
                <c:pt idx="232" formatCode="m/d/yyyy">
                  <c:v>0.01</c:v>
                </c:pt>
                <c:pt idx="233" formatCode="m/d/yyyy">
                  <c:v>0.01</c:v>
                </c:pt>
                <c:pt idx="234" formatCode="m/d/yyyy">
                  <c:v>0.01</c:v>
                </c:pt>
                <c:pt idx="235" formatCode="m/d/yyyy">
                  <c:v>0.01</c:v>
                </c:pt>
                <c:pt idx="236" formatCode="m/d/yyyy">
                  <c:v>0.01</c:v>
                </c:pt>
                <c:pt idx="237" formatCode="m/d/yyyy">
                  <c:v>0.01</c:v>
                </c:pt>
                <c:pt idx="238" formatCode="m/d/yyyy">
                  <c:v>0.01</c:v>
                </c:pt>
                <c:pt idx="239" formatCode="m/d/yyyy">
                  <c:v>0.01</c:v>
                </c:pt>
                <c:pt idx="240" formatCode="m/d/yyyy">
                  <c:v>0.01</c:v>
                </c:pt>
                <c:pt idx="241" formatCode="m/d/yyyy">
                  <c:v>0.01</c:v>
                </c:pt>
                <c:pt idx="242" formatCode="m/d/yyyy">
                  <c:v>0.01</c:v>
                </c:pt>
                <c:pt idx="243" formatCode="m/d/yyyy">
                  <c:v>0.01</c:v>
                </c:pt>
                <c:pt idx="244" formatCode="m/d/yyyy">
                  <c:v>0.01</c:v>
                </c:pt>
                <c:pt idx="245" formatCode="m/d/yyyy">
                  <c:v>0.01</c:v>
                </c:pt>
                <c:pt idx="246" formatCode="m/d/yyyy">
                  <c:v>0.01</c:v>
                </c:pt>
                <c:pt idx="247" formatCode="m/d/yyyy">
                  <c:v>0.01</c:v>
                </c:pt>
                <c:pt idx="248" formatCode="m/d/yyyy">
                  <c:v>0.01</c:v>
                </c:pt>
                <c:pt idx="249" formatCode="m/d/yyyy">
                  <c:v>0.01</c:v>
                </c:pt>
                <c:pt idx="250" formatCode="m/d/yyyy">
                  <c:v>0.01</c:v>
                </c:pt>
                <c:pt idx="251" formatCode="m/d/yyyy">
                  <c:v>0.01</c:v>
                </c:pt>
                <c:pt idx="252" formatCode="m/d/yyyy">
                  <c:v>0.01</c:v>
                </c:pt>
                <c:pt idx="253" formatCode="m/d/yyyy">
                  <c:v>0.01</c:v>
                </c:pt>
                <c:pt idx="254" formatCode="m/d/yyyy">
                  <c:v>0.01</c:v>
                </c:pt>
                <c:pt idx="255" formatCode="m/d/yyyy">
                  <c:v>0.01</c:v>
                </c:pt>
                <c:pt idx="256" formatCode="m/d/yyyy">
                  <c:v>0.01</c:v>
                </c:pt>
                <c:pt idx="257" formatCode="m/d/yyyy">
                  <c:v>0.01</c:v>
                </c:pt>
                <c:pt idx="258" formatCode="m/d/yyyy">
                  <c:v>0.01</c:v>
                </c:pt>
                <c:pt idx="259" formatCode="m/d/yyyy">
                  <c:v>0.01</c:v>
                </c:pt>
                <c:pt idx="260" formatCode="m/d/yyyy">
                  <c:v>0.01</c:v>
                </c:pt>
                <c:pt idx="261" formatCode="m/d/yyyy">
                  <c:v>0.01</c:v>
                </c:pt>
                <c:pt idx="262" formatCode="m/d/yyyy">
                  <c:v>0.01</c:v>
                </c:pt>
                <c:pt idx="263" formatCode="m/d/yyyy">
                  <c:v>0.01</c:v>
                </c:pt>
                <c:pt idx="264" formatCode="m/d/yyyy">
                  <c:v>0.01</c:v>
                </c:pt>
                <c:pt idx="265" formatCode="m/d/yyyy">
                  <c:v>0.01</c:v>
                </c:pt>
                <c:pt idx="266" formatCode="m/d/yyyy">
                  <c:v>0.01</c:v>
                </c:pt>
                <c:pt idx="267" formatCode="m/d/yyyy">
                  <c:v>0.01</c:v>
                </c:pt>
                <c:pt idx="268" formatCode="m/d/yyyy">
                  <c:v>0.01</c:v>
                </c:pt>
                <c:pt idx="269" formatCode="m/d/yyyy">
                  <c:v>0.01</c:v>
                </c:pt>
                <c:pt idx="270" formatCode="m/d/yyyy">
                  <c:v>0.01</c:v>
                </c:pt>
                <c:pt idx="271" formatCode="m/d/yyyy">
                  <c:v>0.01</c:v>
                </c:pt>
                <c:pt idx="272" formatCode="m/d/yyyy">
                  <c:v>0.01</c:v>
                </c:pt>
                <c:pt idx="273" formatCode="m/d/yyyy">
                  <c:v>0.01</c:v>
                </c:pt>
                <c:pt idx="274" formatCode="m/d/yyyy">
                  <c:v>0.01</c:v>
                </c:pt>
                <c:pt idx="275" formatCode="m/d/yyyy">
                  <c:v>0.01</c:v>
                </c:pt>
                <c:pt idx="276" formatCode="m/d/yyyy">
                  <c:v>0.01</c:v>
                </c:pt>
                <c:pt idx="277" formatCode="m/d/yyyy">
                  <c:v>0.01</c:v>
                </c:pt>
                <c:pt idx="278" formatCode="m/d/yyyy">
                  <c:v>0.01</c:v>
                </c:pt>
                <c:pt idx="279" formatCode="m/d/yyyy">
                  <c:v>0.01</c:v>
                </c:pt>
                <c:pt idx="280" formatCode="m/d/yyyy">
                  <c:v>0.01</c:v>
                </c:pt>
                <c:pt idx="281" formatCode="m/d/yyyy">
                  <c:v>0.01</c:v>
                </c:pt>
                <c:pt idx="282" formatCode="m/d/yyyy">
                  <c:v>0.01</c:v>
                </c:pt>
                <c:pt idx="283" formatCode="m/d/yyyy">
                  <c:v>0.01</c:v>
                </c:pt>
                <c:pt idx="284" formatCode="m/d/yyyy">
                  <c:v>0.01</c:v>
                </c:pt>
                <c:pt idx="285" formatCode="m/d/yyyy">
                  <c:v>0.01</c:v>
                </c:pt>
                <c:pt idx="286" formatCode="m/d/yyyy">
                  <c:v>0.01</c:v>
                </c:pt>
                <c:pt idx="287" formatCode="m/d/yyyy">
                  <c:v>0.01</c:v>
                </c:pt>
                <c:pt idx="288" formatCode="m/d/yyyy">
                  <c:v>0.01</c:v>
                </c:pt>
                <c:pt idx="289" formatCode="m/d/yyyy">
                  <c:v>0.01</c:v>
                </c:pt>
                <c:pt idx="290" formatCode="m/d/yyyy">
                  <c:v>0.01</c:v>
                </c:pt>
                <c:pt idx="291" formatCode="m/d/yyyy">
                  <c:v>0.01</c:v>
                </c:pt>
                <c:pt idx="292" formatCode="m/d/yyyy">
                  <c:v>0.01</c:v>
                </c:pt>
                <c:pt idx="293" formatCode="m/d/yyyy">
                  <c:v>0.01</c:v>
                </c:pt>
                <c:pt idx="294" formatCode="m/d/yyyy">
                  <c:v>0.01</c:v>
                </c:pt>
                <c:pt idx="295" formatCode="m/d/yyyy">
                  <c:v>0.01</c:v>
                </c:pt>
                <c:pt idx="296" formatCode="m/d/yyyy">
                  <c:v>0.01</c:v>
                </c:pt>
                <c:pt idx="297" formatCode="m/d/yyyy">
                  <c:v>0.01</c:v>
                </c:pt>
                <c:pt idx="298" formatCode="m/d/yyyy">
                  <c:v>0.01</c:v>
                </c:pt>
                <c:pt idx="299" formatCode="m/d/yyyy">
                  <c:v>0.01</c:v>
                </c:pt>
                <c:pt idx="300" formatCode="m/d/yyyy">
                  <c:v>0.01</c:v>
                </c:pt>
                <c:pt idx="301" formatCode="m/d/yyyy">
                  <c:v>0.01</c:v>
                </c:pt>
                <c:pt idx="302" formatCode="m/d/yyyy">
                  <c:v>0.01</c:v>
                </c:pt>
                <c:pt idx="303" formatCode="m/d/yyyy">
                  <c:v>0.01</c:v>
                </c:pt>
                <c:pt idx="304" formatCode="m/d/yyyy">
                  <c:v>0.01</c:v>
                </c:pt>
                <c:pt idx="305" formatCode="m/d/yyyy">
                  <c:v>0.01</c:v>
                </c:pt>
                <c:pt idx="306" formatCode="m/d/yyyy">
                  <c:v>0.01</c:v>
                </c:pt>
                <c:pt idx="307" formatCode="m/d/yyyy">
                  <c:v>0.01</c:v>
                </c:pt>
                <c:pt idx="308" formatCode="m/d/yyyy">
                  <c:v>0.01</c:v>
                </c:pt>
                <c:pt idx="309" formatCode="m/d/yyyy">
                  <c:v>0.01</c:v>
                </c:pt>
                <c:pt idx="310" formatCode="m/d/yyyy">
                  <c:v>0.01</c:v>
                </c:pt>
                <c:pt idx="311" formatCode="m/d/yyyy">
                  <c:v>0.01</c:v>
                </c:pt>
                <c:pt idx="312" formatCode="m/d/yyyy">
                  <c:v>0.01</c:v>
                </c:pt>
                <c:pt idx="313" formatCode="m/d/yyyy">
                  <c:v>0.01</c:v>
                </c:pt>
                <c:pt idx="314" formatCode="m/d/yyyy">
                  <c:v>0.01</c:v>
                </c:pt>
                <c:pt idx="315" formatCode="m/d/yyyy">
                  <c:v>0.01</c:v>
                </c:pt>
                <c:pt idx="316" formatCode="m/d/yyyy">
                  <c:v>0.01</c:v>
                </c:pt>
                <c:pt idx="317" formatCode="m/d/yyyy">
                  <c:v>0.01</c:v>
                </c:pt>
                <c:pt idx="318" formatCode="m/d/yyyy">
                  <c:v>0.01</c:v>
                </c:pt>
                <c:pt idx="319" formatCode="m/d/yyyy">
                  <c:v>0.01</c:v>
                </c:pt>
                <c:pt idx="320" formatCode="m/d/yyyy">
                  <c:v>0.01</c:v>
                </c:pt>
                <c:pt idx="321" formatCode="m/d/yyyy">
                  <c:v>0.01</c:v>
                </c:pt>
                <c:pt idx="322" formatCode="m/d/yyyy">
                  <c:v>0.01</c:v>
                </c:pt>
                <c:pt idx="323" formatCode="m/d/yyyy">
                  <c:v>0.01</c:v>
                </c:pt>
                <c:pt idx="324" formatCode="m/d/yyyy">
                  <c:v>0.01</c:v>
                </c:pt>
                <c:pt idx="325" formatCode="m/d/yyyy">
                  <c:v>0.01</c:v>
                </c:pt>
                <c:pt idx="326" formatCode="m/d/yyyy">
                  <c:v>0.01</c:v>
                </c:pt>
                <c:pt idx="327" formatCode="m/d/yyyy">
                  <c:v>0.01</c:v>
                </c:pt>
                <c:pt idx="328" formatCode="m/d/yyyy">
                  <c:v>0.01</c:v>
                </c:pt>
                <c:pt idx="329" formatCode="m/d/yyyy">
                  <c:v>0.01</c:v>
                </c:pt>
                <c:pt idx="330" formatCode="m/d/yyyy">
                  <c:v>0.01</c:v>
                </c:pt>
                <c:pt idx="331" formatCode="m/d/yyyy">
                  <c:v>0.01</c:v>
                </c:pt>
                <c:pt idx="332" formatCode="m/d/yyyy">
                  <c:v>0.01</c:v>
                </c:pt>
                <c:pt idx="333" formatCode="m/d/yyyy">
                  <c:v>0.01</c:v>
                </c:pt>
                <c:pt idx="334" formatCode="m/d/yyyy">
                  <c:v>0.01</c:v>
                </c:pt>
                <c:pt idx="335" formatCode="m/d/yyyy">
                  <c:v>0.01</c:v>
                </c:pt>
                <c:pt idx="336" formatCode="m/d/yyyy">
                  <c:v>0.01</c:v>
                </c:pt>
                <c:pt idx="337" formatCode="m/d/yyyy">
                  <c:v>0.01</c:v>
                </c:pt>
                <c:pt idx="338" formatCode="m/d/yyyy">
                  <c:v>0.01</c:v>
                </c:pt>
                <c:pt idx="339" formatCode="m/d/yyyy">
                  <c:v>0.01</c:v>
                </c:pt>
                <c:pt idx="340" formatCode="m/d/yyyy">
                  <c:v>0.01</c:v>
                </c:pt>
                <c:pt idx="341" formatCode="m/d/yyyy">
                  <c:v>0.01</c:v>
                </c:pt>
                <c:pt idx="342" formatCode="m/d/yyyy">
                  <c:v>0.01</c:v>
                </c:pt>
                <c:pt idx="343" formatCode="m/d/yyyy">
                  <c:v>0.01</c:v>
                </c:pt>
                <c:pt idx="344" formatCode="m/d/yyyy">
                  <c:v>0.01</c:v>
                </c:pt>
                <c:pt idx="345" formatCode="m/d/yyyy">
                  <c:v>0.01</c:v>
                </c:pt>
                <c:pt idx="346" formatCode="m/d/yyyy">
                  <c:v>0.01</c:v>
                </c:pt>
                <c:pt idx="347" formatCode="m/d/yyyy">
                  <c:v>0.01</c:v>
                </c:pt>
                <c:pt idx="348" formatCode="m/d/yyyy">
                  <c:v>0.01</c:v>
                </c:pt>
                <c:pt idx="349" formatCode="m/d/yyyy">
                  <c:v>0.01</c:v>
                </c:pt>
                <c:pt idx="350" formatCode="m/d/yyyy">
                  <c:v>0.01</c:v>
                </c:pt>
                <c:pt idx="351" formatCode="m/d/yyyy">
                  <c:v>0.01</c:v>
                </c:pt>
                <c:pt idx="352" formatCode="m/d/yyyy">
                  <c:v>0.01</c:v>
                </c:pt>
                <c:pt idx="353" formatCode="m/d/yyyy">
                  <c:v>0.01</c:v>
                </c:pt>
                <c:pt idx="354" formatCode="m/d/yyyy">
                  <c:v>0.01</c:v>
                </c:pt>
                <c:pt idx="355" formatCode="m/d/yyyy">
                  <c:v>0.01</c:v>
                </c:pt>
                <c:pt idx="356" formatCode="m/d/yyyy">
                  <c:v>0.01</c:v>
                </c:pt>
                <c:pt idx="357" formatCode="m/d/yyyy">
                  <c:v>0.01</c:v>
                </c:pt>
                <c:pt idx="358" formatCode="m/d/yyyy">
                  <c:v>0.01</c:v>
                </c:pt>
                <c:pt idx="359" formatCode="m/d/yyyy">
                  <c:v>0.01</c:v>
                </c:pt>
                <c:pt idx="360" formatCode="m/d/yyyy">
                  <c:v>0.01</c:v>
                </c:pt>
                <c:pt idx="361" formatCode="m/d/yyyy">
                  <c:v>0.01</c:v>
                </c:pt>
                <c:pt idx="362" formatCode="m/d/yyyy">
                  <c:v>0.01</c:v>
                </c:pt>
                <c:pt idx="363" formatCode="m/d/yyyy">
                  <c:v>0.01</c:v>
                </c:pt>
                <c:pt idx="364" formatCode="m/d/yyyy">
                  <c:v>0.01</c:v>
                </c:pt>
                <c:pt idx="365" formatCode="m/d/yyyy">
                  <c:v>0.01</c:v>
                </c:pt>
                <c:pt idx="366" formatCode="m/d/yyyy">
                  <c:v>0.01</c:v>
                </c:pt>
                <c:pt idx="367" formatCode="m/d/yyyy">
                  <c:v>0.01</c:v>
                </c:pt>
                <c:pt idx="368" formatCode="m/d/yyyy">
                  <c:v>0.01</c:v>
                </c:pt>
                <c:pt idx="369" formatCode="m/d/yyyy">
                  <c:v>0.01</c:v>
                </c:pt>
                <c:pt idx="370" formatCode="m/d/yyyy">
                  <c:v>0.01</c:v>
                </c:pt>
                <c:pt idx="371" formatCode="m/d/yyyy">
                  <c:v>0.01</c:v>
                </c:pt>
                <c:pt idx="372" formatCode="m/d/yyyy">
                  <c:v>0.01</c:v>
                </c:pt>
                <c:pt idx="373" formatCode="m/d/yyyy">
                  <c:v>0.01</c:v>
                </c:pt>
                <c:pt idx="374" formatCode="m/d/yyyy">
                  <c:v>0.01</c:v>
                </c:pt>
                <c:pt idx="375" formatCode="m/d/yyyy">
                  <c:v>0.01</c:v>
                </c:pt>
                <c:pt idx="376" formatCode="m/d/yyyy">
                  <c:v>0.01</c:v>
                </c:pt>
                <c:pt idx="377" formatCode="m/d/yyyy">
                  <c:v>0.01</c:v>
                </c:pt>
                <c:pt idx="378" formatCode="m/d/yyyy">
                  <c:v>0.01</c:v>
                </c:pt>
                <c:pt idx="379" formatCode="m/d/yyyy">
                  <c:v>0.01</c:v>
                </c:pt>
                <c:pt idx="380" formatCode="m/d/yyyy">
                  <c:v>0.01</c:v>
                </c:pt>
                <c:pt idx="381" formatCode="m/d/yyyy">
                  <c:v>0.01</c:v>
                </c:pt>
                <c:pt idx="382" formatCode="m/d/yyyy">
                  <c:v>0.01</c:v>
                </c:pt>
                <c:pt idx="383" formatCode="m/d/yyyy">
                  <c:v>0.01</c:v>
                </c:pt>
                <c:pt idx="384" formatCode="m/d/yyyy">
                  <c:v>0.01</c:v>
                </c:pt>
                <c:pt idx="385" formatCode="m/d/yyyy">
                  <c:v>0.01</c:v>
                </c:pt>
                <c:pt idx="386" formatCode="m/d/yyyy">
                  <c:v>0.01</c:v>
                </c:pt>
                <c:pt idx="387" formatCode="m/d/yyyy">
                  <c:v>0.01</c:v>
                </c:pt>
                <c:pt idx="388" formatCode="m/d/yyyy">
                  <c:v>0.01</c:v>
                </c:pt>
                <c:pt idx="389" formatCode="m/d/yyyy">
                  <c:v>0.01</c:v>
                </c:pt>
                <c:pt idx="390" formatCode="m/d/yyyy">
                  <c:v>0.01</c:v>
                </c:pt>
                <c:pt idx="391" formatCode="m/d/yyyy">
                  <c:v>0.01</c:v>
                </c:pt>
                <c:pt idx="392" formatCode="m/d/yyyy">
                  <c:v>0.01</c:v>
                </c:pt>
                <c:pt idx="393" formatCode="m/d/yyyy">
                  <c:v>0.01</c:v>
                </c:pt>
                <c:pt idx="394" formatCode="m/d/yyyy">
                  <c:v>0.01</c:v>
                </c:pt>
                <c:pt idx="395" formatCode="m/d/yyyy">
                  <c:v>0.01</c:v>
                </c:pt>
                <c:pt idx="396" formatCode="m/d/yyyy">
                  <c:v>0.01</c:v>
                </c:pt>
                <c:pt idx="397" formatCode="m/d/yyyy">
                  <c:v>0.01</c:v>
                </c:pt>
                <c:pt idx="398" formatCode="m/d/yyyy">
                  <c:v>0.01</c:v>
                </c:pt>
                <c:pt idx="399" formatCode="m/d/yyyy">
                  <c:v>0.01</c:v>
                </c:pt>
                <c:pt idx="400" formatCode="m/d/yyyy">
                  <c:v>0.01</c:v>
                </c:pt>
                <c:pt idx="401" formatCode="m/d/yyyy">
                  <c:v>0.01</c:v>
                </c:pt>
                <c:pt idx="402" formatCode="m/d/yyyy">
                  <c:v>0.01</c:v>
                </c:pt>
                <c:pt idx="403" formatCode="m/d/yyyy">
                  <c:v>0.01</c:v>
                </c:pt>
                <c:pt idx="404" formatCode="m/d/yyyy">
                  <c:v>0.01</c:v>
                </c:pt>
                <c:pt idx="405" formatCode="m/d/yyyy">
                  <c:v>0.01</c:v>
                </c:pt>
                <c:pt idx="406" formatCode="m/d/yyyy">
                  <c:v>0.01</c:v>
                </c:pt>
                <c:pt idx="407" formatCode="m/d/yyyy">
                  <c:v>0.01</c:v>
                </c:pt>
                <c:pt idx="408" formatCode="m/d/yyyy">
                  <c:v>0.01</c:v>
                </c:pt>
                <c:pt idx="409" formatCode="m/d/yyyy">
                  <c:v>0.01</c:v>
                </c:pt>
                <c:pt idx="410" formatCode="m/d/yyyy">
                  <c:v>0.01</c:v>
                </c:pt>
                <c:pt idx="411" formatCode="m/d/yyyy">
                  <c:v>0.01</c:v>
                </c:pt>
                <c:pt idx="412" formatCode="m/d/yyyy">
                  <c:v>0.01</c:v>
                </c:pt>
                <c:pt idx="413" formatCode="m/d/yyyy">
                  <c:v>0.01</c:v>
                </c:pt>
                <c:pt idx="414" formatCode="m/d/yyyy">
                  <c:v>0.01</c:v>
                </c:pt>
                <c:pt idx="415" formatCode="m/d/yyyy">
                  <c:v>0.01</c:v>
                </c:pt>
                <c:pt idx="416" formatCode="m/d/yyyy">
                  <c:v>0.01</c:v>
                </c:pt>
                <c:pt idx="417" formatCode="m/d/yyyy">
                  <c:v>0.01</c:v>
                </c:pt>
                <c:pt idx="418" formatCode="m/d/yyyy">
                  <c:v>0.01</c:v>
                </c:pt>
                <c:pt idx="419" formatCode="m/d/yyyy">
                  <c:v>0.01</c:v>
                </c:pt>
                <c:pt idx="420" formatCode="m/d/yyyy">
                  <c:v>0.01</c:v>
                </c:pt>
                <c:pt idx="421" formatCode="m/d/yyyy">
                  <c:v>0.01</c:v>
                </c:pt>
                <c:pt idx="422" formatCode="m/d/yyyy">
                  <c:v>0.01</c:v>
                </c:pt>
                <c:pt idx="423" formatCode="m/d/yyyy">
                  <c:v>0.01</c:v>
                </c:pt>
                <c:pt idx="424" formatCode="m/d/yyyy">
                  <c:v>0.01</c:v>
                </c:pt>
                <c:pt idx="425" formatCode="m/d/yyyy">
                  <c:v>0.01</c:v>
                </c:pt>
                <c:pt idx="426" formatCode="m/d/yyyy">
                  <c:v>0.01</c:v>
                </c:pt>
                <c:pt idx="427" formatCode="m/d/yyyy">
                  <c:v>0.01</c:v>
                </c:pt>
                <c:pt idx="428" formatCode="m/d/yyyy">
                  <c:v>0.01</c:v>
                </c:pt>
                <c:pt idx="429" formatCode="m/d/yyyy">
                  <c:v>0.01</c:v>
                </c:pt>
                <c:pt idx="430" formatCode="m/d/yyyy">
                  <c:v>0.01</c:v>
                </c:pt>
                <c:pt idx="431" formatCode="m/d/yyyy">
                  <c:v>0.01</c:v>
                </c:pt>
                <c:pt idx="432" formatCode="m/d/yyyy">
                  <c:v>0.01</c:v>
                </c:pt>
                <c:pt idx="433" formatCode="m/d/yyyy">
                  <c:v>0.01</c:v>
                </c:pt>
                <c:pt idx="434" formatCode="m/d/yyyy">
                  <c:v>0.01</c:v>
                </c:pt>
                <c:pt idx="435" formatCode="m/d/yyyy">
                  <c:v>0.01</c:v>
                </c:pt>
                <c:pt idx="436" formatCode="m/d/yyyy">
                  <c:v>0.01</c:v>
                </c:pt>
                <c:pt idx="437" formatCode="m/d/yyyy">
                  <c:v>0.01</c:v>
                </c:pt>
                <c:pt idx="438" formatCode="m/d/yyyy">
                  <c:v>0.01</c:v>
                </c:pt>
                <c:pt idx="439" formatCode="m/d/yyyy">
                  <c:v>0.01</c:v>
                </c:pt>
                <c:pt idx="440" formatCode="m/d/yyyy">
                  <c:v>0.01</c:v>
                </c:pt>
                <c:pt idx="441" formatCode="m/d/yyyy">
                  <c:v>0.01</c:v>
                </c:pt>
                <c:pt idx="442" formatCode="m/d/yyyy">
                  <c:v>0.01</c:v>
                </c:pt>
                <c:pt idx="443" formatCode="m/d/yyyy">
                  <c:v>0.01</c:v>
                </c:pt>
                <c:pt idx="444" formatCode="m/d/yyyy">
                  <c:v>0.01</c:v>
                </c:pt>
                <c:pt idx="445" formatCode="m/d/yyyy">
                  <c:v>0.01</c:v>
                </c:pt>
                <c:pt idx="446" formatCode="m/d/yyyy">
                  <c:v>0.01</c:v>
                </c:pt>
                <c:pt idx="447" formatCode="m/d/yyyy">
                  <c:v>0.01</c:v>
                </c:pt>
                <c:pt idx="448" formatCode="m/d/yyyy">
                  <c:v>0.01</c:v>
                </c:pt>
                <c:pt idx="449" formatCode="m/d/yyyy">
                  <c:v>0.01</c:v>
                </c:pt>
                <c:pt idx="450" formatCode="m/d/yyyy">
                  <c:v>0.01</c:v>
                </c:pt>
                <c:pt idx="451" formatCode="m/d/yyyy">
                  <c:v>0.01</c:v>
                </c:pt>
                <c:pt idx="452" formatCode="m/d/yyyy">
                  <c:v>0.01</c:v>
                </c:pt>
                <c:pt idx="453" formatCode="m/d/yyyy">
                  <c:v>0.01</c:v>
                </c:pt>
                <c:pt idx="454" formatCode="m/d/yyyy">
                  <c:v>0.01</c:v>
                </c:pt>
                <c:pt idx="455" formatCode="m/d/yyyy">
                  <c:v>0.01</c:v>
                </c:pt>
                <c:pt idx="456" formatCode="m/d/yyyy">
                  <c:v>0.01</c:v>
                </c:pt>
                <c:pt idx="457" formatCode="m/d/yyyy">
                  <c:v>0.01</c:v>
                </c:pt>
                <c:pt idx="458" formatCode="m/d/yyyy">
                  <c:v>0.01</c:v>
                </c:pt>
                <c:pt idx="459" formatCode="m/d/yyyy">
                  <c:v>0.01</c:v>
                </c:pt>
                <c:pt idx="460" formatCode="m/d/yyyy">
                  <c:v>0.01</c:v>
                </c:pt>
                <c:pt idx="461" formatCode="m/d/yyyy">
                  <c:v>0.01</c:v>
                </c:pt>
                <c:pt idx="462" formatCode="m/d/yyyy">
                  <c:v>0.01</c:v>
                </c:pt>
                <c:pt idx="463" formatCode="m/d/yyyy">
                  <c:v>0.01</c:v>
                </c:pt>
                <c:pt idx="464" formatCode="m/d/yyyy">
                  <c:v>0.01</c:v>
                </c:pt>
                <c:pt idx="465" formatCode="m/d/yyyy">
                  <c:v>0.01</c:v>
                </c:pt>
                <c:pt idx="466" formatCode="m/d/yyyy">
                  <c:v>0.01</c:v>
                </c:pt>
                <c:pt idx="467" formatCode="m/d/yyyy">
                  <c:v>0.01</c:v>
                </c:pt>
                <c:pt idx="468" formatCode="m/d/yyyy">
                  <c:v>0.01</c:v>
                </c:pt>
                <c:pt idx="469" formatCode="m/d/yyyy">
                  <c:v>0.01</c:v>
                </c:pt>
                <c:pt idx="470" formatCode="m/d/yyyy">
                  <c:v>0.01</c:v>
                </c:pt>
                <c:pt idx="471" formatCode="m/d/yyyy">
                  <c:v>0.01</c:v>
                </c:pt>
                <c:pt idx="472" formatCode="m/d/yyyy">
                  <c:v>0.01</c:v>
                </c:pt>
                <c:pt idx="473" formatCode="m/d/yyyy">
                  <c:v>0.01</c:v>
                </c:pt>
                <c:pt idx="474" formatCode="m/d/yyyy">
                  <c:v>0.01</c:v>
                </c:pt>
                <c:pt idx="475" formatCode="m/d/yyyy">
                  <c:v>0.01</c:v>
                </c:pt>
                <c:pt idx="476" formatCode="m/d/yyyy">
                  <c:v>0.01</c:v>
                </c:pt>
                <c:pt idx="477" formatCode="m/d/yyyy">
                  <c:v>0.01</c:v>
                </c:pt>
                <c:pt idx="478" formatCode="m/d/yyyy">
                  <c:v>0.01</c:v>
                </c:pt>
                <c:pt idx="479" formatCode="m/d/yyyy">
                  <c:v>0.01</c:v>
                </c:pt>
                <c:pt idx="480" formatCode="m/d/yyyy">
                  <c:v>0.01</c:v>
                </c:pt>
                <c:pt idx="481" formatCode="m/d/yyyy">
                  <c:v>0.01</c:v>
                </c:pt>
                <c:pt idx="482" formatCode="m/d/yyyy">
                  <c:v>0.01</c:v>
                </c:pt>
                <c:pt idx="483" formatCode="m/d/yyyy">
                  <c:v>0.01</c:v>
                </c:pt>
                <c:pt idx="484" formatCode="m/d/yyyy">
                  <c:v>0.01</c:v>
                </c:pt>
                <c:pt idx="485" formatCode="m/d/yyyy">
                  <c:v>0.01</c:v>
                </c:pt>
                <c:pt idx="486" formatCode="m/d/yyyy">
                  <c:v>0.01</c:v>
                </c:pt>
                <c:pt idx="487" formatCode="m/d/yyyy">
                  <c:v>0.01</c:v>
                </c:pt>
                <c:pt idx="488" formatCode="m/d/yyyy">
                  <c:v>0.01</c:v>
                </c:pt>
                <c:pt idx="489" formatCode="m/d/yyyy">
                  <c:v>0.01</c:v>
                </c:pt>
                <c:pt idx="490" formatCode="m/d/yyyy">
                  <c:v>0.01</c:v>
                </c:pt>
                <c:pt idx="491" formatCode="m/d/yyyy">
                  <c:v>0.01</c:v>
                </c:pt>
                <c:pt idx="492" formatCode="m/d/yyyy">
                  <c:v>0.01</c:v>
                </c:pt>
                <c:pt idx="493" formatCode="m/d/yyyy">
                  <c:v>0.01</c:v>
                </c:pt>
                <c:pt idx="494" formatCode="m/d/yyyy">
                  <c:v>0.01</c:v>
                </c:pt>
                <c:pt idx="495" formatCode="m/d/yyyy">
                  <c:v>0.01</c:v>
                </c:pt>
                <c:pt idx="496" formatCode="m/d/yyyy">
                  <c:v>0.01</c:v>
                </c:pt>
                <c:pt idx="497" formatCode="m/d/yyyy">
                  <c:v>0.01</c:v>
                </c:pt>
                <c:pt idx="498" formatCode="m/d/yyyy">
                  <c:v>0.01</c:v>
                </c:pt>
                <c:pt idx="499" formatCode="m/d/yyyy">
                  <c:v>0.01</c:v>
                </c:pt>
                <c:pt idx="500" formatCode="m/d/yyyy">
                  <c:v>0.01</c:v>
                </c:pt>
                <c:pt idx="501" formatCode="m/d/yyyy">
                  <c:v>0.01</c:v>
                </c:pt>
                <c:pt idx="502" formatCode="m/d/yyyy">
                  <c:v>0.01</c:v>
                </c:pt>
                <c:pt idx="503" formatCode="m/d/yyyy">
                  <c:v>0.01</c:v>
                </c:pt>
                <c:pt idx="504" formatCode="m/d/yyyy">
                  <c:v>0.01</c:v>
                </c:pt>
                <c:pt idx="505" formatCode="m/d/yyyy">
                  <c:v>0.01</c:v>
                </c:pt>
                <c:pt idx="506" formatCode="m/d/yyyy">
                  <c:v>0.01</c:v>
                </c:pt>
                <c:pt idx="507" formatCode="m/d/yyyy">
                  <c:v>0.01</c:v>
                </c:pt>
                <c:pt idx="508" formatCode="m/d/yyyy">
                  <c:v>0.01</c:v>
                </c:pt>
                <c:pt idx="509" formatCode="m/d/yyyy">
                  <c:v>0.01</c:v>
                </c:pt>
                <c:pt idx="510" formatCode="m/d/yyyy">
                  <c:v>0.01</c:v>
                </c:pt>
                <c:pt idx="511" formatCode="m/d/yyyy">
                  <c:v>0.01</c:v>
                </c:pt>
                <c:pt idx="512" formatCode="m/d/yyyy">
                  <c:v>0.01</c:v>
                </c:pt>
                <c:pt idx="513" formatCode="m/d/yyyy">
                  <c:v>0.01</c:v>
                </c:pt>
                <c:pt idx="514" formatCode="m/d/yyyy">
                  <c:v>0.01</c:v>
                </c:pt>
                <c:pt idx="515" formatCode="m/d/yyyy">
                  <c:v>0.01</c:v>
                </c:pt>
                <c:pt idx="516" formatCode="m/d/yyyy">
                  <c:v>0.01</c:v>
                </c:pt>
                <c:pt idx="517" formatCode="m/d/yyyy">
                  <c:v>0.01</c:v>
                </c:pt>
                <c:pt idx="518" formatCode="m/d/yyyy">
                  <c:v>0.01</c:v>
                </c:pt>
                <c:pt idx="519" formatCode="m/d/yyyy">
                  <c:v>0.01</c:v>
                </c:pt>
                <c:pt idx="520" formatCode="m/d/yyyy">
                  <c:v>0.01</c:v>
                </c:pt>
                <c:pt idx="521" formatCode="m/d/yyyy">
                  <c:v>0.01</c:v>
                </c:pt>
                <c:pt idx="522" formatCode="m/d/yyyy">
                  <c:v>0.01</c:v>
                </c:pt>
                <c:pt idx="523" formatCode="m/d/yyyy">
                  <c:v>0.01</c:v>
                </c:pt>
                <c:pt idx="524" formatCode="m/d/yyyy">
                  <c:v>0.01</c:v>
                </c:pt>
                <c:pt idx="525" formatCode="m/d/yyyy">
                  <c:v>0.01</c:v>
                </c:pt>
                <c:pt idx="526" formatCode="m/d/yyyy">
                  <c:v>0.01</c:v>
                </c:pt>
                <c:pt idx="527" formatCode="m/d/yyyy">
                  <c:v>0.01</c:v>
                </c:pt>
                <c:pt idx="528" formatCode="m/d/yyyy">
                  <c:v>0.01</c:v>
                </c:pt>
                <c:pt idx="529" formatCode="m/d/yyyy">
                  <c:v>0.01</c:v>
                </c:pt>
                <c:pt idx="530" formatCode="m/d/yyyy">
                  <c:v>0.01</c:v>
                </c:pt>
                <c:pt idx="531" formatCode="m/d/yyyy">
                  <c:v>0.01</c:v>
                </c:pt>
                <c:pt idx="532" formatCode="m/d/yyyy">
                  <c:v>0.01</c:v>
                </c:pt>
                <c:pt idx="533" formatCode="m/d/yyyy">
                  <c:v>0.01</c:v>
                </c:pt>
                <c:pt idx="534" formatCode="m/d/yyyy">
                  <c:v>0.01</c:v>
                </c:pt>
                <c:pt idx="535" formatCode="m/d/yyyy">
                  <c:v>0.01</c:v>
                </c:pt>
                <c:pt idx="536" formatCode="m/d/yyyy">
                  <c:v>0.01</c:v>
                </c:pt>
                <c:pt idx="537" formatCode="m/d/yyyy">
                  <c:v>0.01</c:v>
                </c:pt>
                <c:pt idx="538" formatCode="m/d/yyyy">
                  <c:v>0.01</c:v>
                </c:pt>
                <c:pt idx="539" formatCode="m/d/yyyy">
                  <c:v>0.01</c:v>
                </c:pt>
                <c:pt idx="540" formatCode="m/d/yyyy">
                  <c:v>0.01</c:v>
                </c:pt>
                <c:pt idx="541" formatCode="m/d/yyyy">
                  <c:v>0.01</c:v>
                </c:pt>
                <c:pt idx="542" formatCode="m/d/yyyy">
                  <c:v>0.01</c:v>
                </c:pt>
                <c:pt idx="543" formatCode="m/d/yyyy">
                  <c:v>0.01</c:v>
                </c:pt>
                <c:pt idx="544" formatCode="m/d/yyyy">
                  <c:v>0.01</c:v>
                </c:pt>
                <c:pt idx="545" formatCode="m/d/yyyy">
                  <c:v>0.01</c:v>
                </c:pt>
                <c:pt idx="546" formatCode="m/d/yyyy">
                  <c:v>0.01</c:v>
                </c:pt>
                <c:pt idx="547" formatCode="m/d/yyyy">
                  <c:v>0.01</c:v>
                </c:pt>
                <c:pt idx="548" formatCode="m/d/yyyy">
                  <c:v>0.01</c:v>
                </c:pt>
                <c:pt idx="549" formatCode="m/d/yyyy">
                  <c:v>0.01</c:v>
                </c:pt>
                <c:pt idx="550" formatCode="m/d/yyyy">
                  <c:v>0.01</c:v>
                </c:pt>
                <c:pt idx="551" formatCode="m/d/yyyy">
                  <c:v>0.01</c:v>
                </c:pt>
                <c:pt idx="552" formatCode="m/d/yyyy">
                  <c:v>0.01</c:v>
                </c:pt>
                <c:pt idx="553" formatCode="m/d/yyyy">
                  <c:v>0.01</c:v>
                </c:pt>
                <c:pt idx="554" formatCode="m/d/yyyy">
                  <c:v>0.01</c:v>
                </c:pt>
                <c:pt idx="555" formatCode="m/d/yyyy">
                  <c:v>0.01</c:v>
                </c:pt>
                <c:pt idx="556" formatCode="m/d/yyyy">
                  <c:v>0.01</c:v>
                </c:pt>
                <c:pt idx="557" formatCode="m/d/yyyy">
                  <c:v>0.01</c:v>
                </c:pt>
                <c:pt idx="558" formatCode="m/d/yyyy">
                  <c:v>0.01</c:v>
                </c:pt>
                <c:pt idx="559" formatCode="m/d/yyyy">
                  <c:v>0.01</c:v>
                </c:pt>
                <c:pt idx="560" formatCode="m/d/yyyy">
                  <c:v>0.01</c:v>
                </c:pt>
                <c:pt idx="561" formatCode="m/d/yyyy">
                  <c:v>0.01</c:v>
                </c:pt>
                <c:pt idx="562" formatCode="m/d/yyyy">
                  <c:v>0.01</c:v>
                </c:pt>
                <c:pt idx="563" formatCode="m/d/yyyy">
                  <c:v>0.01</c:v>
                </c:pt>
                <c:pt idx="564" formatCode="m/d/yyyy">
                  <c:v>0.01</c:v>
                </c:pt>
                <c:pt idx="565" formatCode="m/d/yyyy">
                  <c:v>0.01</c:v>
                </c:pt>
                <c:pt idx="566" formatCode="m/d/yyyy">
                  <c:v>0.01</c:v>
                </c:pt>
                <c:pt idx="567" formatCode="m/d/yyyy">
                  <c:v>0.01</c:v>
                </c:pt>
                <c:pt idx="568" formatCode="m/d/yyyy">
                  <c:v>0.01</c:v>
                </c:pt>
                <c:pt idx="569" formatCode="m/d/yyyy">
                  <c:v>0.01</c:v>
                </c:pt>
                <c:pt idx="570" formatCode="m/d/yyyy">
                  <c:v>0.01</c:v>
                </c:pt>
                <c:pt idx="571" formatCode="m/d/yyyy">
                  <c:v>0.01</c:v>
                </c:pt>
                <c:pt idx="572" formatCode="m/d/yyyy">
                  <c:v>0.01</c:v>
                </c:pt>
                <c:pt idx="573" formatCode="m/d/yyyy">
                  <c:v>0.01</c:v>
                </c:pt>
                <c:pt idx="574" formatCode="m/d/yyyy">
                  <c:v>0.01</c:v>
                </c:pt>
                <c:pt idx="575" formatCode="m/d/yyyy">
                  <c:v>0.01</c:v>
                </c:pt>
                <c:pt idx="576" formatCode="m/d/yyyy">
                  <c:v>0.01</c:v>
                </c:pt>
                <c:pt idx="577" formatCode="m/d/yyyy">
                  <c:v>0.01</c:v>
                </c:pt>
                <c:pt idx="578" formatCode="m/d/yyyy">
                  <c:v>0.01</c:v>
                </c:pt>
                <c:pt idx="579" formatCode="m/d/yyyy">
                  <c:v>0.01</c:v>
                </c:pt>
                <c:pt idx="580" formatCode="m/d/yyyy">
                  <c:v>0.01</c:v>
                </c:pt>
                <c:pt idx="581" formatCode="m/d/yyyy">
                  <c:v>0.01</c:v>
                </c:pt>
                <c:pt idx="582" formatCode="m/d/yyyy">
                  <c:v>0.01</c:v>
                </c:pt>
                <c:pt idx="583" formatCode="m/d/yyyy">
                  <c:v>0.01</c:v>
                </c:pt>
                <c:pt idx="584" formatCode="m/d/yyyy">
                  <c:v>0.01</c:v>
                </c:pt>
                <c:pt idx="585" formatCode="m/d/yyyy">
                  <c:v>0.01</c:v>
                </c:pt>
                <c:pt idx="586" formatCode="m/d/yyyy">
                  <c:v>0.01</c:v>
                </c:pt>
                <c:pt idx="587" formatCode="m/d/yyyy">
                  <c:v>0.01</c:v>
                </c:pt>
                <c:pt idx="588" formatCode="m/d/yyyy">
                  <c:v>0.01</c:v>
                </c:pt>
                <c:pt idx="589" formatCode="m/d/yyyy">
                  <c:v>0.01</c:v>
                </c:pt>
                <c:pt idx="590" formatCode="m/d/yyyy">
                  <c:v>0.01</c:v>
                </c:pt>
                <c:pt idx="591" formatCode="m/d/yyyy">
                  <c:v>0.01</c:v>
                </c:pt>
                <c:pt idx="592" formatCode="m/d/yyyy">
                  <c:v>0.01</c:v>
                </c:pt>
                <c:pt idx="593" formatCode="m/d/yyyy">
                  <c:v>0.01</c:v>
                </c:pt>
                <c:pt idx="594" formatCode="m/d/yyyy">
                  <c:v>0.01</c:v>
                </c:pt>
                <c:pt idx="595" formatCode="m/d/yyyy">
                  <c:v>0.01</c:v>
                </c:pt>
                <c:pt idx="596" formatCode="m/d/yyyy">
                  <c:v>0.01</c:v>
                </c:pt>
                <c:pt idx="597" formatCode="m/d/yyyy">
                  <c:v>0.01</c:v>
                </c:pt>
                <c:pt idx="598" formatCode="m/d/yyyy">
                  <c:v>0.01</c:v>
                </c:pt>
                <c:pt idx="599" formatCode="m/d/yyyy">
                  <c:v>0.01</c:v>
                </c:pt>
                <c:pt idx="600" formatCode="m/d/yyyy">
                  <c:v>0.01</c:v>
                </c:pt>
                <c:pt idx="601" formatCode="m/d/yyyy">
                  <c:v>0.01</c:v>
                </c:pt>
                <c:pt idx="602" formatCode="m/d/yyyy">
                  <c:v>0.01</c:v>
                </c:pt>
                <c:pt idx="603" formatCode="m/d/yyyy">
                  <c:v>0.01</c:v>
                </c:pt>
                <c:pt idx="604" formatCode="m/d/yyyy">
                  <c:v>0.01</c:v>
                </c:pt>
                <c:pt idx="605" formatCode="m/d/yyyy">
                  <c:v>0.01</c:v>
                </c:pt>
                <c:pt idx="606" formatCode="m/d/yyyy">
                  <c:v>0.01</c:v>
                </c:pt>
                <c:pt idx="607" formatCode="m/d/yyyy">
                  <c:v>0.01</c:v>
                </c:pt>
                <c:pt idx="608" formatCode="m/d/yyyy">
                  <c:v>0.01</c:v>
                </c:pt>
                <c:pt idx="609" formatCode="m/d/yyyy">
                  <c:v>0.01</c:v>
                </c:pt>
                <c:pt idx="610" formatCode="m/d/yyyy">
                  <c:v>0.01</c:v>
                </c:pt>
                <c:pt idx="611" formatCode="m/d/yyyy">
                  <c:v>0.01</c:v>
                </c:pt>
                <c:pt idx="612" formatCode="m/d/yyyy">
                  <c:v>0.01</c:v>
                </c:pt>
                <c:pt idx="613" formatCode="m/d/yyyy">
                  <c:v>0.01</c:v>
                </c:pt>
                <c:pt idx="614" formatCode="m/d/yyyy">
                  <c:v>0.01</c:v>
                </c:pt>
                <c:pt idx="615" formatCode="m/d/yyyy">
                  <c:v>0.01</c:v>
                </c:pt>
                <c:pt idx="616" formatCode="m/d/yyyy">
                  <c:v>0.01</c:v>
                </c:pt>
                <c:pt idx="617" formatCode="m/d/yyyy">
                  <c:v>0.01</c:v>
                </c:pt>
                <c:pt idx="618" formatCode="m/d/yyyy">
                  <c:v>0.01</c:v>
                </c:pt>
                <c:pt idx="619" formatCode="m/d/yyyy">
                  <c:v>0.01</c:v>
                </c:pt>
                <c:pt idx="620" formatCode="m/d/yyyy">
                  <c:v>0.01</c:v>
                </c:pt>
                <c:pt idx="621" formatCode="m/d/yyyy">
                  <c:v>0.01</c:v>
                </c:pt>
                <c:pt idx="622" formatCode="m/d/yyyy">
                  <c:v>0.01</c:v>
                </c:pt>
                <c:pt idx="623" formatCode="m/d/yyyy">
                  <c:v>0.01</c:v>
                </c:pt>
                <c:pt idx="624" formatCode="m/d/yyyy">
                  <c:v>0.01</c:v>
                </c:pt>
                <c:pt idx="625" formatCode="m/d/yyyy">
                  <c:v>0.01</c:v>
                </c:pt>
                <c:pt idx="626" formatCode="m/d/yyyy">
                  <c:v>0.01</c:v>
                </c:pt>
                <c:pt idx="627" formatCode="m/d/yyyy">
                  <c:v>0.01</c:v>
                </c:pt>
                <c:pt idx="628" formatCode="m/d/yyyy">
                  <c:v>0.01</c:v>
                </c:pt>
                <c:pt idx="629" formatCode="m/d/yyyy">
                  <c:v>0.01</c:v>
                </c:pt>
                <c:pt idx="630" formatCode="m/d/yyyy">
                  <c:v>0.01</c:v>
                </c:pt>
                <c:pt idx="631" formatCode="m/d/yyyy">
                  <c:v>0.01</c:v>
                </c:pt>
                <c:pt idx="632" formatCode="m/d/yyyy">
                  <c:v>0.01</c:v>
                </c:pt>
                <c:pt idx="633" formatCode="m/d/yyyy">
                  <c:v>0.01</c:v>
                </c:pt>
                <c:pt idx="634" formatCode="m/d/yyyy">
                  <c:v>0.01</c:v>
                </c:pt>
                <c:pt idx="635" formatCode="m/d/yyyy">
                  <c:v>0.01</c:v>
                </c:pt>
                <c:pt idx="636" formatCode="m/d/yyyy">
                  <c:v>0.01</c:v>
                </c:pt>
                <c:pt idx="637" formatCode="m/d/yyyy">
                  <c:v>0.01</c:v>
                </c:pt>
                <c:pt idx="638" formatCode="m/d/yyyy">
                  <c:v>0.01</c:v>
                </c:pt>
                <c:pt idx="639" formatCode="m/d/yyyy">
                  <c:v>0.01</c:v>
                </c:pt>
                <c:pt idx="640" formatCode="m/d/yyyy">
                  <c:v>0.01</c:v>
                </c:pt>
                <c:pt idx="641" formatCode="m/d/yyyy">
                  <c:v>0.01</c:v>
                </c:pt>
                <c:pt idx="642" formatCode="m/d/yyyy">
                  <c:v>0.01</c:v>
                </c:pt>
                <c:pt idx="643" formatCode="m/d/yyyy">
                  <c:v>0.01</c:v>
                </c:pt>
                <c:pt idx="644" formatCode="m/d/yyyy">
                  <c:v>0.01</c:v>
                </c:pt>
                <c:pt idx="645" formatCode="m/d/yyyy">
                  <c:v>0.01</c:v>
                </c:pt>
                <c:pt idx="646" formatCode="m/d/yyyy">
                  <c:v>0.01</c:v>
                </c:pt>
                <c:pt idx="647" formatCode="m/d/yyyy">
                  <c:v>0.01</c:v>
                </c:pt>
                <c:pt idx="648" formatCode="m/d/yyyy">
                  <c:v>0.01</c:v>
                </c:pt>
                <c:pt idx="649" formatCode="m/d/yyyy">
                  <c:v>0.01</c:v>
                </c:pt>
                <c:pt idx="650" formatCode="m/d/yyyy">
                  <c:v>0.01</c:v>
                </c:pt>
                <c:pt idx="651" formatCode="m/d/yyyy">
                  <c:v>0.01</c:v>
                </c:pt>
                <c:pt idx="652" formatCode="m/d/yyyy">
                  <c:v>0.01</c:v>
                </c:pt>
                <c:pt idx="653" formatCode="m/d/yyyy">
                  <c:v>0.01</c:v>
                </c:pt>
                <c:pt idx="654" formatCode="m/d/yyyy">
                  <c:v>0.01</c:v>
                </c:pt>
                <c:pt idx="655" formatCode="m/d/yyyy">
                  <c:v>0.01</c:v>
                </c:pt>
                <c:pt idx="656" formatCode="m/d/yyyy">
                  <c:v>0.01</c:v>
                </c:pt>
                <c:pt idx="657" formatCode="m/d/yyyy">
                  <c:v>0.01</c:v>
                </c:pt>
                <c:pt idx="658" formatCode="m/d/yyyy">
                  <c:v>0.01</c:v>
                </c:pt>
                <c:pt idx="659" formatCode="m/d/yyyy">
                  <c:v>0.01</c:v>
                </c:pt>
                <c:pt idx="660" formatCode="m/d/yyyy">
                  <c:v>0.01</c:v>
                </c:pt>
                <c:pt idx="661" formatCode="m/d/yyyy">
                  <c:v>0.01</c:v>
                </c:pt>
                <c:pt idx="662" formatCode="m/d/yyyy">
                  <c:v>0.01</c:v>
                </c:pt>
                <c:pt idx="663" formatCode="m/d/yyyy">
                  <c:v>0.01</c:v>
                </c:pt>
                <c:pt idx="664" formatCode="m/d/yyyy">
                  <c:v>0.01</c:v>
                </c:pt>
                <c:pt idx="665" formatCode="m/d/yyyy">
                  <c:v>0.01</c:v>
                </c:pt>
                <c:pt idx="666" formatCode="m/d/yyyy">
                  <c:v>0.01</c:v>
                </c:pt>
                <c:pt idx="667" formatCode="m/d/yyyy">
                  <c:v>0.01</c:v>
                </c:pt>
                <c:pt idx="668" formatCode="m/d/yyyy">
                  <c:v>0.01</c:v>
                </c:pt>
                <c:pt idx="669" formatCode="m/d/yyyy">
                  <c:v>0.01</c:v>
                </c:pt>
                <c:pt idx="670" formatCode="m/d/yyyy">
                  <c:v>0.01</c:v>
                </c:pt>
                <c:pt idx="671" formatCode="m/d/yyyy">
                  <c:v>0.01</c:v>
                </c:pt>
                <c:pt idx="672" formatCode="m/d/yyyy">
                  <c:v>0.01</c:v>
                </c:pt>
                <c:pt idx="673" formatCode="m/d/yyyy">
                  <c:v>0.01</c:v>
                </c:pt>
                <c:pt idx="674" formatCode="m/d/yyyy">
                  <c:v>0.01</c:v>
                </c:pt>
                <c:pt idx="675" formatCode="m/d/yyyy">
                  <c:v>0.01</c:v>
                </c:pt>
                <c:pt idx="676" formatCode="m/d/yyyy">
                  <c:v>0.01</c:v>
                </c:pt>
                <c:pt idx="677" formatCode="m/d/yyyy">
                  <c:v>0.01</c:v>
                </c:pt>
                <c:pt idx="678" formatCode="m/d/yyyy">
                  <c:v>0.01</c:v>
                </c:pt>
                <c:pt idx="679" formatCode="m/d/yyyy">
                  <c:v>0.01</c:v>
                </c:pt>
                <c:pt idx="680" formatCode="m/d/yyyy">
                  <c:v>0.01</c:v>
                </c:pt>
                <c:pt idx="681" formatCode="m/d/yyyy">
                  <c:v>0.01</c:v>
                </c:pt>
                <c:pt idx="682" formatCode="m/d/yyyy">
                  <c:v>0.01</c:v>
                </c:pt>
                <c:pt idx="683" formatCode="m/d/yyyy">
                  <c:v>0.01</c:v>
                </c:pt>
                <c:pt idx="684" formatCode="m/d/yyyy">
                  <c:v>0.01</c:v>
                </c:pt>
                <c:pt idx="685" formatCode="m/d/yyyy">
                  <c:v>0.01</c:v>
                </c:pt>
                <c:pt idx="686" formatCode="m/d/yyyy">
                  <c:v>0.01</c:v>
                </c:pt>
                <c:pt idx="687" formatCode="m/d/yyyy">
                  <c:v>0.01</c:v>
                </c:pt>
                <c:pt idx="688" formatCode="m/d/yyyy">
                  <c:v>0.01</c:v>
                </c:pt>
                <c:pt idx="689" formatCode="m/d/yyyy">
                  <c:v>0.01</c:v>
                </c:pt>
                <c:pt idx="690" formatCode="m/d/yyyy">
                  <c:v>0.01</c:v>
                </c:pt>
                <c:pt idx="691" formatCode="m/d/yyyy">
                  <c:v>0.01</c:v>
                </c:pt>
                <c:pt idx="692" formatCode="m/d/yyyy">
                  <c:v>0.01</c:v>
                </c:pt>
                <c:pt idx="693" formatCode="m/d/yyyy">
                  <c:v>0.01</c:v>
                </c:pt>
                <c:pt idx="694" formatCode="m/d/yyyy">
                  <c:v>0.01</c:v>
                </c:pt>
                <c:pt idx="695" formatCode="m/d/yyyy">
                  <c:v>0.01</c:v>
                </c:pt>
                <c:pt idx="696" formatCode="m/d/yyyy">
                  <c:v>0.01</c:v>
                </c:pt>
                <c:pt idx="697" formatCode="m/d/yyyy">
                  <c:v>0.01</c:v>
                </c:pt>
                <c:pt idx="698" formatCode="m/d/yyyy">
                  <c:v>0.01</c:v>
                </c:pt>
                <c:pt idx="699" formatCode="m/d/yyyy">
                  <c:v>0.01</c:v>
                </c:pt>
                <c:pt idx="700" formatCode="m/d/yyyy">
                  <c:v>0.01</c:v>
                </c:pt>
                <c:pt idx="701" formatCode="m/d/yyyy">
                  <c:v>0.01</c:v>
                </c:pt>
                <c:pt idx="702" formatCode="m/d/yyyy">
                  <c:v>0.01</c:v>
                </c:pt>
                <c:pt idx="703" formatCode="m/d/yyyy">
                  <c:v>0.01</c:v>
                </c:pt>
                <c:pt idx="704" formatCode="m/d/yyyy">
                  <c:v>0.01</c:v>
                </c:pt>
                <c:pt idx="705" formatCode="m/d/yyyy">
                  <c:v>0.01</c:v>
                </c:pt>
                <c:pt idx="706" formatCode="m/d/yyyy">
                  <c:v>0.01</c:v>
                </c:pt>
                <c:pt idx="707" formatCode="m/d/yyyy">
                  <c:v>0.01</c:v>
                </c:pt>
                <c:pt idx="708" formatCode="m/d/yyyy">
                  <c:v>0.01</c:v>
                </c:pt>
                <c:pt idx="709" formatCode="m/d/yyyy">
                  <c:v>0.01</c:v>
                </c:pt>
                <c:pt idx="710" formatCode="m/d/yyyy">
                  <c:v>0.01</c:v>
                </c:pt>
                <c:pt idx="711" formatCode="m/d/yyyy">
                  <c:v>0.01</c:v>
                </c:pt>
                <c:pt idx="712" formatCode="m/d/yyyy">
                  <c:v>0.01</c:v>
                </c:pt>
                <c:pt idx="713" formatCode="m/d/yyyy">
                  <c:v>0.01</c:v>
                </c:pt>
                <c:pt idx="714" formatCode="m/d/yyyy">
                  <c:v>0.01</c:v>
                </c:pt>
                <c:pt idx="715" formatCode="m/d/yyyy">
                  <c:v>0.01</c:v>
                </c:pt>
                <c:pt idx="716" formatCode="m/d/yyyy">
                  <c:v>0.01</c:v>
                </c:pt>
                <c:pt idx="717" formatCode="m/d/yyyy">
                  <c:v>0.01</c:v>
                </c:pt>
                <c:pt idx="718" formatCode="m/d/yyyy">
                  <c:v>0.01</c:v>
                </c:pt>
                <c:pt idx="719" formatCode="m/d/yyyy">
                  <c:v>0.01</c:v>
                </c:pt>
                <c:pt idx="720" formatCode="m/d/yyyy">
                  <c:v>0.01</c:v>
                </c:pt>
                <c:pt idx="721" formatCode="m/d/yyyy">
                  <c:v>0.01</c:v>
                </c:pt>
                <c:pt idx="722" formatCode="m/d/yyyy">
                  <c:v>0.01</c:v>
                </c:pt>
                <c:pt idx="723" formatCode="m/d/yyyy">
                  <c:v>0.01</c:v>
                </c:pt>
                <c:pt idx="724" formatCode="m/d/yyyy">
                  <c:v>0.01</c:v>
                </c:pt>
                <c:pt idx="725" formatCode="m/d/yyyy">
                  <c:v>0.01</c:v>
                </c:pt>
                <c:pt idx="726" formatCode="m/d/yyyy">
                  <c:v>0.01</c:v>
                </c:pt>
                <c:pt idx="727" formatCode="m/d/yyyy">
                  <c:v>0.01</c:v>
                </c:pt>
                <c:pt idx="728" formatCode="m/d/yyyy">
                  <c:v>0.01</c:v>
                </c:pt>
                <c:pt idx="729" formatCode="m/d/yyyy">
                  <c:v>0.01</c:v>
                </c:pt>
                <c:pt idx="730" formatCode="m/d/yyyy">
                  <c:v>0.01</c:v>
                </c:pt>
                <c:pt idx="731" formatCode="m/d/yyyy">
                  <c:v>0.01</c:v>
                </c:pt>
                <c:pt idx="732" formatCode="m/d/yyyy">
                  <c:v>0.01</c:v>
                </c:pt>
                <c:pt idx="733" formatCode="m/d/yyyy">
                  <c:v>0.01</c:v>
                </c:pt>
                <c:pt idx="734" formatCode="m/d/yyyy">
                  <c:v>0.01</c:v>
                </c:pt>
                <c:pt idx="735" formatCode="m/d/yyyy">
                  <c:v>0.01</c:v>
                </c:pt>
                <c:pt idx="736" formatCode="m/d/yyyy">
                  <c:v>0.01</c:v>
                </c:pt>
                <c:pt idx="737" formatCode="m/d/yyyy">
                  <c:v>0.01</c:v>
                </c:pt>
                <c:pt idx="738" formatCode="m/d/yyyy">
                  <c:v>0.01</c:v>
                </c:pt>
                <c:pt idx="739" formatCode="m/d/yyyy">
                  <c:v>0.01</c:v>
                </c:pt>
                <c:pt idx="740" formatCode="m/d/yyyy">
                  <c:v>0.01</c:v>
                </c:pt>
                <c:pt idx="741" formatCode="m/d/yyyy">
                  <c:v>0.01</c:v>
                </c:pt>
                <c:pt idx="742" formatCode="m/d/yyyy">
                  <c:v>0.01</c:v>
                </c:pt>
                <c:pt idx="743" formatCode="m/d/yyyy">
                  <c:v>0.01</c:v>
                </c:pt>
                <c:pt idx="744" formatCode="m/d/yyyy">
                  <c:v>0.01</c:v>
                </c:pt>
                <c:pt idx="745" formatCode="m/d/yyyy">
                  <c:v>0.01</c:v>
                </c:pt>
                <c:pt idx="746" formatCode="m/d/yyyy">
                  <c:v>0.01</c:v>
                </c:pt>
                <c:pt idx="747" formatCode="m/d/yyyy">
                  <c:v>0.01</c:v>
                </c:pt>
                <c:pt idx="748" formatCode="m/d/yyyy">
                  <c:v>0.01</c:v>
                </c:pt>
                <c:pt idx="749" formatCode="m/d/yyyy">
                  <c:v>0.01</c:v>
                </c:pt>
                <c:pt idx="750" formatCode="m/d/yyyy">
                  <c:v>0.01</c:v>
                </c:pt>
                <c:pt idx="751" formatCode="m/d/yyyy">
                  <c:v>0.01</c:v>
                </c:pt>
                <c:pt idx="752" formatCode="m/d/yyyy">
                  <c:v>0.01</c:v>
                </c:pt>
                <c:pt idx="753" formatCode="m/d/yyyy">
                  <c:v>0.01</c:v>
                </c:pt>
                <c:pt idx="754" formatCode="m/d/yyyy">
                  <c:v>0.01</c:v>
                </c:pt>
                <c:pt idx="755" formatCode="m/d/yyyy">
                  <c:v>0.01</c:v>
                </c:pt>
                <c:pt idx="756" formatCode="m/d/yyyy">
                  <c:v>0.01</c:v>
                </c:pt>
                <c:pt idx="757" formatCode="m/d/yyyy">
                  <c:v>0.01</c:v>
                </c:pt>
                <c:pt idx="758" formatCode="m/d/yyyy">
                  <c:v>0.01</c:v>
                </c:pt>
                <c:pt idx="759" formatCode="m/d/yyyy">
                  <c:v>0.01</c:v>
                </c:pt>
                <c:pt idx="760" formatCode="m/d/yyyy">
                  <c:v>0.01</c:v>
                </c:pt>
                <c:pt idx="761" formatCode="m/d/yyyy">
                  <c:v>0.01</c:v>
                </c:pt>
                <c:pt idx="762" formatCode="m/d/yyyy">
                  <c:v>0.01</c:v>
                </c:pt>
                <c:pt idx="763" formatCode="m/d/yyyy">
                  <c:v>0.01</c:v>
                </c:pt>
                <c:pt idx="764" formatCode="m/d/yyyy">
                  <c:v>0.01</c:v>
                </c:pt>
                <c:pt idx="765" formatCode="m/d/yyyy">
                  <c:v>0.01</c:v>
                </c:pt>
                <c:pt idx="766" formatCode="m/d/yyyy">
                  <c:v>0.01</c:v>
                </c:pt>
                <c:pt idx="767" formatCode="m/d/yyyy">
                  <c:v>0.01</c:v>
                </c:pt>
                <c:pt idx="768" formatCode="m/d/yyyy">
                  <c:v>0.01</c:v>
                </c:pt>
                <c:pt idx="769" formatCode="m/d/yyyy">
                  <c:v>0.01</c:v>
                </c:pt>
                <c:pt idx="770" formatCode="m/d/yyyy">
                  <c:v>0.01</c:v>
                </c:pt>
                <c:pt idx="771" formatCode="m/d/yyyy">
                  <c:v>0.01</c:v>
                </c:pt>
                <c:pt idx="772" formatCode="m/d/yyyy">
                  <c:v>0.01</c:v>
                </c:pt>
                <c:pt idx="773" formatCode="m/d/yyyy">
                  <c:v>0.01</c:v>
                </c:pt>
                <c:pt idx="774" formatCode="m/d/yyyy">
                  <c:v>0.01</c:v>
                </c:pt>
                <c:pt idx="775" formatCode="m/d/yyyy">
                  <c:v>0.01</c:v>
                </c:pt>
                <c:pt idx="776" formatCode="m/d/yyyy">
                  <c:v>0.01</c:v>
                </c:pt>
                <c:pt idx="777" formatCode="m/d/yyyy">
                  <c:v>0.01</c:v>
                </c:pt>
                <c:pt idx="778" formatCode="m/d/yyyy">
                  <c:v>0.01</c:v>
                </c:pt>
                <c:pt idx="779" formatCode="m/d/yyyy">
                  <c:v>0.01</c:v>
                </c:pt>
                <c:pt idx="780" formatCode="m/d/yyyy">
                  <c:v>0.01</c:v>
                </c:pt>
                <c:pt idx="781" formatCode="m/d/yyyy">
                  <c:v>0.01</c:v>
                </c:pt>
                <c:pt idx="782" formatCode="m/d/yyyy">
                  <c:v>0.01</c:v>
                </c:pt>
                <c:pt idx="783" formatCode="m/d/yyyy">
                  <c:v>0.01</c:v>
                </c:pt>
                <c:pt idx="784" formatCode="m/d/yyyy">
                  <c:v>0.01</c:v>
                </c:pt>
                <c:pt idx="785" formatCode="m/d/yyyy">
                  <c:v>0.01</c:v>
                </c:pt>
                <c:pt idx="786" formatCode="m/d/yyyy">
                  <c:v>0.01</c:v>
                </c:pt>
                <c:pt idx="787" formatCode="m/d/yyyy">
                  <c:v>0.01</c:v>
                </c:pt>
                <c:pt idx="788" formatCode="m/d/yyyy">
                  <c:v>0.01</c:v>
                </c:pt>
                <c:pt idx="789" formatCode="m/d/yyyy">
                  <c:v>0.01</c:v>
                </c:pt>
                <c:pt idx="790" formatCode="m/d/yyyy">
                  <c:v>0.01</c:v>
                </c:pt>
                <c:pt idx="791" formatCode="m/d/yyyy">
                  <c:v>0.01</c:v>
                </c:pt>
                <c:pt idx="792" formatCode="m/d/yyyy">
                  <c:v>0.01</c:v>
                </c:pt>
                <c:pt idx="793" formatCode="m/d/yyyy">
                  <c:v>0.01</c:v>
                </c:pt>
                <c:pt idx="794" formatCode="m/d/yyyy">
                  <c:v>0.01</c:v>
                </c:pt>
                <c:pt idx="795" formatCode="m/d/yyyy">
                  <c:v>0.01</c:v>
                </c:pt>
                <c:pt idx="796" formatCode="m/d/yyyy">
                  <c:v>0.01</c:v>
                </c:pt>
                <c:pt idx="797" formatCode="m/d/yyyy">
                  <c:v>0.01</c:v>
                </c:pt>
                <c:pt idx="798" formatCode="m/d/yyyy">
                  <c:v>0.01</c:v>
                </c:pt>
                <c:pt idx="799" formatCode="m/d/yyyy">
                  <c:v>0.01</c:v>
                </c:pt>
                <c:pt idx="800" formatCode="m/d/yyyy">
                  <c:v>0.01</c:v>
                </c:pt>
                <c:pt idx="801" formatCode="m/d/yyyy">
                  <c:v>0.01</c:v>
                </c:pt>
                <c:pt idx="802" formatCode="m/d/yyyy">
                  <c:v>0.01</c:v>
                </c:pt>
                <c:pt idx="803" formatCode="m/d/yyyy">
                  <c:v>0.01</c:v>
                </c:pt>
                <c:pt idx="804" formatCode="m/d/yyyy">
                  <c:v>0.01</c:v>
                </c:pt>
                <c:pt idx="805" formatCode="m/d/yyyy">
                  <c:v>0.01</c:v>
                </c:pt>
                <c:pt idx="806" formatCode="m/d/yyyy">
                  <c:v>0.01</c:v>
                </c:pt>
                <c:pt idx="807" formatCode="m/d/yyyy">
                  <c:v>0.01</c:v>
                </c:pt>
                <c:pt idx="808" formatCode="m/d/yyyy">
                  <c:v>0.01</c:v>
                </c:pt>
                <c:pt idx="809" formatCode="m/d/yyyy">
                  <c:v>0.01</c:v>
                </c:pt>
                <c:pt idx="810" formatCode="m/d/yyyy">
                  <c:v>0.01</c:v>
                </c:pt>
                <c:pt idx="811" formatCode="m/d/yyyy">
                  <c:v>0.01</c:v>
                </c:pt>
                <c:pt idx="812" formatCode="m/d/yyyy">
                  <c:v>0.01</c:v>
                </c:pt>
                <c:pt idx="813" formatCode="m/d/yyyy">
                  <c:v>0.01</c:v>
                </c:pt>
                <c:pt idx="814" formatCode="m/d/yyyy">
                  <c:v>0.01</c:v>
                </c:pt>
                <c:pt idx="815" formatCode="m/d/yyyy">
                  <c:v>0.01</c:v>
                </c:pt>
                <c:pt idx="816" formatCode="m/d/yyyy">
                  <c:v>0.01</c:v>
                </c:pt>
                <c:pt idx="817" formatCode="m/d/yyyy">
                  <c:v>0.01</c:v>
                </c:pt>
                <c:pt idx="818" formatCode="m/d/yyyy">
                  <c:v>0.01</c:v>
                </c:pt>
                <c:pt idx="819" formatCode="m/d/yyyy">
                  <c:v>0.01</c:v>
                </c:pt>
                <c:pt idx="820" formatCode="m/d/yyyy">
                  <c:v>0.01</c:v>
                </c:pt>
                <c:pt idx="821" formatCode="m/d/yyyy">
                  <c:v>0.01</c:v>
                </c:pt>
                <c:pt idx="822" formatCode="m/d/yyyy">
                  <c:v>0.01</c:v>
                </c:pt>
                <c:pt idx="823" formatCode="m/d/yyyy">
                  <c:v>0.01</c:v>
                </c:pt>
                <c:pt idx="824" formatCode="m/d/yyyy">
                  <c:v>0.01</c:v>
                </c:pt>
                <c:pt idx="825" formatCode="m/d/yyyy">
                  <c:v>0.01</c:v>
                </c:pt>
                <c:pt idx="826" formatCode="m/d/yyyy">
                  <c:v>0.01</c:v>
                </c:pt>
                <c:pt idx="827" formatCode="m/d/yyyy">
                  <c:v>0.01</c:v>
                </c:pt>
                <c:pt idx="828" formatCode="m/d/yyyy">
                  <c:v>0.01</c:v>
                </c:pt>
                <c:pt idx="829" formatCode="m/d/yyyy">
                  <c:v>0.01</c:v>
                </c:pt>
                <c:pt idx="830" formatCode="m/d/yyyy">
                  <c:v>0.01</c:v>
                </c:pt>
                <c:pt idx="831" formatCode="m/d/yyyy">
                  <c:v>0.01</c:v>
                </c:pt>
                <c:pt idx="832" formatCode="m/d/yyyy">
                  <c:v>0.01</c:v>
                </c:pt>
                <c:pt idx="833" formatCode="m/d/yyyy">
                  <c:v>0.01</c:v>
                </c:pt>
                <c:pt idx="834" formatCode="m/d/yyyy">
                  <c:v>0.01</c:v>
                </c:pt>
                <c:pt idx="835" formatCode="m/d/yyyy">
                  <c:v>0.01</c:v>
                </c:pt>
                <c:pt idx="836" formatCode="m/d/yyyy">
                  <c:v>0.01</c:v>
                </c:pt>
                <c:pt idx="837" formatCode="m/d/yyyy">
                  <c:v>0.01</c:v>
                </c:pt>
                <c:pt idx="838" formatCode="m/d/yyyy">
                  <c:v>0.01</c:v>
                </c:pt>
                <c:pt idx="839" formatCode="m/d/yyyy">
                  <c:v>0.01</c:v>
                </c:pt>
                <c:pt idx="840" formatCode="m/d/yyyy">
                  <c:v>0.01</c:v>
                </c:pt>
                <c:pt idx="841" formatCode="m/d/yyyy">
                  <c:v>0.01</c:v>
                </c:pt>
                <c:pt idx="842" formatCode="m/d/yyyy">
                  <c:v>0.01</c:v>
                </c:pt>
                <c:pt idx="843" formatCode="m/d/yyyy">
                  <c:v>0.01</c:v>
                </c:pt>
                <c:pt idx="844" formatCode="m/d/yyyy">
                  <c:v>0.01</c:v>
                </c:pt>
                <c:pt idx="845" formatCode="m/d/yyyy">
                  <c:v>0.01</c:v>
                </c:pt>
                <c:pt idx="846" formatCode="m/d/yyyy">
                  <c:v>0.01</c:v>
                </c:pt>
                <c:pt idx="847" formatCode="m/d/yyyy">
                  <c:v>0.01</c:v>
                </c:pt>
                <c:pt idx="848" formatCode="m/d/yyyy">
                  <c:v>0.01</c:v>
                </c:pt>
                <c:pt idx="849" formatCode="m/d/yyyy">
                  <c:v>0.01</c:v>
                </c:pt>
                <c:pt idx="850" formatCode="m/d/yyyy">
                  <c:v>0.01</c:v>
                </c:pt>
                <c:pt idx="851" formatCode="m/d/yyyy">
                  <c:v>0.01</c:v>
                </c:pt>
                <c:pt idx="852" formatCode="m/d/yyyy">
                  <c:v>0.01</c:v>
                </c:pt>
                <c:pt idx="853" formatCode="m/d/yyyy">
                  <c:v>0.01</c:v>
                </c:pt>
                <c:pt idx="854" formatCode="m/d/yyyy">
                  <c:v>0.01</c:v>
                </c:pt>
                <c:pt idx="855" formatCode="m/d/yyyy">
                  <c:v>0.01</c:v>
                </c:pt>
                <c:pt idx="856" formatCode="m/d/yyyy">
                  <c:v>0.01</c:v>
                </c:pt>
                <c:pt idx="857" formatCode="m/d/yyyy">
                  <c:v>0.01</c:v>
                </c:pt>
                <c:pt idx="858" formatCode="m/d/yyyy">
                  <c:v>0.01</c:v>
                </c:pt>
                <c:pt idx="859" formatCode="m/d/yyyy">
                  <c:v>0.01</c:v>
                </c:pt>
                <c:pt idx="860" formatCode="m/d/yyyy">
                  <c:v>0.01</c:v>
                </c:pt>
                <c:pt idx="861" formatCode="m/d/yyyy">
                  <c:v>0.01</c:v>
                </c:pt>
                <c:pt idx="862" formatCode="m/d/yyyy">
                  <c:v>0.01</c:v>
                </c:pt>
                <c:pt idx="863" formatCode="m/d/yyyy">
                  <c:v>0.01</c:v>
                </c:pt>
                <c:pt idx="864" formatCode="m/d/yyyy">
                  <c:v>0.01</c:v>
                </c:pt>
                <c:pt idx="865" formatCode="m/d/yyyy">
                  <c:v>0.01</c:v>
                </c:pt>
                <c:pt idx="866" formatCode="m/d/yyyy">
                  <c:v>0.01</c:v>
                </c:pt>
                <c:pt idx="867" formatCode="m/d/yyyy">
                  <c:v>0.01</c:v>
                </c:pt>
                <c:pt idx="868" formatCode="m/d/yyyy">
                  <c:v>0.01</c:v>
                </c:pt>
                <c:pt idx="869" formatCode="m/d/yyyy">
                  <c:v>0.01</c:v>
                </c:pt>
                <c:pt idx="870" formatCode="m/d/yyyy">
                  <c:v>0.01</c:v>
                </c:pt>
                <c:pt idx="871" formatCode="m/d/yyyy">
                  <c:v>0.01</c:v>
                </c:pt>
                <c:pt idx="872" formatCode="m/d/yyyy">
                  <c:v>0.01</c:v>
                </c:pt>
                <c:pt idx="873" formatCode="m/d/yyyy">
                  <c:v>0.01</c:v>
                </c:pt>
                <c:pt idx="874" formatCode="m/d/yyyy">
                  <c:v>0.01</c:v>
                </c:pt>
                <c:pt idx="875" formatCode="m/d/yyyy">
                  <c:v>0.01</c:v>
                </c:pt>
                <c:pt idx="876" formatCode="m/d/yyyy">
                  <c:v>0.01</c:v>
                </c:pt>
                <c:pt idx="877" formatCode="m/d/yyyy">
                  <c:v>0.01</c:v>
                </c:pt>
                <c:pt idx="878" formatCode="m/d/yyyy">
                  <c:v>0.01</c:v>
                </c:pt>
                <c:pt idx="879" formatCode="m/d/yyyy">
                  <c:v>0.01</c:v>
                </c:pt>
                <c:pt idx="880" formatCode="m/d/yyyy">
                  <c:v>0.01</c:v>
                </c:pt>
                <c:pt idx="881" formatCode="m/d/yyyy">
                  <c:v>0.01</c:v>
                </c:pt>
                <c:pt idx="882" formatCode="m/d/yyyy">
                  <c:v>0.01</c:v>
                </c:pt>
                <c:pt idx="883" formatCode="m/d/yyyy">
                  <c:v>0.01</c:v>
                </c:pt>
                <c:pt idx="884" formatCode="m/d/yyyy">
                  <c:v>0.01</c:v>
                </c:pt>
                <c:pt idx="885" formatCode="m/d/yyyy">
                  <c:v>0.01</c:v>
                </c:pt>
                <c:pt idx="886" formatCode="m/d/yyyy">
                  <c:v>0.01</c:v>
                </c:pt>
                <c:pt idx="887" formatCode="m/d/yyyy">
                  <c:v>0.01</c:v>
                </c:pt>
                <c:pt idx="888" formatCode="m/d/yyyy">
                  <c:v>0.01</c:v>
                </c:pt>
                <c:pt idx="889" formatCode="m/d/yyyy">
                  <c:v>0.01</c:v>
                </c:pt>
                <c:pt idx="890" formatCode="m/d/yyyy">
                  <c:v>0.01</c:v>
                </c:pt>
                <c:pt idx="891" formatCode="m/d/yyyy">
                  <c:v>0.01</c:v>
                </c:pt>
                <c:pt idx="892" formatCode="m/d/yyyy">
                  <c:v>0.01</c:v>
                </c:pt>
                <c:pt idx="893" formatCode="m/d/yyyy">
                  <c:v>0.01</c:v>
                </c:pt>
                <c:pt idx="894" formatCode="m/d/yyyy">
                  <c:v>0.01</c:v>
                </c:pt>
                <c:pt idx="895" formatCode="m/d/yyyy">
                  <c:v>0.01</c:v>
                </c:pt>
                <c:pt idx="896" formatCode="m/d/yyyy">
                  <c:v>0.01</c:v>
                </c:pt>
                <c:pt idx="897" formatCode="m/d/yyyy">
                  <c:v>0.01</c:v>
                </c:pt>
                <c:pt idx="898" formatCode="m/d/yyyy">
                  <c:v>0.01</c:v>
                </c:pt>
                <c:pt idx="899" formatCode="m/d/yyyy">
                  <c:v>0.01</c:v>
                </c:pt>
                <c:pt idx="900" formatCode="m/d/yyyy">
                  <c:v>0.01</c:v>
                </c:pt>
                <c:pt idx="901" formatCode="m/d/yyyy">
                  <c:v>0.01</c:v>
                </c:pt>
                <c:pt idx="902" formatCode="m/d/yyyy">
                  <c:v>0.01</c:v>
                </c:pt>
                <c:pt idx="903" formatCode="m/d/yyyy">
                  <c:v>0.01</c:v>
                </c:pt>
                <c:pt idx="904" formatCode="m/d/yyyy">
                  <c:v>0.01</c:v>
                </c:pt>
                <c:pt idx="905" formatCode="m/d/yyyy">
                  <c:v>0.01</c:v>
                </c:pt>
                <c:pt idx="906" formatCode="m/d/yyyy">
                  <c:v>0.01</c:v>
                </c:pt>
                <c:pt idx="907" formatCode="m/d/yyyy">
                  <c:v>0.01</c:v>
                </c:pt>
                <c:pt idx="908" formatCode="m/d/yyyy">
                  <c:v>0.01</c:v>
                </c:pt>
                <c:pt idx="909" formatCode="m/d/yyyy">
                  <c:v>0.01</c:v>
                </c:pt>
                <c:pt idx="910" formatCode="m/d/yyyy">
                  <c:v>0.01</c:v>
                </c:pt>
                <c:pt idx="911" formatCode="m/d/yyyy">
                  <c:v>0.01</c:v>
                </c:pt>
                <c:pt idx="912" formatCode="m/d/yyyy">
                  <c:v>0.01</c:v>
                </c:pt>
                <c:pt idx="913" formatCode="m/d/yyyy">
                  <c:v>0.01</c:v>
                </c:pt>
                <c:pt idx="914" formatCode="m/d/yyyy">
                  <c:v>0.01</c:v>
                </c:pt>
                <c:pt idx="915" formatCode="m/d/yyyy">
                  <c:v>0.01</c:v>
                </c:pt>
                <c:pt idx="916" formatCode="m/d/yyyy">
                  <c:v>0.01</c:v>
                </c:pt>
                <c:pt idx="917" formatCode="m/d/yyyy">
                  <c:v>0.01</c:v>
                </c:pt>
                <c:pt idx="918" formatCode="m/d/yyyy">
                  <c:v>0.01</c:v>
                </c:pt>
                <c:pt idx="919" formatCode="m/d/yyyy">
                  <c:v>0.01</c:v>
                </c:pt>
                <c:pt idx="920" formatCode="m/d/yyyy">
                  <c:v>0.01</c:v>
                </c:pt>
                <c:pt idx="921" formatCode="m/d/yyyy">
                  <c:v>0.01</c:v>
                </c:pt>
                <c:pt idx="922" formatCode="m/d/yyyy">
                  <c:v>0.01</c:v>
                </c:pt>
                <c:pt idx="923" formatCode="m/d/yyyy">
                  <c:v>0.01</c:v>
                </c:pt>
                <c:pt idx="924" formatCode="m/d/yyyy">
                  <c:v>0.01</c:v>
                </c:pt>
                <c:pt idx="925" formatCode="m/d/yyyy">
                  <c:v>0.01</c:v>
                </c:pt>
                <c:pt idx="926" formatCode="m/d/yyyy">
                  <c:v>0.01</c:v>
                </c:pt>
                <c:pt idx="927" formatCode="m/d/yyyy">
                  <c:v>0.01</c:v>
                </c:pt>
                <c:pt idx="928" formatCode="m/d/yyyy">
                  <c:v>0.01</c:v>
                </c:pt>
                <c:pt idx="929" formatCode="m/d/yyyy">
                  <c:v>0.01</c:v>
                </c:pt>
                <c:pt idx="930" formatCode="m/d/yyyy">
                  <c:v>0.01</c:v>
                </c:pt>
                <c:pt idx="931" formatCode="m/d/yyyy">
                  <c:v>0.01</c:v>
                </c:pt>
                <c:pt idx="932" formatCode="m/d/yyyy">
                  <c:v>0.01</c:v>
                </c:pt>
                <c:pt idx="933" formatCode="m/d/yyyy">
                  <c:v>0.01</c:v>
                </c:pt>
                <c:pt idx="934" formatCode="m/d/yyyy">
                  <c:v>0.01</c:v>
                </c:pt>
                <c:pt idx="935" formatCode="m/d/yyyy">
                  <c:v>0.01</c:v>
                </c:pt>
                <c:pt idx="936" formatCode="m/d/yyyy">
                  <c:v>0.01</c:v>
                </c:pt>
                <c:pt idx="937" formatCode="m/d/yyyy">
                  <c:v>0.01</c:v>
                </c:pt>
                <c:pt idx="938" formatCode="m/d/yyyy">
                  <c:v>0.01</c:v>
                </c:pt>
                <c:pt idx="939" formatCode="m/d/yyyy">
                  <c:v>0.01</c:v>
                </c:pt>
                <c:pt idx="940" formatCode="m/d/yyyy">
                  <c:v>0.01</c:v>
                </c:pt>
                <c:pt idx="941" formatCode="m/d/yyyy">
                  <c:v>0.01</c:v>
                </c:pt>
                <c:pt idx="942" formatCode="m/d/yyyy">
                  <c:v>0.01</c:v>
                </c:pt>
                <c:pt idx="943" formatCode="m/d/yyyy">
                  <c:v>0.01</c:v>
                </c:pt>
                <c:pt idx="944" formatCode="m/d/yyyy">
                  <c:v>0.01</c:v>
                </c:pt>
                <c:pt idx="945" formatCode="m/d/yyyy">
                  <c:v>0.01</c:v>
                </c:pt>
                <c:pt idx="946" formatCode="m/d/yyyy">
                  <c:v>0.01</c:v>
                </c:pt>
                <c:pt idx="947" formatCode="m/d/yyyy">
                  <c:v>0.01</c:v>
                </c:pt>
                <c:pt idx="948" formatCode="m/d/yyyy">
                  <c:v>0.01</c:v>
                </c:pt>
                <c:pt idx="949" formatCode="m/d/yyyy">
                  <c:v>0.01</c:v>
                </c:pt>
                <c:pt idx="950" formatCode="m/d/yyyy">
                  <c:v>0.01</c:v>
                </c:pt>
                <c:pt idx="951" formatCode="m/d/yyyy">
                  <c:v>0.01</c:v>
                </c:pt>
                <c:pt idx="952" formatCode="m/d/yyyy">
                  <c:v>0.01</c:v>
                </c:pt>
                <c:pt idx="953" formatCode="m/d/yyyy">
                  <c:v>0.01</c:v>
                </c:pt>
                <c:pt idx="954" formatCode="m/d/yyyy">
                  <c:v>0.01</c:v>
                </c:pt>
                <c:pt idx="955" formatCode="m/d/yyyy">
                  <c:v>0.01</c:v>
                </c:pt>
                <c:pt idx="956" formatCode="m/d/yyyy">
                  <c:v>0.01</c:v>
                </c:pt>
                <c:pt idx="957" formatCode="m/d/yyyy">
                  <c:v>0.01</c:v>
                </c:pt>
                <c:pt idx="958" formatCode="m/d/yyyy">
                  <c:v>0.01</c:v>
                </c:pt>
                <c:pt idx="959" formatCode="m/d/yyyy">
                  <c:v>0.01</c:v>
                </c:pt>
                <c:pt idx="960" formatCode="m/d/yyyy">
                  <c:v>0.01</c:v>
                </c:pt>
                <c:pt idx="961" formatCode="m/d/yyyy">
                  <c:v>0.01</c:v>
                </c:pt>
                <c:pt idx="962" formatCode="m/d/yyyy">
                  <c:v>0.01</c:v>
                </c:pt>
                <c:pt idx="963" formatCode="m/d/yyyy">
                  <c:v>0.01</c:v>
                </c:pt>
                <c:pt idx="964" formatCode="m/d/yyyy">
                  <c:v>0.01</c:v>
                </c:pt>
                <c:pt idx="965" formatCode="m/d/yyyy">
                  <c:v>0.01</c:v>
                </c:pt>
                <c:pt idx="966" formatCode="m/d/yyyy">
                  <c:v>0.01</c:v>
                </c:pt>
                <c:pt idx="967" formatCode="m/d/yyyy">
                  <c:v>0.01</c:v>
                </c:pt>
                <c:pt idx="968" formatCode="m/d/yyyy">
                  <c:v>0.01</c:v>
                </c:pt>
                <c:pt idx="969" formatCode="m/d/yyyy">
                  <c:v>0.01</c:v>
                </c:pt>
                <c:pt idx="970" formatCode="m/d/yyyy">
                  <c:v>0.01</c:v>
                </c:pt>
                <c:pt idx="971" formatCode="m/d/yyyy">
                  <c:v>0.01</c:v>
                </c:pt>
                <c:pt idx="972" formatCode="m/d/yyyy">
                  <c:v>0.01</c:v>
                </c:pt>
                <c:pt idx="973" formatCode="m/d/yyyy">
                  <c:v>0.01</c:v>
                </c:pt>
                <c:pt idx="974" formatCode="m/d/yyyy">
                  <c:v>0.01</c:v>
                </c:pt>
                <c:pt idx="975" formatCode="m/d/yyyy">
                  <c:v>0.01</c:v>
                </c:pt>
                <c:pt idx="976" formatCode="m/d/yyyy">
                  <c:v>0.01</c:v>
                </c:pt>
                <c:pt idx="977" formatCode="m/d/yyyy">
                  <c:v>0.01</c:v>
                </c:pt>
                <c:pt idx="978" formatCode="m/d/yyyy">
                  <c:v>0.01</c:v>
                </c:pt>
                <c:pt idx="979" formatCode="m/d/yyyy">
                  <c:v>0.01</c:v>
                </c:pt>
                <c:pt idx="980" formatCode="m/d/yyyy">
                  <c:v>0.01</c:v>
                </c:pt>
                <c:pt idx="981" formatCode="m/d/yyyy">
                  <c:v>0.01</c:v>
                </c:pt>
                <c:pt idx="982" formatCode="m/d/yyyy">
                  <c:v>0.01</c:v>
                </c:pt>
                <c:pt idx="983" formatCode="m/d/yyyy">
                  <c:v>0.01</c:v>
                </c:pt>
                <c:pt idx="984" formatCode="m/d/yyyy">
                  <c:v>0.01</c:v>
                </c:pt>
                <c:pt idx="985" formatCode="m/d/yyyy">
                  <c:v>0.01</c:v>
                </c:pt>
                <c:pt idx="986" formatCode="m/d/yyyy">
                  <c:v>0.01</c:v>
                </c:pt>
                <c:pt idx="987" formatCode="m/d/yyyy">
                  <c:v>0.01</c:v>
                </c:pt>
                <c:pt idx="988" formatCode="m/d/yyyy">
                  <c:v>0.01</c:v>
                </c:pt>
                <c:pt idx="989" formatCode="m/d/yyyy">
                  <c:v>0.01</c:v>
                </c:pt>
                <c:pt idx="990" formatCode="m/d/yyyy">
                  <c:v>0.01</c:v>
                </c:pt>
                <c:pt idx="991" formatCode="m/d/yyyy">
                  <c:v>0.01</c:v>
                </c:pt>
                <c:pt idx="992" formatCode="m/d/yyyy">
                  <c:v>0.01</c:v>
                </c:pt>
                <c:pt idx="993" formatCode="m/d/yyyy">
                  <c:v>0.01</c:v>
                </c:pt>
                <c:pt idx="994" formatCode="m/d/yyyy">
                  <c:v>0.01</c:v>
                </c:pt>
                <c:pt idx="995" formatCode="m/d/yyyy">
                  <c:v>0.01</c:v>
                </c:pt>
                <c:pt idx="996" formatCode="m/d/yyyy">
                  <c:v>0.01</c:v>
                </c:pt>
                <c:pt idx="997" formatCode="m/d/yyyy">
                  <c:v>0.01</c:v>
                </c:pt>
                <c:pt idx="998" formatCode="m/d/yyyy">
                  <c:v>0.01</c:v>
                </c:pt>
                <c:pt idx="999" formatCode="m/d/yyyy">
                  <c:v>0.01</c:v>
                </c:pt>
                <c:pt idx="1000" formatCode="m/d/yyyy">
                  <c:v>0.01</c:v>
                </c:pt>
                <c:pt idx="1001" formatCode="m/d/yyyy">
                  <c:v>0.01</c:v>
                </c:pt>
                <c:pt idx="1002" formatCode="m/d/yyyy">
                  <c:v>0.01</c:v>
                </c:pt>
                <c:pt idx="1003" formatCode="m/d/yyyy">
                  <c:v>0.01</c:v>
                </c:pt>
                <c:pt idx="1004" formatCode="m/d/yyyy">
                  <c:v>0.01</c:v>
                </c:pt>
                <c:pt idx="1005" formatCode="m/d/yyyy">
                  <c:v>0.01</c:v>
                </c:pt>
                <c:pt idx="1006" formatCode="m/d/yyyy">
                  <c:v>0.01</c:v>
                </c:pt>
                <c:pt idx="1007" formatCode="m/d/yyyy">
                  <c:v>0.01</c:v>
                </c:pt>
                <c:pt idx="1008" formatCode="m/d/yyyy">
                  <c:v>0.01</c:v>
                </c:pt>
                <c:pt idx="1009" formatCode="m/d/yyyy">
                  <c:v>0.01</c:v>
                </c:pt>
                <c:pt idx="1010" formatCode="m/d/yyyy">
                  <c:v>0.01</c:v>
                </c:pt>
                <c:pt idx="1011" formatCode="m/d/yyyy">
                  <c:v>0.01</c:v>
                </c:pt>
                <c:pt idx="1012" formatCode="m/d/yyyy">
                  <c:v>0.01</c:v>
                </c:pt>
                <c:pt idx="1013" formatCode="m/d/yyyy">
                  <c:v>0.01</c:v>
                </c:pt>
                <c:pt idx="1014" formatCode="m/d/yyyy">
                  <c:v>0.01</c:v>
                </c:pt>
                <c:pt idx="1015" formatCode="m/d/yyyy">
                  <c:v>0.01</c:v>
                </c:pt>
                <c:pt idx="1016" formatCode="m/d/yyyy">
                  <c:v>0.01</c:v>
                </c:pt>
                <c:pt idx="1017" formatCode="m/d/yyyy">
                  <c:v>0.01</c:v>
                </c:pt>
                <c:pt idx="1018" formatCode="m/d/yyyy">
                  <c:v>0.01</c:v>
                </c:pt>
                <c:pt idx="1019" formatCode="m/d/yyyy">
                  <c:v>0.01</c:v>
                </c:pt>
                <c:pt idx="1020" formatCode="m/d/yyyy">
                  <c:v>0.01</c:v>
                </c:pt>
                <c:pt idx="1021" formatCode="m/d/yyyy">
                  <c:v>0.01</c:v>
                </c:pt>
                <c:pt idx="1022" formatCode="m/d/yyyy">
                  <c:v>0.01</c:v>
                </c:pt>
                <c:pt idx="1023" formatCode="m/d/yyyy">
                  <c:v>0.01</c:v>
                </c:pt>
                <c:pt idx="1024" formatCode="m/d/yyyy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52-4C80-A541-EB6F430D4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549423"/>
        <c:axId val="518542223"/>
      </c:scatterChart>
      <c:valAx>
        <c:axId val="51854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42223"/>
        <c:crosses val="autoZero"/>
        <c:crossBetween val="midCat"/>
      </c:valAx>
      <c:valAx>
        <c:axId val="51854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49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194552</xdr:colOff>
      <xdr:row>1</xdr:row>
      <xdr:rowOff>90237</xdr:rowOff>
    </xdr:from>
    <xdr:to>
      <xdr:col>18</xdr:col>
      <xdr:colOff>320842</xdr:colOff>
      <xdr:row>21</xdr:row>
      <xdr:rowOff>130343</xdr:rowOff>
    </xdr:to>
    <xdr:graphicFrame macro="">
      <xdr:nvGraphicFramePr>
        <xdr:cNvPr id="3" name="Graphique 1">
          <a:extLst>
            <a:ext uri="{FF2B5EF4-FFF2-40B4-BE49-F238E27FC236}">
              <a16:creationId xmlns:a16="http://schemas.microsoft.com/office/drawing/2014/main" id="{DA2645DF-CFEF-33C1-8DA4-F8532D499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8CB6-5C0E-4623-B3F0-49756EB7685D}">
  <dimension ref="B2:AF1025"/>
  <sheetViews>
    <sheetView tabSelected="1" zoomScale="96" zoomScaleNormal="78" workbookViewId="0">
      <selection activeCell="D4" sqref="D4"/>
    </sheetView>
  </sheetViews>
  <sheetFormatPr baseColWidth="10" defaultColWidth="15.44140625" defaultRowHeight="14.4" customHeight="1"/>
  <cols>
    <col min="1" max="3" width="15.44140625" style="4"/>
    <col min="4" max="4" width="15.44140625" style="6"/>
    <col min="5" max="12" width="15.44140625" style="4"/>
    <col min="13" max="13" width="15.44140625" style="4" customWidth="1"/>
    <col min="14" max="20" width="15.44140625" style="4"/>
    <col min="21" max="26" width="15.44140625" style="13"/>
    <col min="27" max="28" width="15.44140625" style="4"/>
    <col min="29" max="29" width="15.44140625" style="13"/>
    <col min="30" max="31" width="15.44140625" style="4"/>
    <col min="32" max="32" width="15.44140625" style="13"/>
    <col min="33" max="16384" width="15.44140625" style="4"/>
  </cols>
  <sheetData>
    <row r="2" spans="2:12" ht="14.4" customHeight="1" thickBot="1">
      <c r="D2" s="10" t="s">
        <v>0</v>
      </c>
      <c r="E2" s="11" t="s">
        <v>1</v>
      </c>
      <c r="F2" s="11" t="s">
        <v>2</v>
      </c>
      <c r="G2" s="11" t="s">
        <v>8</v>
      </c>
      <c r="H2" s="11" t="s">
        <v>7</v>
      </c>
      <c r="K2" s="12" t="s">
        <v>3</v>
      </c>
      <c r="L2" s="12" t="s">
        <v>5</v>
      </c>
    </row>
    <row r="3" spans="2:12" ht="14.4" customHeight="1">
      <c r="B3" s="56" t="s">
        <v>3</v>
      </c>
      <c r="D3" s="2">
        <v>42006</v>
      </c>
      <c r="E3" s="3">
        <v>5.6210000000000004</v>
      </c>
      <c r="F3" s="3"/>
      <c r="G3" s="22">
        <f t="array" ref="G3">SUMPRODUCT(IF(((H3-$F$4:$F$515)/$B$10)&lt;=-1,0,IF(((H3-$F$4:$F$515)/$B$10)&gt;=1,1,(15/16)*(((H3-$F$4:$F$515)/$B$10)-(2/3)*((H3-$F$4:$F$515)/$B$10)^3+(1/5)*((H3-$F$4:$F$515)/$B$10)^5+8/15))))/COUNT($F$4:$F$515)</f>
        <v>0</v>
      </c>
      <c r="H3" s="1">
        <f>MIN(F4:F515)-5*$B$10</f>
        <v>-0.22462855031216636</v>
      </c>
      <c r="K3" s="2">
        <v>0.01</v>
      </c>
      <c r="L3" s="3">
        <f>$B$7</f>
        <v>-3.8928550312169082E-2</v>
      </c>
    </row>
    <row r="4" spans="2:12" ht="14.4" customHeight="1" thickBot="1">
      <c r="B4" s="58">
        <v>0.05</v>
      </c>
      <c r="D4" s="7">
        <v>42009</v>
      </c>
      <c r="E4" s="8">
        <v>5.4240000000000004</v>
      </c>
      <c r="F4" s="8">
        <f>LN(E4/E3)</f>
        <v>-3.5676033381843497E-2</v>
      </c>
      <c r="G4" s="8" cm="1">
        <f t="array" ref="G4">SUMPRODUCT(IF(((H4-$F$4:$F$515)/$B$10)&lt;=-1,0,IF(((H4-$F$4:$F$515)/$B$10)&gt;=1,1,(15/16)*(((H4-$F$4:$F$515)/$B$10)-(2/3)*((H4-$F$4:$F$515)/$B$10)^3+(1/5)*((H4-$F$4:$F$515)/$B$10)^5+8/15))))/COUNT($F$4:$F$515)</f>
        <v>0</v>
      </c>
      <c r="H4" s="9">
        <f>H3+0.0003</f>
        <v>-0.22432855031216636</v>
      </c>
      <c r="K4" s="7">
        <v>0.01</v>
      </c>
      <c r="L4" s="8">
        <f t="shared" ref="L4:L67" si="0">$B$7</f>
        <v>-3.8928550312169082E-2</v>
      </c>
    </row>
    <row r="5" spans="2:12" ht="14.4" customHeight="1" thickBot="1">
      <c r="D5" s="2">
        <v>42010</v>
      </c>
      <c r="E5" s="3">
        <v>5.3289999999999997</v>
      </c>
      <c r="F5" s="3">
        <f t="shared" ref="F5:F68" si="1">LN(E5/E4)</f>
        <v>-1.7669947323449411E-2</v>
      </c>
      <c r="G5" s="3" cm="1">
        <f t="array" ref="G5">SUMPRODUCT(IF(((H5-$F$4:$F$515)/$B$10)&lt;=-1,0,IF(((H5-$F$4:$F$515)/$B$10)&gt;=1,1,(15/16)*(((H5-$F$4:$F$515)/$B$10)-(2/3)*((H5-$F$4:$F$515)/$B$10)^3+(1/5)*((H5-$F$4:$F$515)/$B$10)^5+8/15))))/COUNT($F$4:$F$515)</f>
        <v>0</v>
      </c>
      <c r="H5" s="1">
        <f t="shared" ref="H5:H68" si="2">H4+0.0003</f>
        <v>-0.22402855031216637</v>
      </c>
      <c r="K5" s="2">
        <v>0.01</v>
      </c>
      <c r="L5" s="3">
        <f t="shared" si="0"/>
        <v>-3.8928550312169082E-2</v>
      </c>
    </row>
    <row r="6" spans="2:12" ht="14.4" customHeight="1">
      <c r="B6" s="56" t="s">
        <v>5</v>
      </c>
      <c r="D6" s="7">
        <v>42011</v>
      </c>
      <c r="E6" s="8">
        <v>5.2240000000000002</v>
      </c>
      <c r="F6" s="8">
        <f t="shared" si="1"/>
        <v>-1.9900211340515186E-2</v>
      </c>
      <c r="G6" s="8" cm="1">
        <f t="array" ref="G6">SUMPRODUCT(IF(((H6-$F$4:$F$515)/$B$10)&lt;=-1,0,IF(((H6-$F$4:$F$515)/$B$10)&gt;=1,1,(15/16)*(((H6-$F$4:$F$515)/$B$10)-(2/3)*((H6-$F$4:$F$515)/$B$10)^3+(1/5)*((H6-$F$4:$F$515)/$B$10)^5+8/15))))/COUNT($F$4:$F$515)</f>
        <v>0</v>
      </c>
      <c r="H6" s="9">
        <f t="shared" si="2"/>
        <v>-0.22372855031216637</v>
      </c>
      <c r="K6" s="7">
        <v>0.01</v>
      </c>
      <c r="L6" s="8">
        <f t="shared" si="0"/>
        <v>-3.8928550312169082E-2</v>
      </c>
    </row>
    <row r="7" spans="2:12" ht="14.4" customHeight="1" thickBot="1">
      <c r="B7" s="58">
        <f>INDEX(H:H,MATCH($B$4,G:G,1))</f>
        <v>-3.8928550312169082E-2</v>
      </c>
      <c r="D7" s="2">
        <v>42012</v>
      </c>
      <c r="E7" s="3">
        <v>5.4530000000000003</v>
      </c>
      <c r="F7" s="3">
        <f t="shared" si="1"/>
        <v>4.2902523969794507E-2</v>
      </c>
      <c r="G7" s="3" cm="1">
        <f t="array" ref="G7">SUMPRODUCT(IF(((H7-$F$4:$F$515)/$B$10)&lt;=-1,0,IF(((H7-$F$4:$F$515)/$B$10)&gt;=1,1,(15/16)*(((H7-$F$4:$F$515)/$B$10)-(2/3)*((H7-$F$4:$F$515)/$B$10)^3+(1/5)*((H7-$F$4:$F$515)/$B$10)^5+8/15))))/COUNT($F$4:$F$515)</f>
        <v>0</v>
      </c>
      <c r="H7" s="1">
        <f t="shared" si="2"/>
        <v>-0.22342855031216638</v>
      </c>
      <c r="K7" s="2">
        <v>0.01</v>
      </c>
      <c r="L7" s="3">
        <f t="shared" si="0"/>
        <v>-3.8928550312169082E-2</v>
      </c>
    </row>
    <row r="8" spans="2:12" ht="14.4" customHeight="1" thickBot="1">
      <c r="D8" s="7">
        <v>42013</v>
      </c>
      <c r="E8" s="8">
        <v>5.34</v>
      </c>
      <c r="F8" s="8">
        <f t="shared" si="1"/>
        <v>-2.0940262971821135E-2</v>
      </c>
      <c r="G8" s="8" cm="1">
        <f t="array" ref="G8">SUMPRODUCT(IF(((H8-$F$4:$F$515)/$B$10)&lt;=-1,0,IF(((H8-$F$4:$F$515)/$B$10)&gt;=1,1,(15/16)*(((H8-$F$4:$F$515)/$B$10)-(2/3)*((H8-$F$4:$F$515)/$B$10)^3+(1/5)*((H8-$F$4:$F$515)/$B$10)^5+8/15))))/COUNT($F$4:$F$515)</f>
        <v>0</v>
      </c>
      <c r="H8" s="9">
        <f t="shared" si="2"/>
        <v>-0.22312855031216638</v>
      </c>
      <c r="K8" s="7">
        <v>0.01</v>
      </c>
      <c r="L8" s="8">
        <f t="shared" si="0"/>
        <v>-3.8928550312169082E-2</v>
      </c>
    </row>
    <row r="9" spans="2:12" ht="14.4" customHeight="1">
      <c r="B9" s="56" t="s">
        <v>4</v>
      </c>
      <c r="D9" s="2">
        <v>42016</v>
      </c>
      <c r="E9" s="3">
        <v>5.2640000000000002</v>
      </c>
      <c r="F9" s="3">
        <f t="shared" si="1"/>
        <v>-1.4334458949087362E-2</v>
      </c>
      <c r="G9" s="3" cm="1">
        <f t="array" ref="G9">SUMPRODUCT(IF(((H9-$F$4:$F$515)/$B$10)&lt;=-1,0,IF(((H9-$F$4:$F$515)/$B$10)&gt;=1,1,(15/16)*(((H9-$F$4:$F$515)/$B$10)-(2/3)*((H9-$F$4:$F$515)/$B$10)^3+(1/5)*((H9-$F$4:$F$515)/$B$10)^5+8/15))))/COUNT($F$4:$F$515)</f>
        <v>0</v>
      </c>
      <c r="H9" s="1">
        <f t="shared" si="2"/>
        <v>-0.22282855031216639</v>
      </c>
      <c r="K9" s="2">
        <v>0.01</v>
      </c>
      <c r="L9" s="3">
        <f t="shared" si="0"/>
        <v>-3.8928550312169082E-2</v>
      </c>
    </row>
    <row r="10" spans="2:12" ht="14.4" customHeight="1" thickBot="1">
      <c r="B10" s="57">
        <f>1.06*_xlfn.STDEV.S(F4:F515)*COUNT(F4:F515)^(-1/5)</f>
        <v>7.3401895039376958E-3</v>
      </c>
      <c r="D10" s="7">
        <v>42017</v>
      </c>
      <c r="E10" s="8">
        <v>5.4</v>
      </c>
      <c r="F10" s="8">
        <f t="shared" si="1"/>
        <v>2.5507759547212665E-2</v>
      </c>
      <c r="G10" s="8" cm="1">
        <f t="array" ref="G10">SUMPRODUCT(IF(((H10-$F$4:$F$515)/$B$10)&lt;=-1,0,IF(((H10-$F$4:$F$515)/$B$10)&gt;=1,1,(15/16)*(((H10-$F$4:$F$515)/$B$10)-(2/3)*((H10-$F$4:$F$515)/$B$10)^3+(1/5)*((H10-$F$4:$F$515)/$B$10)^5+8/15))))/COUNT($F$4:$F$515)</f>
        <v>0</v>
      </c>
      <c r="H10" s="9">
        <f t="shared" si="2"/>
        <v>-0.2225285503121664</v>
      </c>
      <c r="K10" s="7">
        <v>0.01</v>
      </c>
      <c r="L10" s="8">
        <f t="shared" si="0"/>
        <v>-3.8928550312169082E-2</v>
      </c>
    </row>
    <row r="11" spans="2:12" ht="14.4" customHeight="1" thickBot="1">
      <c r="D11" s="2">
        <v>42018</v>
      </c>
      <c r="E11" s="3">
        <v>5.3109999999999999</v>
      </c>
      <c r="F11" s="3">
        <f t="shared" si="1"/>
        <v>-1.6618812129966656E-2</v>
      </c>
      <c r="G11" s="3" cm="1">
        <f t="array" ref="G11">SUMPRODUCT(IF(((H11-$F$4:$F$515)/$B$10)&lt;=-1,0,IF(((H11-$F$4:$F$515)/$B$10)&gt;=1,1,(15/16)*(((H11-$F$4:$F$515)/$B$10)-(2/3)*((H11-$F$4:$F$515)/$B$10)^3+(1/5)*((H11-$F$4:$F$515)/$B$10)^5+8/15))))/COUNT($F$4:$F$515)</f>
        <v>0</v>
      </c>
      <c r="H11" s="1">
        <f t="shared" si="2"/>
        <v>-0.2222285503121664</v>
      </c>
      <c r="K11" s="2">
        <v>0.01</v>
      </c>
      <c r="L11" s="3">
        <f t="shared" si="0"/>
        <v>-3.8928550312169082E-2</v>
      </c>
    </row>
    <row r="12" spans="2:12" ht="14.4" customHeight="1">
      <c r="B12" s="56" t="s">
        <v>6</v>
      </c>
      <c r="D12" s="7">
        <v>42019</v>
      </c>
      <c r="E12" s="8">
        <v>5.42</v>
      </c>
      <c r="F12" s="8">
        <f t="shared" si="1"/>
        <v>2.0315674011292705E-2</v>
      </c>
      <c r="G12" s="8" cm="1">
        <f t="array" ref="G12">SUMPRODUCT(IF(((H12-$F$4:$F$515)/$B$10)&lt;=-1,0,IF(((H12-$F$4:$F$515)/$B$10)&gt;=1,1,(15/16)*(((H12-$F$4:$F$515)/$B$10)-(2/3)*((H12-$F$4:$F$515)/$B$10)^3+(1/5)*((H12-$F$4:$F$515)/$B$10)^5+8/15))))/COUNT($F$4:$F$515)</f>
        <v>0</v>
      </c>
      <c r="H12" s="9">
        <f t="shared" si="2"/>
        <v>-0.22192855031216641</v>
      </c>
      <c r="K12" s="7">
        <v>0.01</v>
      </c>
      <c r="L12" s="8">
        <f t="shared" si="0"/>
        <v>-3.8928550312169082E-2</v>
      </c>
    </row>
    <row r="13" spans="2:12" ht="14.4" customHeight="1" thickBot="1">
      <c r="B13" s="58">
        <f>-B7</f>
        <v>3.8928550312169082E-2</v>
      </c>
      <c r="D13" s="2">
        <v>42020</v>
      </c>
      <c r="E13" s="3">
        <v>5.492</v>
      </c>
      <c r="F13" s="3">
        <f t="shared" si="1"/>
        <v>1.3196672454169816E-2</v>
      </c>
      <c r="G13" s="3" cm="1">
        <f t="array" ref="G13">SUMPRODUCT(IF(((H13-$F$4:$F$515)/$B$10)&lt;=-1,0,IF(((H13-$F$4:$F$515)/$B$10)&gt;=1,1,(15/16)*(((H13-$F$4:$F$515)/$B$10)-(2/3)*((H13-$F$4:$F$515)/$B$10)^3+(1/5)*((H13-$F$4:$F$515)/$B$10)^5+8/15))))/COUNT($F$4:$F$515)</f>
        <v>0</v>
      </c>
      <c r="H13" s="1">
        <f t="shared" si="2"/>
        <v>-0.22162855031216641</v>
      </c>
      <c r="K13" s="2">
        <v>0.01</v>
      </c>
      <c r="L13" s="3">
        <f t="shared" si="0"/>
        <v>-3.8928550312169082E-2</v>
      </c>
    </row>
    <row r="14" spans="2:12" ht="14.4" customHeight="1">
      <c r="D14" s="7">
        <v>42023</v>
      </c>
      <c r="E14" s="8">
        <v>5.6349999999999998</v>
      </c>
      <c r="F14" s="8">
        <f t="shared" si="1"/>
        <v>2.5704659586014915E-2</v>
      </c>
      <c r="G14" s="8" cm="1">
        <f t="array" ref="G14">SUMPRODUCT(IF(((H14-$F$4:$F$515)/$B$10)&lt;=-1,0,IF(((H14-$F$4:$F$515)/$B$10)&gt;=1,1,(15/16)*(((H14-$F$4:$F$515)/$B$10)-(2/3)*((H14-$F$4:$F$515)/$B$10)^3+(1/5)*((H14-$F$4:$F$515)/$B$10)^5+8/15))))/COUNT($F$4:$F$515)</f>
        <v>0</v>
      </c>
      <c r="H14" s="9">
        <f t="shared" si="2"/>
        <v>-0.22132855031216642</v>
      </c>
      <c r="K14" s="7">
        <v>0.01</v>
      </c>
      <c r="L14" s="8">
        <f t="shared" si="0"/>
        <v>-3.8928550312169082E-2</v>
      </c>
    </row>
    <row r="15" spans="2:12" ht="14.4" customHeight="1">
      <c r="D15" s="2">
        <v>42024</v>
      </c>
      <c r="E15" s="3">
        <v>5.7290000000000001</v>
      </c>
      <c r="F15" s="3">
        <f t="shared" si="1"/>
        <v>1.6543847934701077E-2</v>
      </c>
      <c r="G15" s="3" cm="1">
        <f t="array" ref="G15">SUMPRODUCT(IF(((H15-$F$4:$F$515)/$B$10)&lt;=-1,0,IF(((H15-$F$4:$F$515)/$B$10)&gt;=1,1,(15/16)*(((H15-$F$4:$F$515)/$B$10)-(2/3)*((H15-$F$4:$F$515)/$B$10)^3+(1/5)*((H15-$F$4:$F$515)/$B$10)^5+8/15))))/COUNT($F$4:$F$515)</f>
        <v>0</v>
      </c>
      <c r="H15" s="1">
        <f t="shared" si="2"/>
        <v>-0.22102855031216642</v>
      </c>
      <c r="K15" s="2">
        <v>0.01</v>
      </c>
      <c r="L15" s="3">
        <f t="shared" si="0"/>
        <v>-3.8928550312169082E-2</v>
      </c>
    </row>
    <row r="16" spans="2:12" ht="14.4" customHeight="1">
      <c r="D16" s="7">
        <v>42025</v>
      </c>
      <c r="E16" s="8">
        <v>5.7640000000000002</v>
      </c>
      <c r="F16" s="8">
        <f t="shared" si="1"/>
        <v>6.0906827108348979E-3</v>
      </c>
      <c r="G16" s="8" cm="1">
        <f t="array" ref="G16">SUMPRODUCT(IF(((H16-$F$4:$F$515)/$B$10)&lt;=-1,0,IF(((H16-$F$4:$F$515)/$B$10)&gt;=1,1,(15/16)*(((H16-$F$4:$F$515)/$B$10)-(2/3)*((H16-$F$4:$F$515)/$B$10)^3+(1/5)*((H16-$F$4:$F$515)/$B$10)^5+8/15))))/COUNT($F$4:$F$515)</f>
        <v>0</v>
      </c>
      <c r="H16" s="9">
        <f t="shared" si="2"/>
        <v>-0.22072855031216643</v>
      </c>
      <c r="K16" s="7">
        <v>0.01</v>
      </c>
      <c r="L16" s="8">
        <f t="shared" si="0"/>
        <v>-3.8928550312169082E-2</v>
      </c>
    </row>
    <row r="17" spans="4:12" ht="14.4" customHeight="1">
      <c r="D17" s="2">
        <v>42026</v>
      </c>
      <c r="E17" s="3">
        <v>5.952</v>
      </c>
      <c r="F17" s="3">
        <f t="shared" si="1"/>
        <v>3.2095619393514956E-2</v>
      </c>
      <c r="G17" s="3" cm="1">
        <f t="array" ref="G17">SUMPRODUCT(IF(((H17-$F$4:$F$515)/$B$10)&lt;=-1,0,IF(((H17-$F$4:$F$515)/$B$10)&gt;=1,1,(15/16)*(((H17-$F$4:$F$515)/$B$10)-(2/3)*((H17-$F$4:$F$515)/$B$10)^3+(1/5)*((H17-$F$4:$F$515)/$B$10)^5+8/15))))/COUNT($F$4:$F$515)</f>
        <v>0</v>
      </c>
      <c r="H17" s="1">
        <f t="shared" si="2"/>
        <v>-0.22042855031216643</v>
      </c>
      <c r="K17" s="2">
        <v>0.01</v>
      </c>
      <c r="L17" s="3">
        <f t="shared" si="0"/>
        <v>-3.8928550312169082E-2</v>
      </c>
    </row>
    <row r="18" spans="4:12" ht="14.4" customHeight="1">
      <c r="D18" s="7">
        <v>42027</v>
      </c>
      <c r="E18" s="8">
        <v>5.9020000000000001</v>
      </c>
      <c r="F18" s="8">
        <f t="shared" si="1"/>
        <v>-8.4360210100430932E-3</v>
      </c>
      <c r="G18" s="8" cm="1">
        <f t="array" ref="G18">SUMPRODUCT(IF(((H18-$F$4:$F$515)/$B$10)&lt;=-1,0,IF(((H18-$F$4:$F$515)/$B$10)&gt;=1,1,(15/16)*(((H18-$F$4:$F$515)/$B$10)-(2/3)*((H18-$F$4:$F$515)/$B$10)^3+(1/5)*((H18-$F$4:$F$515)/$B$10)^5+8/15))))/COUNT($F$4:$F$515)</f>
        <v>0</v>
      </c>
      <c r="H18" s="9">
        <f t="shared" si="2"/>
        <v>-0.22012855031216644</v>
      </c>
      <c r="K18" s="7">
        <v>0.01</v>
      </c>
      <c r="L18" s="8">
        <f t="shared" si="0"/>
        <v>-3.8928550312169082E-2</v>
      </c>
    </row>
    <row r="19" spans="4:12" ht="14.4" customHeight="1">
      <c r="D19" s="2">
        <v>42030</v>
      </c>
      <c r="E19" s="3">
        <v>5.9029999999999996</v>
      </c>
      <c r="F19" s="3">
        <f t="shared" si="1"/>
        <v>1.6941973780451884E-4</v>
      </c>
      <c r="G19" s="3" cm="1">
        <f t="array" ref="G19">SUMPRODUCT(IF(((H19-$F$4:$F$515)/$B$10)&lt;=-1,0,IF(((H19-$F$4:$F$515)/$B$10)&gt;=1,1,(15/16)*(((H19-$F$4:$F$515)/$B$10)-(2/3)*((H19-$F$4:$F$515)/$B$10)^3+(1/5)*((H19-$F$4:$F$515)/$B$10)^5+8/15))))/COUNT($F$4:$F$515)</f>
        <v>0</v>
      </c>
      <c r="H19" s="1">
        <f t="shared" si="2"/>
        <v>-0.21982855031216644</v>
      </c>
      <c r="K19" s="2">
        <v>0.01</v>
      </c>
      <c r="L19" s="3">
        <f t="shared" si="0"/>
        <v>-3.8928550312169082E-2</v>
      </c>
    </row>
    <row r="20" spans="4:12" ht="14.4" customHeight="1">
      <c r="D20" s="7">
        <v>42031</v>
      </c>
      <c r="E20" s="8">
        <v>5.7809999999999997</v>
      </c>
      <c r="F20" s="8">
        <f t="shared" si="1"/>
        <v>-2.0884018158213266E-2</v>
      </c>
      <c r="G20" s="8" cm="1">
        <f t="array" ref="G20">SUMPRODUCT(IF(((H20-$F$4:$F$515)/$B$10)&lt;=-1,0,IF(((H20-$F$4:$F$515)/$B$10)&gt;=1,1,(15/16)*(((H20-$F$4:$F$515)/$B$10)-(2/3)*((H20-$F$4:$F$515)/$B$10)^3+(1/5)*((H20-$F$4:$F$515)/$B$10)^5+8/15))))/COUNT($F$4:$F$515)</f>
        <v>0</v>
      </c>
      <c r="H20" s="9">
        <f t="shared" si="2"/>
        <v>-0.21952855031216645</v>
      </c>
      <c r="K20" s="7">
        <v>0.01</v>
      </c>
      <c r="L20" s="8">
        <f t="shared" si="0"/>
        <v>-3.8928550312169082E-2</v>
      </c>
    </row>
    <row r="21" spans="4:12" ht="14.4" customHeight="1">
      <c r="D21" s="2">
        <v>42032</v>
      </c>
      <c r="E21" s="3">
        <v>5.7220000000000004</v>
      </c>
      <c r="F21" s="3">
        <f t="shared" si="1"/>
        <v>-1.0258283472420401E-2</v>
      </c>
      <c r="G21" s="3" cm="1">
        <f t="array" ref="G21">SUMPRODUCT(IF(((H21-$F$4:$F$515)/$B$10)&lt;=-1,0,IF(((H21-$F$4:$F$515)/$B$10)&gt;=1,1,(15/16)*(((H21-$F$4:$F$515)/$B$10)-(2/3)*((H21-$F$4:$F$515)/$B$10)^3+(1/5)*((H21-$F$4:$F$515)/$B$10)^5+8/15))))/COUNT($F$4:$F$515)</f>
        <v>0</v>
      </c>
      <c r="H21" s="1">
        <f t="shared" si="2"/>
        <v>-0.21922855031216645</v>
      </c>
      <c r="K21" s="2">
        <v>0.01</v>
      </c>
      <c r="L21" s="3">
        <f t="shared" si="0"/>
        <v>-3.8928550312169082E-2</v>
      </c>
    </row>
    <row r="22" spans="4:12" ht="14.4" customHeight="1">
      <c r="D22" s="7">
        <v>42033</v>
      </c>
      <c r="E22" s="8">
        <v>5.7389999999999999</v>
      </c>
      <c r="F22" s="8">
        <f t="shared" si="1"/>
        <v>2.9665844983069252E-3</v>
      </c>
      <c r="G22" s="8" cm="1">
        <f t="array" ref="G22">SUMPRODUCT(IF(((H22-$F$4:$F$515)/$B$10)&lt;=-1,0,IF(((H22-$F$4:$F$515)/$B$10)&gt;=1,1,(15/16)*(((H22-$F$4:$F$515)/$B$10)-(2/3)*((H22-$F$4:$F$515)/$B$10)^3+(1/5)*((H22-$F$4:$F$515)/$B$10)^5+8/15))))/COUNT($F$4:$F$515)</f>
        <v>0</v>
      </c>
      <c r="H22" s="9">
        <f t="shared" si="2"/>
        <v>-0.21892855031216646</v>
      </c>
      <c r="K22" s="7">
        <v>0.01</v>
      </c>
      <c r="L22" s="8">
        <f t="shared" si="0"/>
        <v>-3.8928550312169082E-2</v>
      </c>
    </row>
    <row r="23" spans="4:12" ht="14.4" customHeight="1">
      <c r="D23" s="2">
        <v>42034</v>
      </c>
      <c r="E23" s="3">
        <v>5.6520000000000001</v>
      </c>
      <c r="F23" s="3">
        <f t="shared" si="1"/>
        <v>-1.5275514303944419E-2</v>
      </c>
      <c r="G23" s="3" cm="1">
        <f t="array" ref="G23">SUMPRODUCT(IF(((H23-$F$4:$F$515)/$B$10)&lt;=-1,0,IF(((H23-$F$4:$F$515)/$B$10)&gt;=1,1,(15/16)*(((H23-$F$4:$F$515)/$B$10)-(2/3)*((H23-$F$4:$F$515)/$B$10)^3+(1/5)*((H23-$F$4:$F$515)/$B$10)^5+8/15))))/COUNT($F$4:$F$515)</f>
        <v>0</v>
      </c>
      <c r="H23" s="1">
        <f t="shared" si="2"/>
        <v>-0.21862855031216646</v>
      </c>
      <c r="K23" s="2">
        <v>0.01</v>
      </c>
      <c r="L23" s="3">
        <f t="shared" si="0"/>
        <v>-3.8928550312169082E-2</v>
      </c>
    </row>
    <row r="24" spans="4:12" ht="14.4" customHeight="1">
      <c r="D24" s="7">
        <v>42037</v>
      </c>
      <c r="E24" s="8">
        <v>5.6749999999999998</v>
      </c>
      <c r="F24" s="8">
        <f t="shared" si="1"/>
        <v>4.0610985451852355E-3</v>
      </c>
      <c r="G24" s="8" cm="1">
        <f t="array" ref="G24">SUMPRODUCT(IF(((H24-$F$4:$F$515)/$B$10)&lt;=-1,0,IF(((H24-$F$4:$F$515)/$B$10)&gt;=1,1,(15/16)*(((H24-$F$4:$F$515)/$B$10)-(2/3)*((H24-$F$4:$F$515)/$B$10)^3+(1/5)*((H24-$F$4:$F$515)/$B$10)^5+8/15))))/COUNT($F$4:$F$515)</f>
        <v>0</v>
      </c>
      <c r="H24" s="9">
        <f t="shared" si="2"/>
        <v>-0.21832855031216647</v>
      </c>
      <c r="K24" s="7">
        <v>0.01</v>
      </c>
      <c r="L24" s="8">
        <f t="shared" si="0"/>
        <v>-3.8928550312169082E-2</v>
      </c>
    </row>
    <row r="25" spans="4:12" ht="14.4" customHeight="1">
      <c r="D25" s="2">
        <v>42038</v>
      </c>
      <c r="E25" s="3">
        <v>5.8460000000000001</v>
      </c>
      <c r="F25" s="3">
        <f t="shared" si="1"/>
        <v>2.968710332158794E-2</v>
      </c>
      <c r="G25" s="3" cm="1">
        <f t="array" ref="G25">SUMPRODUCT(IF(((H25-$F$4:$F$515)/$B$10)&lt;=-1,0,IF(((H25-$F$4:$F$515)/$B$10)&gt;=1,1,(15/16)*(((H25-$F$4:$F$515)/$B$10)-(2/3)*((H25-$F$4:$F$515)/$B$10)^3+(1/5)*((H25-$F$4:$F$515)/$B$10)^5+8/15))))/COUNT($F$4:$F$515)</f>
        <v>0</v>
      </c>
      <c r="H25" s="1">
        <f t="shared" si="2"/>
        <v>-0.21802855031216647</v>
      </c>
      <c r="K25" s="2">
        <v>0.01</v>
      </c>
      <c r="L25" s="3">
        <f t="shared" si="0"/>
        <v>-3.8928550312169082E-2</v>
      </c>
    </row>
    <row r="26" spans="4:12" ht="14.4" customHeight="1">
      <c r="D26" s="7">
        <v>42039</v>
      </c>
      <c r="E26" s="8">
        <v>5.7859999999999996</v>
      </c>
      <c r="F26" s="8">
        <f t="shared" si="1"/>
        <v>-1.0316460135110932E-2</v>
      </c>
      <c r="G26" s="8" cm="1">
        <f t="array" ref="G26">SUMPRODUCT(IF(((H26-$F$4:$F$515)/$B$10)&lt;=-1,0,IF(((H26-$F$4:$F$515)/$B$10)&gt;=1,1,(15/16)*(((H26-$F$4:$F$515)/$B$10)-(2/3)*((H26-$F$4:$F$515)/$B$10)^3+(1/5)*((H26-$F$4:$F$515)/$B$10)^5+8/15))))/COUNT($F$4:$F$515)</f>
        <v>0</v>
      </c>
      <c r="H26" s="9">
        <f t="shared" si="2"/>
        <v>-0.21772855031216648</v>
      </c>
      <c r="K26" s="7">
        <v>0.01</v>
      </c>
      <c r="L26" s="8">
        <f t="shared" si="0"/>
        <v>-3.8928550312169082E-2</v>
      </c>
    </row>
    <row r="27" spans="4:12" ht="14.4" customHeight="1">
      <c r="D27" s="2">
        <v>42040</v>
      </c>
      <c r="E27" s="3">
        <v>5.7649999999999997</v>
      </c>
      <c r="F27" s="3">
        <f t="shared" si="1"/>
        <v>-3.6360528329209391E-3</v>
      </c>
      <c r="G27" s="3" cm="1">
        <f t="array" ref="G27">SUMPRODUCT(IF(((H27-$F$4:$F$515)/$B$10)&lt;=-1,0,IF(((H27-$F$4:$F$515)/$B$10)&gt;=1,1,(15/16)*(((H27-$F$4:$F$515)/$B$10)-(2/3)*((H27-$F$4:$F$515)/$B$10)^3+(1/5)*((H27-$F$4:$F$515)/$B$10)^5+8/15))))/COUNT($F$4:$F$515)</f>
        <v>0</v>
      </c>
      <c r="H27" s="1">
        <f t="shared" si="2"/>
        <v>-0.21742855031216649</v>
      </c>
      <c r="K27" s="2">
        <v>0.01</v>
      </c>
      <c r="L27" s="3">
        <f t="shared" si="0"/>
        <v>-3.8928550312169082E-2</v>
      </c>
    </row>
    <row r="28" spans="4:12" ht="14.4" customHeight="1">
      <c r="D28" s="7">
        <v>42041</v>
      </c>
      <c r="E28" s="8">
        <v>5.8520000000000003</v>
      </c>
      <c r="F28" s="8">
        <f t="shared" si="1"/>
        <v>1.4978329436855705E-2</v>
      </c>
      <c r="G28" s="8" cm="1">
        <f t="array" ref="G28">SUMPRODUCT(IF(((H28-$F$4:$F$515)/$B$10)&lt;=-1,0,IF(((H28-$F$4:$F$515)/$B$10)&gt;=1,1,(15/16)*(((H28-$F$4:$F$515)/$B$10)-(2/3)*((H28-$F$4:$F$515)/$B$10)^3+(1/5)*((H28-$F$4:$F$515)/$B$10)^5+8/15))))/COUNT($F$4:$F$515)</f>
        <v>0</v>
      </c>
      <c r="H28" s="9">
        <f t="shared" si="2"/>
        <v>-0.21712855031216649</v>
      </c>
      <c r="K28" s="7">
        <v>0.01</v>
      </c>
      <c r="L28" s="8">
        <f t="shared" si="0"/>
        <v>-3.8928550312169082E-2</v>
      </c>
    </row>
    <row r="29" spans="4:12" ht="14.4" customHeight="1">
      <c r="D29" s="2">
        <v>42044</v>
      </c>
      <c r="E29" s="3">
        <v>5.7560000000000002</v>
      </c>
      <c r="F29" s="3">
        <f t="shared" si="1"/>
        <v>-1.654069413275645E-2</v>
      </c>
      <c r="G29" s="3" cm="1">
        <f t="array" ref="G29">SUMPRODUCT(IF(((H29-$F$4:$F$515)/$B$10)&lt;=-1,0,IF(((H29-$F$4:$F$515)/$B$10)&gt;=1,1,(15/16)*(((H29-$F$4:$F$515)/$B$10)-(2/3)*((H29-$F$4:$F$515)/$B$10)^3+(1/5)*((H29-$F$4:$F$515)/$B$10)^5+8/15))))/COUNT($F$4:$F$515)</f>
        <v>0</v>
      </c>
      <c r="H29" s="1">
        <f t="shared" si="2"/>
        <v>-0.2168285503121665</v>
      </c>
      <c r="K29" s="2">
        <v>0.01</v>
      </c>
      <c r="L29" s="3">
        <f t="shared" si="0"/>
        <v>-3.8928550312169082E-2</v>
      </c>
    </row>
    <row r="30" spans="4:12" ht="14.4" customHeight="1">
      <c r="D30" s="7">
        <v>42045</v>
      </c>
      <c r="E30" s="8">
        <v>5.8940000000000001</v>
      </c>
      <c r="F30" s="8">
        <f t="shared" si="1"/>
        <v>2.3692095290381486E-2</v>
      </c>
      <c r="G30" s="8" cm="1">
        <f t="array" ref="G30">SUMPRODUCT(IF(((H30-$F$4:$F$515)/$B$10)&lt;=-1,0,IF(((H30-$F$4:$F$515)/$B$10)&gt;=1,1,(15/16)*(((H30-$F$4:$F$515)/$B$10)-(2/3)*((H30-$F$4:$F$515)/$B$10)^3+(1/5)*((H30-$F$4:$F$515)/$B$10)^5+8/15))))/COUNT($F$4:$F$515)</f>
        <v>0</v>
      </c>
      <c r="H30" s="9">
        <f t="shared" si="2"/>
        <v>-0.2165285503121665</v>
      </c>
      <c r="K30" s="7">
        <v>0.01</v>
      </c>
      <c r="L30" s="8">
        <f t="shared" si="0"/>
        <v>-3.8928550312169082E-2</v>
      </c>
    </row>
    <row r="31" spans="4:12" ht="14.4" customHeight="1">
      <c r="D31" s="2">
        <v>42046</v>
      </c>
      <c r="E31" s="3">
        <v>5.8129999999999997</v>
      </c>
      <c r="F31" s="3">
        <f t="shared" si="1"/>
        <v>-1.3838095596289544E-2</v>
      </c>
      <c r="G31" s="3" cm="1">
        <f t="array" ref="G31">SUMPRODUCT(IF(((H31-$F$4:$F$515)/$B$10)&lt;=-1,0,IF(((H31-$F$4:$F$515)/$B$10)&gt;=1,1,(15/16)*(((H31-$F$4:$F$515)/$B$10)-(2/3)*((H31-$F$4:$F$515)/$B$10)^3+(1/5)*((H31-$F$4:$F$515)/$B$10)^5+8/15))))/COUNT($F$4:$F$515)</f>
        <v>0</v>
      </c>
      <c r="H31" s="1">
        <f t="shared" si="2"/>
        <v>-0.21622855031216651</v>
      </c>
      <c r="K31" s="2">
        <v>0.01</v>
      </c>
      <c r="L31" s="3">
        <f t="shared" si="0"/>
        <v>-3.8928550312169082E-2</v>
      </c>
    </row>
    <row r="32" spans="4:12" ht="14.4" customHeight="1">
      <c r="D32" s="7">
        <v>42047</v>
      </c>
      <c r="E32" s="8">
        <v>5.9329999999999998</v>
      </c>
      <c r="F32" s="8">
        <f t="shared" si="1"/>
        <v>2.0433198557292778E-2</v>
      </c>
      <c r="G32" s="8" cm="1">
        <f t="array" ref="G32">SUMPRODUCT(IF(((H32-$F$4:$F$515)/$B$10)&lt;=-1,0,IF(((H32-$F$4:$F$515)/$B$10)&gt;=1,1,(15/16)*(((H32-$F$4:$F$515)/$B$10)-(2/3)*((H32-$F$4:$F$515)/$B$10)^3+(1/5)*((H32-$F$4:$F$515)/$B$10)^5+8/15))))/COUNT($F$4:$F$515)</f>
        <v>0</v>
      </c>
      <c r="H32" s="9">
        <f t="shared" si="2"/>
        <v>-0.21592855031216651</v>
      </c>
      <c r="K32" s="7">
        <v>0.01</v>
      </c>
      <c r="L32" s="8">
        <f t="shared" si="0"/>
        <v>-3.8928550312169082E-2</v>
      </c>
    </row>
    <row r="33" spans="4:12" ht="14.4" customHeight="1">
      <c r="D33" s="2">
        <v>42048</v>
      </c>
      <c r="E33" s="3">
        <v>6.1159999999999997</v>
      </c>
      <c r="F33" s="3">
        <f t="shared" si="1"/>
        <v>3.0378300790309679E-2</v>
      </c>
      <c r="G33" s="3" cm="1">
        <f t="array" ref="G33">SUMPRODUCT(IF(((H33-$F$4:$F$515)/$B$10)&lt;=-1,0,IF(((H33-$F$4:$F$515)/$B$10)&gt;=1,1,(15/16)*(((H33-$F$4:$F$515)/$B$10)-(2/3)*((H33-$F$4:$F$515)/$B$10)^3+(1/5)*((H33-$F$4:$F$515)/$B$10)^5+8/15))))/COUNT($F$4:$F$515)</f>
        <v>0</v>
      </c>
      <c r="H33" s="1">
        <f t="shared" si="2"/>
        <v>-0.21562855031216652</v>
      </c>
      <c r="K33" s="2">
        <v>0.01</v>
      </c>
      <c r="L33" s="3">
        <f t="shared" si="0"/>
        <v>-3.8928550312169082E-2</v>
      </c>
    </row>
    <row r="34" spans="4:12" ht="14.4" customHeight="1">
      <c r="D34" s="7">
        <v>42051</v>
      </c>
      <c r="E34" s="8">
        <v>6.085</v>
      </c>
      <c r="F34" s="8">
        <f t="shared" si="1"/>
        <v>-5.0815616273252907E-3</v>
      </c>
      <c r="G34" s="8" cm="1">
        <f t="array" ref="G34">SUMPRODUCT(IF(((H34-$F$4:$F$515)/$B$10)&lt;=-1,0,IF(((H34-$F$4:$F$515)/$B$10)&gt;=1,1,(15/16)*(((H34-$F$4:$F$515)/$B$10)-(2/3)*((H34-$F$4:$F$515)/$B$10)^3+(1/5)*((H34-$F$4:$F$515)/$B$10)^5+8/15))))/COUNT($F$4:$F$515)</f>
        <v>0</v>
      </c>
      <c r="H34" s="9">
        <f t="shared" si="2"/>
        <v>-0.21532855031216652</v>
      </c>
      <c r="K34" s="7">
        <v>0.01</v>
      </c>
      <c r="L34" s="8">
        <f t="shared" si="0"/>
        <v>-3.8928550312169082E-2</v>
      </c>
    </row>
    <row r="35" spans="4:12" ht="14.4" customHeight="1">
      <c r="D35" s="2">
        <v>42052</v>
      </c>
      <c r="E35" s="3">
        <v>6.1829999999999998</v>
      </c>
      <c r="F35" s="3">
        <f t="shared" si="1"/>
        <v>1.597686413694123E-2</v>
      </c>
      <c r="G35" s="3" cm="1">
        <f t="array" ref="G35">SUMPRODUCT(IF(((H35-$F$4:$F$515)/$B$10)&lt;=-1,0,IF(((H35-$F$4:$F$515)/$B$10)&gt;=1,1,(15/16)*(((H35-$F$4:$F$515)/$B$10)-(2/3)*((H35-$F$4:$F$515)/$B$10)^3+(1/5)*((H35-$F$4:$F$515)/$B$10)^5+8/15))))/COUNT($F$4:$F$515)</f>
        <v>0</v>
      </c>
      <c r="H35" s="1">
        <f t="shared" si="2"/>
        <v>-0.21502855031216653</v>
      </c>
      <c r="K35" s="2">
        <v>0.01</v>
      </c>
      <c r="L35" s="3">
        <f t="shared" si="0"/>
        <v>-3.8928550312169082E-2</v>
      </c>
    </row>
    <row r="36" spans="4:12" ht="14.4" customHeight="1">
      <c r="D36" s="7">
        <v>42053</v>
      </c>
      <c r="E36" s="8">
        <v>6.2569999999999997</v>
      </c>
      <c r="F36" s="8">
        <f t="shared" si="1"/>
        <v>1.1897246439794777E-2</v>
      </c>
      <c r="G36" s="8" cm="1">
        <f t="array" ref="G36">SUMPRODUCT(IF(((H36-$F$4:$F$515)/$B$10)&lt;=-1,0,IF(((H36-$F$4:$F$515)/$B$10)&gt;=1,1,(15/16)*(((H36-$F$4:$F$515)/$B$10)-(2/3)*((H36-$F$4:$F$515)/$B$10)^3+(1/5)*((H36-$F$4:$F$515)/$B$10)^5+8/15))))/COUNT($F$4:$F$515)</f>
        <v>0</v>
      </c>
      <c r="H36" s="9">
        <f t="shared" si="2"/>
        <v>-0.21472855031216653</v>
      </c>
      <c r="K36" s="7">
        <v>0.01</v>
      </c>
      <c r="L36" s="8">
        <f t="shared" si="0"/>
        <v>-3.8928550312169082E-2</v>
      </c>
    </row>
    <row r="37" spans="4:12" ht="14.4" customHeight="1">
      <c r="D37" s="2">
        <v>42054</v>
      </c>
      <c r="E37" s="3">
        <v>6.3810000000000002</v>
      </c>
      <c r="F37" s="3">
        <f t="shared" si="1"/>
        <v>1.9623987869983418E-2</v>
      </c>
      <c r="G37" s="3" cm="1">
        <f t="array" ref="G37">SUMPRODUCT(IF(((H37-$F$4:$F$515)/$B$10)&lt;=-1,0,IF(((H37-$F$4:$F$515)/$B$10)&gt;=1,1,(15/16)*(((H37-$F$4:$F$515)/$B$10)-(2/3)*((H37-$F$4:$F$515)/$B$10)^3+(1/5)*((H37-$F$4:$F$515)/$B$10)^5+8/15))))/COUNT($F$4:$F$515)</f>
        <v>0</v>
      </c>
      <c r="H37" s="1">
        <f t="shared" si="2"/>
        <v>-0.21442855031216654</v>
      </c>
      <c r="K37" s="2">
        <v>0.01</v>
      </c>
      <c r="L37" s="3">
        <f t="shared" si="0"/>
        <v>-3.8928550312169082E-2</v>
      </c>
    </row>
    <row r="38" spans="4:12" ht="14.4" customHeight="1">
      <c r="D38" s="7">
        <v>42055</v>
      </c>
      <c r="E38" s="8">
        <v>6.343</v>
      </c>
      <c r="F38" s="8">
        <f t="shared" si="1"/>
        <v>-5.9729822344497347E-3</v>
      </c>
      <c r="G38" s="8" cm="1">
        <f t="array" ref="G38">SUMPRODUCT(IF(((H38-$F$4:$F$515)/$B$10)&lt;=-1,0,IF(((H38-$F$4:$F$515)/$B$10)&gt;=1,1,(15/16)*(((H38-$F$4:$F$515)/$B$10)-(2/3)*((H38-$F$4:$F$515)/$B$10)^3+(1/5)*((H38-$F$4:$F$515)/$B$10)^5+8/15))))/COUNT($F$4:$F$515)</f>
        <v>0</v>
      </c>
      <c r="H38" s="9">
        <f t="shared" si="2"/>
        <v>-0.21412855031216654</v>
      </c>
      <c r="K38" s="7">
        <v>0.01</v>
      </c>
      <c r="L38" s="8">
        <f t="shared" si="0"/>
        <v>-3.8928550312169082E-2</v>
      </c>
    </row>
    <row r="39" spans="4:12" ht="14.4" customHeight="1">
      <c r="D39" s="2">
        <v>42058</v>
      </c>
      <c r="E39" s="3">
        <v>6.4</v>
      </c>
      <c r="F39" s="3">
        <f t="shared" si="1"/>
        <v>8.9461477138661084E-3</v>
      </c>
      <c r="G39" s="3" cm="1">
        <f t="array" ref="G39">SUMPRODUCT(IF(((H39-$F$4:$F$515)/$B$10)&lt;=-1,0,IF(((H39-$F$4:$F$515)/$B$10)&gt;=1,1,(15/16)*(((H39-$F$4:$F$515)/$B$10)-(2/3)*((H39-$F$4:$F$515)/$B$10)^3+(1/5)*((H39-$F$4:$F$515)/$B$10)^5+8/15))))/COUNT($F$4:$F$515)</f>
        <v>0</v>
      </c>
      <c r="H39" s="1">
        <f t="shared" si="2"/>
        <v>-0.21382855031216655</v>
      </c>
      <c r="K39" s="2">
        <v>0.01</v>
      </c>
      <c r="L39" s="3">
        <f t="shared" si="0"/>
        <v>-3.8928550312169082E-2</v>
      </c>
    </row>
    <row r="40" spans="4:12" ht="14.4" customHeight="1">
      <c r="D40" s="7">
        <v>42059</v>
      </c>
      <c r="E40" s="8">
        <v>6.4050000000000002</v>
      </c>
      <c r="F40" s="8">
        <f t="shared" si="1"/>
        <v>7.8094498307135099E-4</v>
      </c>
      <c r="G40" s="8" cm="1">
        <f t="array" ref="G40">SUMPRODUCT(IF(((H40-$F$4:$F$515)/$B$10)&lt;=-1,0,IF(((H40-$F$4:$F$515)/$B$10)&gt;=1,1,(15/16)*(((H40-$F$4:$F$515)/$B$10)-(2/3)*((H40-$F$4:$F$515)/$B$10)^3+(1/5)*((H40-$F$4:$F$515)/$B$10)^5+8/15))))/COUNT($F$4:$F$515)</f>
        <v>0</v>
      </c>
      <c r="H40" s="9">
        <f t="shared" si="2"/>
        <v>-0.21352855031216655</v>
      </c>
      <c r="K40" s="7">
        <v>0.01</v>
      </c>
      <c r="L40" s="8">
        <f t="shared" si="0"/>
        <v>-3.8928550312169082E-2</v>
      </c>
    </row>
    <row r="41" spans="4:12" ht="14.4" customHeight="1">
      <c r="D41" s="2">
        <v>42060</v>
      </c>
      <c r="E41" s="3">
        <v>6.3529999999999998</v>
      </c>
      <c r="F41" s="3">
        <f t="shared" si="1"/>
        <v>-8.1517930643014037E-3</v>
      </c>
      <c r="G41" s="3" cm="1">
        <f t="array" ref="G41">SUMPRODUCT(IF(((H41-$F$4:$F$515)/$B$10)&lt;=-1,0,IF(((H41-$F$4:$F$515)/$B$10)&gt;=1,1,(15/16)*(((H41-$F$4:$F$515)/$B$10)-(2/3)*((H41-$F$4:$F$515)/$B$10)^3+(1/5)*((H41-$F$4:$F$515)/$B$10)^5+8/15))))/COUNT($F$4:$F$515)</f>
        <v>0</v>
      </c>
      <c r="H41" s="1">
        <f t="shared" si="2"/>
        <v>-0.21322855031216656</v>
      </c>
      <c r="K41" s="2">
        <v>0.01</v>
      </c>
      <c r="L41" s="3">
        <f t="shared" si="0"/>
        <v>-3.8928550312169082E-2</v>
      </c>
    </row>
    <row r="42" spans="4:12" ht="14.4" customHeight="1">
      <c r="D42" s="7">
        <v>42061</v>
      </c>
      <c r="E42" s="8">
        <v>6.4450000000000003</v>
      </c>
      <c r="F42" s="8">
        <f t="shared" si="1"/>
        <v>1.437749410675466E-2</v>
      </c>
      <c r="G42" s="8" cm="1">
        <f t="array" ref="G42">SUMPRODUCT(IF(((H42-$F$4:$F$515)/$B$10)&lt;=-1,0,IF(((H42-$F$4:$F$515)/$B$10)&gt;=1,1,(15/16)*(((H42-$F$4:$F$515)/$B$10)-(2/3)*((H42-$F$4:$F$515)/$B$10)^3+(1/5)*((H42-$F$4:$F$515)/$B$10)^5+8/15))))/COUNT($F$4:$F$515)</f>
        <v>0</v>
      </c>
      <c r="H42" s="9">
        <f t="shared" si="2"/>
        <v>-0.21292855031216656</v>
      </c>
      <c r="K42" s="7">
        <v>0.01</v>
      </c>
      <c r="L42" s="8">
        <f t="shared" si="0"/>
        <v>-3.8928550312169082E-2</v>
      </c>
    </row>
    <row r="43" spans="4:12" ht="14.4" customHeight="1">
      <c r="D43" s="2">
        <v>42062</v>
      </c>
      <c r="E43" s="3">
        <v>6.47</v>
      </c>
      <c r="F43" s="3">
        <f t="shared" si="1"/>
        <v>3.8714721216584072E-3</v>
      </c>
      <c r="G43" s="3" cm="1">
        <f t="array" ref="G43">SUMPRODUCT(IF(((H43-$F$4:$F$515)/$B$10)&lt;=-1,0,IF(((H43-$F$4:$F$515)/$B$10)&gt;=1,1,(15/16)*(((H43-$F$4:$F$515)/$B$10)-(2/3)*((H43-$F$4:$F$515)/$B$10)^3+(1/5)*((H43-$F$4:$F$515)/$B$10)^5+8/15))))/COUNT($F$4:$F$515)</f>
        <v>0</v>
      </c>
      <c r="H43" s="1">
        <f t="shared" si="2"/>
        <v>-0.21262855031216657</v>
      </c>
      <c r="K43" s="2">
        <v>0.01</v>
      </c>
      <c r="L43" s="3">
        <f t="shared" si="0"/>
        <v>-3.8928550312169082E-2</v>
      </c>
    </row>
    <row r="44" spans="4:12" ht="14.4" customHeight="1">
      <c r="D44" s="7">
        <v>42065</v>
      </c>
      <c r="E44" s="8">
        <v>6.5060000000000002</v>
      </c>
      <c r="F44" s="8">
        <f t="shared" si="1"/>
        <v>5.5487195383505314E-3</v>
      </c>
      <c r="G44" s="8" cm="1">
        <f t="array" ref="G44">SUMPRODUCT(IF(((H44-$F$4:$F$515)/$B$10)&lt;=-1,0,IF(((H44-$F$4:$F$515)/$B$10)&gt;=1,1,(15/16)*(((H44-$F$4:$F$515)/$B$10)-(2/3)*((H44-$F$4:$F$515)/$B$10)^3+(1/5)*((H44-$F$4:$F$515)/$B$10)^5+8/15))))/COUNT($F$4:$F$515)</f>
        <v>0</v>
      </c>
      <c r="H44" s="9">
        <f t="shared" si="2"/>
        <v>-0.21232855031216658</v>
      </c>
      <c r="K44" s="7">
        <v>0.01</v>
      </c>
      <c r="L44" s="8">
        <f t="shared" si="0"/>
        <v>-3.8928550312169082E-2</v>
      </c>
    </row>
    <row r="45" spans="4:12" ht="14.4" customHeight="1">
      <c r="D45" s="2">
        <v>42066</v>
      </c>
      <c r="E45" s="3">
        <v>6.3730000000000002</v>
      </c>
      <c r="F45" s="3">
        <f t="shared" si="1"/>
        <v>-2.0654511719002643E-2</v>
      </c>
      <c r="G45" s="3" cm="1">
        <f t="array" ref="G45">SUMPRODUCT(IF(((H45-$F$4:$F$515)/$B$10)&lt;=-1,0,IF(((H45-$F$4:$F$515)/$B$10)&gt;=1,1,(15/16)*(((H45-$F$4:$F$515)/$B$10)-(2/3)*((H45-$F$4:$F$515)/$B$10)^3+(1/5)*((H45-$F$4:$F$515)/$B$10)^5+8/15))))/COUNT($F$4:$F$515)</f>
        <v>0</v>
      </c>
      <c r="H45" s="1">
        <f t="shared" si="2"/>
        <v>-0.21202855031216658</v>
      </c>
      <c r="K45" s="2">
        <v>0.01</v>
      </c>
      <c r="L45" s="3">
        <f t="shared" si="0"/>
        <v>-3.8928550312169082E-2</v>
      </c>
    </row>
    <row r="46" spans="4:12" ht="14.4" customHeight="1">
      <c r="D46" s="7">
        <v>42067</v>
      </c>
      <c r="E46" s="8">
        <v>6.4180000000000001</v>
      </c>
      <c r="F46" s="8">
        <f t="shared" si="1"/>
        <v>7.0362263555080436E-3</v>
      </c>
      <c r="G46" s="8" cm="1">
        <f t="array" ref="G46">SUMPRODUCT(IF(((H46-$F$4:$F$515)/$B$10)&lt;=-1,0,IF(((H46-$F$4:$F$515)/$B$10)&gt;=1,1,(15/16)*(((H46-$F$4:$F$515)/$B$10)-(2/3)*((H46-$F$4:$F$515)/$B$10)^3+(1/5)*((H46-$F$4:$F$515)/$B$10)^5+8/15))))/COUNT($F$4:$F$515)</f>
        <v>0</v>
      </c>
      <c r="H46" s="9">
        <f t="shared" si="2"/>
        <v>-0.21172855031216659</v>
      </c>
      <c r="K46" s="7">
        <v>0.01</v>
      </c>
      <c r="L46" s="8">
        <f t="shared" si="0"/>
        <v>-3.8928550312169082E-2</v>
      </c>
    </row>
    <row r="47" spans="4:12" ht="14.4" customHeight="1">
      <c r="D47" s="2">
        <v>42068</v>
      </c>
      <c r="E47" s="3">
        <v>6.4020000000000001</v>
      </c>
      <c r="F47" s="3">
        <f t="shared" si="1"/>
        <v>-2.496101139993778E-3</v>
      </c>
      <c r="G47" s="3" cm="1">
        <f t="array" ref="G47">SUMPRODUCT(IF(((H47-$F$4:$F$515)/$B$10)&lt;=-1,0,IF(((H47-$F$4:$F$515)/$B$10)&gt;=1,1,(15/16)*(((H47-$F$4:$F$515)/$B$10)-(2/3)*((H47-$F$4:$F$515)/$B$10)^3+(1/5)*((H47-$F$4:$F$515)/$B$10)^5+8/15))))/COUNT($F$4:$F$515)</f>
        <v>0</v>
      </c>
      <c r="H47" s="1">
        <f t="shared" si="2"/>
        <v>-0.21142855031216659</v>
      </c>
      <c r="K47" s="2">
        <v>0.01</v>
      </c>
      <c r="L47" s="3">
        <f t="shared" si="0"/>
        <v>-3.8928550312169082E-2</v>
      </c>
    </row>
    <row r="48" spans="4:12" ht="14.4" customHeight="1">
      <c r="D48" s="7">
        <v>42069</v>
      </c>
      <c r="E48" s="8">
        <v>6.4340000000000002</v>
      </c>
      <c r="F48" s="8">
        <f t="shared" si="1"/>
        <v>4.9859872691632922E-3</v>
      </c>
      <c r="G48" s="8" cm="1">
        <f t="array" ref="G48">SUMPRODUCT(IF(((H48-$F$4:$F$515)/$B$10)&lt;=-1,0,IF(((H48-$F$4:$F$515)/$B$10)&gt;=1,1,(15/16)*(((H48-$F$4:$F$515)/$B$10)-(2/3)*((H48-$F$4:$F$515)/$B$10)^3+(1/5)*((H48-$F$4:$F$515)/$B$10)^5+8/15))))/COUNT($F$4:$F$515)</f>
        <v>0</v>
      </c>
      <c r="H48" s="9">
        <f t="shared" si="2"/>
        <v>-0.2111285503121666</v>
      </c>
      <c r="K48" s="7">
        <v>0.01</v>
      </c>
      <c r="L48" s="8">
        <f t="shared" si="0"/>
        <v>-3.8928550312169082E-2</v>
      </c>
    </row>
    <row r="49" spans="4:12" ht="14.4" customHeight="1">
      <c r="D49" s="2">
        <v>42072</v>
      </c>
      <c r="E49" s="3">
        <v>6.4290000000000003</v>
      </c>
      <c r="F49" s="3">
        <f t="shared" si="1"/>
        <v>-7.7742365728489791E-4</v>
      </c>
      <c r="G49" s="3" cm="1">
        <f t="array" ref="G49">SUMPRODUCT(IF(((H49-$F$4:$F$515)/$B$10)&lt;=-1,0,IF(((H49-$F$4:$F$515)/$B$10)&gt;=1,1,(15/16)*(((H49-$F$4:$F$515)/$B$10)-(2/3)*((H49-$F$4:$F$515)/$B$10)^3+(1/5)*((H49-$F$4:$F$515)/$B$10)^5+8/15))))/COUNT($F$4:$F$515)</f>
        <v>0</v>
      </c>
      <c r="H49" s="1">
        <f t="shared" si="2"/>
        <v>-0.2108285503121666</v>
      </c>
      <c r="K49" s="2">
        <v>0.01</v>
      </c>
      <c r="L49" s="3">
        <f t="shared" si="0"/>
        <v>-3.8928550312169082E-2</v>
      </c>
    </row>
    <row r="50" spans="4:12" ht="14.4" customHeight="1">
      <c r="D50" s="7">
        <v>42073</v>
      </c>
      <c r="E50" s="8">
        <v>6.3579999999999997</v>
      </c>
      <c r="F50" s="8">
        <f t="shared" si="1"/>
        <v>-1.1105142670938839E-2</v>
      </c>
      <c r="G50" s="8" cm="1">
        <f t="array" ref="G50">SUMPRODUCT(IF(((H50-$F$4:$F$515)/$B$10)&lt;=-1,0,IF(((H50-$F$4:$F$515)/$B$10)&gt;=1,1,(15/16)*(((H50-$F$4:$F$515)/$B$10)-(2/3)*((H50-$F$4:$F$515)/$B$10)^3+(1/5)*((H50-$F$4:$F$515)/$B$10)^5+8/15))))/COUNT($F$4:$F$515)</f>
        <v>0</v>
      </c>
      <c r="H50" s="9">
        <f t="shared" si="2"/>
        <v>-0.21052855031216661</v>
      </c>
      <c r="K50" s="7">
        <v>0.01</v>
      </c>
      <c r="L50" s="8">
        <f t="shared" si="0"/>
        <v>-3.8928550312169082E-2</v>
      </c>
    </row>
    <row r="51" spans="4:12" ht="14.4" customHeight="1">
      <c r="D51" s="2">
        <v>42074</v>
      </c>
      <c r="E51" s="3">
        <v>6.5309999999999997</v>
      </c>
      <c r="F51" s="3">
        <f t="shared" si="1"/>
        <v>2.6846208431909158E-2</v>
      </c>
      <c r="G51" s="3" cm="1">
        <f t="array" ref="G51">SUMPRODUCT(IF(((H51-$F$4:$F$515)/$B$10)&lt;=-1,0,IF(((H51-$F$4:$F$515)/$B$10)&gt;=1,1,(15/16)*(((H51-$F$4:$F$515)/$B$10)-(2/3)*((H51-$F$4:$F$515)/$B$10)^3+(1/5)*((H51-$F$4:$F$515)/$B$10)^5+8/15))))/COUNT($F$4:$F$515)</f>
        <v>0</v>
      </c>
      <c r="H51" s="1">
        <f t="shared" si="2"/>
        <v>-0.21022855031216661</v>
      </c>
      <c r="K51" s="2">
        <v>0.01</v>
      </c>
      <c r="L51" s="3">
        <f t="shared" si="0"/>
        <v>-3.8928550312169082E-2</v>
      </c>
    </row>
    <row r="52" spans="4:12" ht="14.4" customHeight="1">
      <c r="D52" s="7">
        <v>42075</v>
      </c>
      <c r="E52" s="8">
        <v>6.5529999999999999</v>
      </c>
      <c r="F52" s="8">
        <f t="shared" si="1"/>
        <v>3.3628891368396828E-3</v>
      </c>
      <c r="G52" s="8" cm="1">
        <f t="array" ref="G52">SUMPRODUCT(IF(((H52-$F$4:$F$515)/$B$10)&lt;=-1,0,IF(((H52-$F$4:$F$515)/$B$10)&gt;=1,1,(15/16)*(((H52-$F$4:$F$515)/$B$10)-(2/3)*((H52-$F$4:$F$515)/$B$10)^3+(1/5)*((H52-$F$4:$F$515)/$B$10)^5+8/15))))/COUNT($F$4:$F$515)</f>
        <v>0</v>
      </c>
      <c r="H52" s="9">
        <f t="shared" si="2"/>
        <v>-0.20992855031216662</v>
      </c>
      <c r="K52" s="7">
        <v>0.01</v>
      </c>
      <c r="L52" s="8">
        <f t="shared" si="0"/>
        <v>-3.8928550312169082E-2</v>
      </c>
    </row>
    <row r="53" spans="4:12" ht="14.4" customHeight="1">
      <c r="D53" s="2">
        <v>42076</v>
      </c>
      <c r="E53" s="3">
        <v>6.62</v>
      </c>
      <c r="F53" s="3">
        <f t="shared" si="1"/>
        <v>1.0172409891556952E-2</v>
      </c>
      <c r="G53" s="3" cm="1">
        <f t="array" ref="G53">SUMPRODUCT(IF(((H53-$F$4:$F$515)/$B$10)&lt;=-1,0,IF(((H53-$F$4:$F$515)/$B$10)&gt;=1,1,(15/16)*(((H53-$F$4:$F$515)/$B$10)-(2/3)*((H53-$F$4:$F$515)/$B$10)^3+(1/5)*((H53-$F$4:$F$515)/$B$10)^5+8/15))))/COUNT($F$4:$F$515)</f>
        <v>0</v>
      </c>
      <c r="H53" s="1">
        <f t="shared" si="2"/>
        <v>-0.20962855031216662</v>
      </c>
      <c r="K53" s="2">
        <v>0.01</v>
      </c>
      <c r="L53" s="3">
        <f t="shared" si="0"/>
        <v>-3.8928550312169082E-2</v>
      </c>
    </row>
    <row r="54" spans="4:12" ht="14.4" customHeight="1">
      <c r="D54" s="7">
        <v>42079</v>
      </c>
      <c r="E54" s="8">
        <v>6.7249999999999996</v>
      </c>
      <c r="F54" s="8">
        <f t="shared" si="1"/>
        <v>1.5736555538985966E-2</v>
      </c>
      <c r="G54" s="8" cm="1">
        <f t="array" ref="G54">SUMPRODUCT(IF(((H54-$F$4:$F$515)/$B$10)&lt;=-1,0,IF(((H54-$F$4:$F$515)/$B$10)&gt;=1,1,(15/16)*(((H54-$F$4:$F$515)/$B$10)-(2/3)*((H54-$F$4:$F$515)/$B$10)^3+(1/5)*((H54-$F$4:$F$515)/$B$10)^5+8/15))))/COUNT($F$4:$F$515)</f>
        <v>0</v>
      </c>
      <c r="H54" s="9">
        <f t="shared" si="2"/>
        <v>-0.20932855031216663</v>
      </c>
      <c r="K54" s="7">
        <v>0.01</v>
      </c>
      <c r="L54" s="8">
        <f t="shared" si="0"/>
        <v>-3.8928550312169082E-2</v>
      </c>
    </row>
    <row r="55" spans="4:12" ht="14.4" customHeight="1">
      <c r="D55" s="2">
        <v>42080</v>
      </c>
      <c r="E55" s="3">
        <v>6.64</v>
      </c>
      <c r="F55" s="3">
        <f t="shared" si="1"/>
        <v>-1.2719961999560294E-2</v>
      </c>
      <c r="G55" s="3" cm="1">
        <f t="array" ref="G55">SUMPRODUCT(IF(((H55-$F$4:$F$515)/$B$10)&lt;=-1,0,IF(((H55-$F$4:$F$515)/$B$10)&gt;=1,1,(15/16)*(((H55-$F$4:$F$515)/$B$10)-(2/3)*((H55-$F$4:$F$515)/$B$10)^3+(1/5)*((H55-$F$4:$F$515)/$B$10)^5+8/15))))/COUNT($F$4:$F$515)</f>
        <v>0</v>
      </c>
      <c r="H55" s="1">
        <f t="shared" si="2"/>
        <v>-0.20902855031216663</v>
      </c>
      <c r="K55" s="2">
        <v>0.01</v>
      </c>
      <c r="L55" s="3">
        <f t="shared" si="0"/>
        <v>-3.8928550312169082E-2</v>
      </c>
    </row>
    <row r="56" spans="4:12" ht="14.4" customHeight="1">
      <c r="D56" s="7">
        <v>42081</v>
      </c>
      <c r="E56" s="8">
        <v>6.5609999999999999</v>
      </c>
      <c r="F56" s="8">
        <f t="shared" si="1"/>
        <v>-1.1968933125601997E-2</v>
      </c>
      <c r="G56" s="8" cm="1">
        <f t="array" ref="G56">SUMPRODUCT(IF(((H56-$F$4:$F$515)/$B$10)&lt;=-1,0,IF(((H56-$F$4:$F$515)/$B$10)&gt;=1,1,(15/16)*(((H56-$F$4:$F$515)/$B$10)-(2/3)*((H56-$F$4:$F$515)/$B$10)^3+(1/5)*((H56-$F$4:$F$515)/$B$10)^5+8/15))))/COUNT($F$4:$F$515)</f>
        <v>0</v>
      </c>
      <c r="H56" s="9">
        <f t="shared" si="2"/>
        <v>-0.20872855031216664</v>
      </c>
      <c r="K56" s="7">
        <v>0.01</v>
      </c>
      <c r="L56" s="8">
        <f t="shared" si="0"/>
        <v>-3.8928550312169082E-2</v>
      </c>
    </row>
    <row r="57" spans="4:12" ht="14.4" customHeight="1">
      <c r="D57" s="2">
        <v>42082</v>
      </c>
      <c r="E57" s="3">
        <v>6.6020000000000003</v>
      </c>
      <c r="F57" s="3">
        <f t="shared" si="1"/>
        <v>6.2296030682608408E-3</v>
      </c>
      <c r="G57" s="3" cm="1">
        <f t="array" ref="G57">SUMPRODUCT(IF(((H57-$F$4:$F$515)/$B$10)&lt;=-1,0,IF(((H57-$F$4:$F$515)/$B$10)&gt;=1,1,(15/16)*(((H57-$F$4:$F$515)/$B$10)-(2/3)*((H57-$F$4:$F$515)/$B$10)^3+(1/5)*((H57-$F$4:$F$515)/$B$10)^5+8/15))))/COUNT($F$4:$F$515)</f>
        <v>0</v>
      </c>
      <c r="H57" s="1">
        <f t="shared" si="2"/>
        <v>-0.20842855031216664</v>
      </c>
      <c r="K57" s="2">
        <v>0.01</v>
      </c>
      <c r="L57" s="3">
        <f t="shared" si="0"/>
        <v>-3.8928550312169082E-2</v>
      </c>
    </row>
    <row r="58" spans="4:12" ht="14.4" customHeight="1">
      <c r="D58" s="7">
        <v>42083</v>
      </c>
      <c r="E58" s="8">
        <v>6.7210000000000001</v>
      </c>
      <c r="F58" s="8">
        <f t="shared" si="1"/>
        <v>1.7864319556827501E-2</v>
      </c>
      <c r="G58" s="8" cm="1">
        <f t="array" ref="G58">SUMPRODUCT(IF(((H58-$F$4:$F$515)/$B$10)&lt;=-1,0,IF(((H58-$F$4:$F$515)/$B$10)&gt;=1,1,(15/16)*(((H58-$F$4:$F$515)/$B$10)-(2/3)*((H58-$F$4:$F$515)/$B$10)^3+(1/5)*((H58-$F$4:$F$515)/$B$10)^5+8/15))))/COUNT($F$4:$F$515)</f>
        <v>0</v>
      </c>
      <c r="H58" s="9">
        <f t="shared" si="2"/>
        <v>-0.20812855031216665</v>
      </c>
      <c r="K58" s="7">
        <v>0.01</v>
      </c>
      <c r="L58" s="8">
        <f t="shared" si="0"/>
        <v>-3.8928550312169082E-2</v>
      </c>
    </row>
    <row r="59" spans="4:12" ht="14.4" customHeight="1">
      <c r="D59" s="2">
        <v>42086</v>
      </c>
      <c r="E59" s="3">
        <v>6.7240000000000002</v>
      </c>
      <c r="F59" s="3">
        <f t="shared" si="1"/>
        <v>4.4626255854036105E-4</v>
      </c>
      <c r="G59" s="3" cm="1">
        <f t="array" ref="G59">SUMPRODUCT(IF(((H59-$F$4:$F$515)/$B$10)&lt;=-1,0,IF(((H59-$F$4:$F$515)/$B$10)&gt;=1,1,(15/16)*(((H59-$F$4:$F$515)/$B$10)-(2/3)*((H59-$F$4:$F$515)/$B$10)^3+(1/5)*((H59-$F$4:$F$515)/$B$10)^5+8/15))))/COUNT($F$4:$F$515)</f>
        <v>0</v>
      </c>
      <c r="H59" s="1">
        <f t="shared" si="2"/>
        <v>-0.20782855031216665</v>
      </c>
      <c r="K59" s="2">
        <v>0.01</v>
      </c>
      <c r="L59" s="3">
        <f t="shared" si="0"/>
        <v>-3.8928550312169082E-2</v>
      </c>
    </row>
    <row r="60" spans="4:12" ht="14.4" customHeight="1">
      <c r="D60" s="7">
        <v>42087</v>
      </c>
      <c r="E60" s="8">
        <v>6.7839999999999998</v>
      </c>
      <c r="F60" s="8">
        <f t="shared" si="1"/>
        <v>8.8836829432327978E-3</v>
      </c>
      <c r="G60" s="8" cm="1">
        <f t="array" ref="G60">SUMPRODUCT(IF(((H60-$F$4:$F$515)/$B$10)&lt;=-1,0,IF(((H60-$F$4:$F$515)/$B$10)&gt;=1,1,(15/16)*(((H60-$F$4:$F$515)/$B$10)-(2/3)*((H60-$F$4:$F$515)/$B$10)^3+(1/5)*((H60-$F$4:$F$515)/$B$10)^5+8/15))))/COUNT($F$4:$F$515)</f>
        <v>0</v>
      </c>
      <c r="H60" s="9">
        <f t="shared" si="2"/>
        <v>-0.20752855031216666</v>
      </c>
      <c r="K60" s="7">
        <v>0.01</v>
      </c>
      <c r="L60" s="8">
        <f t="shared" si="0"/>
        <v>-3.8928550312169082E-2</v>
      </c>
    </row>
    <row r="61" spans="4:12" ht="14.4" customHeight="1">
      <c r="D61" s="2">
        <v>42088</v>
      </c>
      <c r="E61" s="3">
        <v>6.7279999999999998</v>
      </c>
      <c r="F61" s="3">
        <f t="shared" si="1"/>
        <v>-8.2889758189550571E-3</v>
      </c>
      <c r="G61" s="3" cm="1">
        <f t="array" ref="G61">SUMPRODUCT(IF(((H61-$F$4:$F$515)/$B$10)&lt;=-1,0,IF(((H61-$F$4:$F$515)/$B$10)&gt;=1,1,(15/16)*(((H61-$F$4:$F$515)/$B$10)-(2/3)*((H61-$F$4:$F$515)/$B$10)^3+(1/5)*((H61-$F$4:$F$515)/$B$10)^5+8/15))))/COUNT($F$4:$F$515)</f>
        <v>0</v>
      </c>
      <c r="H61" s="1">
        <f t="shared" si="2"/>
        <v>-0.20722855031216666</v>
      </c>
      <c r="K61" s="2">
        <v>0.01</v>
      </c>
      <c r="L61" s="3">
        <f t="shared" si="0"/>
        <v>-3.8928550312169082E-2</v>
      </c>
    </row>
    <row r="62" spans="4:12" ht="14.4" customHeight="1">
      <c r="D62" s="7">
        <v>42089</v>
      </c>
      <c r="E62" s="8">
        <v>6.6470000000000002</v>
      </c>
      <c r="F62" s="8">
        <f t="shared" si="1"/>
        <v>-1.2112297611202043E-2</v>
      </c>
      <c r="G62" s="8" cm="1">
        <f t="array" ref="G62">SUMPRODUCT(IF(((H62-$F$4:$F$515)/$B$10)&lt;=-1,0,IF(((H62-$F$4:$F$515)/$B$10)&gt;=1,1,(15/16)*(((H62-$F$4:$F$515)/$B$10)-(2/3)*((H62-$F$4:$F$515)/$B$10)^3+(1/5)*((H62-$F$4:$F$515)/$B$10)^5+8/15))))/COUNT($F$4:$F$515)</f>
        <v>0</v>
      </c>
      <c r="H62" s="9">
        <f t="shared" si="2"/>
        <v>-0.20692855031216667</v>
      </c>
      <c r="K62" s="7">
        <v>0.01</v>
      </c>
      <c r="L62" s="8">
        <f t="shared" si="0"/>
        <v>-3.8928550312169082E-2</v>
      </c>
    </row>
    <row r="63" spans="4:12" ht="14.4" customHeight="1">
      <c r="D63" s="2">
        <v>42090</v>
      </c>
      <c r="E63" s="3">
        <v>6.851</v>
      </c>
      <c r="F63" s="3">
        <f t="shared" si="1"/>
        <v>3.0229001961317076E-2</v>
      </c>
      <c r="G63" s="3" cm="1">
        <f t="array" ref="G63">SUMPRODUCT(IF(((H63-$F$4:$F$515)/$B$10)&lt;=-1,0,IF(((H63-$F$4:$F$515)/$B$10)&gt;=1,1,(15/16)*(((H63-$F$4:$F$515)/$B$10)-(2/3)*((H63-$F$4:$F$515)/$B$10)^3+(1/5)*((H63-$F$4:$F$515)/$B$10)^5+8/15))))/COUNT($F$4:$F$515)</f>
        <v>0</v>
      </c>
      <c r="H63" s="1">
        <f t="shared" si="2"/>
        <v>-0.20662855031216668</v>
      </c>
      <c r="K63" s="2">
        <v>0.01</v>
      </c>
      <c r="L63" s="3">
        <f t="shared" si="0"/>
        <v>-3.8928550312169082E-2</v>
      </c>
    </row>
    <row r="64" spans="4:12" ht="14.4" customHeight="1">
      <c r="D64" s="7">
        <v>42093</v>
      </c>
      <c r="E64" s="8">
        <v>6.9880000000000004</v>
      </c>
      <c r="F64" s="8">
        <f t="shared" si="1"/>
        <v>1.9799765251048106E-2</v>
      </c>
      <c r="G64" s="8" cm="1">
        <f t="array" ref="G64">SUMPRODUCT(IF(((H64-$F$4:$F$515)/$B$10)&lt;=-1,0,IF(((H64-$F$4:$F$515)/$B$10)&gt;=1,1,(15/16)*(((H64-$F$4:$F$515)/$B$10)-(2/3)*((H64-$F$4:$F$515)/$B$10)^3+(1/5)*((H64-$F$4:$F$515)/$B$10)^5+8/15))))/COUNT($F$4:$F$515)</f>
        <v>0</v>
      </c>
      <c r="H64" s="9">
        <f t="shared" si="2"/>
        <v>-0.20632855031216668</v>
      </c>
      <c r="K64" s="7">
        <v>0.01</v>
      </c>
      <c r="L64" s="8">
        <f t="shared" si="0"/>
        <v>-3.8928550312169082E-2</v>
      </c>
    </row>
    <row r="65" spans="4:12" ht="14.4" customHeight="1">
      <c r="D65" s="2">
        <v>42094</v>
      </c>
      <c r="E65" s="3">
        <v>6.9610000000000003</v>
      </c>
      <c r="F65" s="3">
        <f t="shared" si="1"/>
        <v>-3.8712500852807578E-3</v>
      </c>
      <c r="G65" s="3" cm="1">
        <f t="array" ref="G65">SUMPRODUCT(IF(((H65-$F$4:$F$515)/$B$10)&lt;=-1,0,IF(((H65-$F$4:$F$515)/$B$10)&gt;=1,1,(15/16)*(((H65-$F$4:$F$515)/$B$10)-(2/3)*((H65-$F$4:$F$515)/$B$10)^3+(1/5)*((H65-$F$4:$F$515)/$B$10)^5+8/15))))/COUNT($F$4:$F$515)</f>
        <v>0</v>
      </c>
      <c r="H65" s="1">
        <f t="shared" si="2"/>
        <v>-0.20602855031216669</v>
      </c>
      <c r="K65" s="2">
        <v>0.01</v>
      </c>
      <c r="L65" s="3">
        <f t="shared" si="0"/>
        <v>-3.8928550312169082E-2</v>
      </c>
    </row>
    <row r="66" spans="4:12" ht="14.4" customHeight="1">
      <c r="D66" s="7">
        <v>42095</v>
      </c>
      <c r="E66" s="8">
        <v>7.0839999999999996</v>
      </c>
      <c r="F66" s="8">
        <f t="shared" si="1"/>
        <v>1.7515577734057635E-2</v>
      </c>
      <c r="G66" s="8" cm="1">
        <f t="array" ref="G66">SUMPRODUCT(IF(((H66-$F$4:$F$515)/$B$10)&lt;=-1,0,IF(((H66-$F$4:$F$515)/$B$10)&gt;=1,1,(15/16)*(((H66-$F$4:$F$515)/$B$10)-(2/3)*((H66-$F$4:$F$515)/$B$10)^3+(1/5)*((H66-$F$4:$F$515)/$B$10)^5+8/15))))/COUNT($F$4:$F$515)</f>
        <v>0</v>
      </c>
      <c r="H66" s="9">
        <f t="shared" si="2"/>
        <v>-0.20572855031216669</v>
      </c>
      <c r="K66" s="7">
        <v>0.01</v>
      </c>
      <c r="L66" s="8">
        <f t="shared" si="0"/>
        <v>-3.8928550312169082E-2</v>
      </c>
    </row>
    <row r="67" spans="4:12" ht="14.4" customHeight="1">
      <c r="D67" s="2">
        <v>42096</v>
      </c>
      <c r="E67" s="3">
        <v>7.1449999999999996</v>
      </c>
      <c r="F67" s="3">
        <f t="shared" si="1"/>
        <v>8.574091461243525E-3</v>
      </c>
      <c r="G67" s="3" cm="1">
        <f t="array" ref="G67">SUMPRODUCT(IF(((H67-$F$4:$F$515)/$B$10)&lt;=-1,0,IF(((H67-$F$4:$F$515)/$B$10)&gt;=1,1,(15/16)*(((H67-$F$4:$F$515)/$B$10)-(2/3)*((H67-$F$4:$F$515)/$B$10)^3+(1/5)*((H67-$F$4:$F$515)/$B$10)^5+8/15))))/COUNT($F$4:$F$515)</f>
        <v>0</v>
      </c>
      <c r="H67" s="1">
        <f t="shared" si="2"/>
        <v>-0.2054285503121667</v>
      </c>
      <c r="K67" s="2">
        <v>0.01</v>
      </c>
      <c r="L67" s="3">
        <f t="shared" si="0"/>
        <v>-3.8928550312169082E-2</v>
      </c>
    </row>
    <row r="68" spans="4:12" ht="14.4" customHeight="1">
      <c r="D68" s="7">
        <v>42101</v>
      </c>
      <c r="E68" s="8">
        <v>7.2389999999999999</v>
      </c>
      <c r="F68" s="8">
        <f t="shared" si="1"/>
        <v>1.3070263929173747E-2</v>
      </c>
      <c r="G68" s="8" cm="1">
        <f t="array" ref="G68">SUMPRODUCT(IF(((H68-$F$4:$F$515)/$B$10)&lt;=-1,0,IF(((H68-$F$4:$F$515)/$B$10)&gt;=1,1,(15/16)*(((H68-$F$4:$F$515)/$B$10)-(2/3)*((H68-$F$4:$F$515)/$B$10)^3+(1/5)*((H68-$F$4:$F$515)/$B$10)^5+8/15))))/COUNT($F$4:$F$515)</f>
        <v>0</v>
      </c>
      <c r="H68" s="9">
        <f t="shared" si="2"/>
        <v>-0.2051285503121667</v>
      </c>
      <c r="K68" s="7">
        <v>0.01</v>
      </c>
      <c r="L68" s="8">
        <f t="shared" ref="L68:L131" si="3">$B$7</f>
        <v>-3.8928550312169082E-2</v>
      </c>
    </row>
    <row r="69" spans="4:12" ht="14.4" customHeight="1">
      <c r="D69" s="2">
        <v>42102</v>
      </c>
      <c r="E69" s="3">
        <v>7.2640000000000002</v>
      </c>
      <c r="F69" s="3">
        <f t="shared" ref="F69:F132" si="4">LN(E69/E68)</f>
        <v>3.4475659879878535E-3</v>
      </c>
      <c r="G69" s="3" cm="1">
        <f t="array" ref="G69">SUMPRODUCT(IF(((H69-$F$4:$F$515)/$B$10)&lt;=-1,0,IF(((H69-$F$4:$F$515)/$B$10)&gt;=1,1,(15/16)*(((H69-$F$4:$F$515)/$B$10)-(2/3)*((H69-$F$4:$F$515)/$B$10)^3+(1/5)*((H69-$F$4:$F$515)/$B$10)^5+8/15))))/COUNT($F$4:$F$515)</f>
        <v>0</v>
      </c>
      <c r="H69" s="1">
        <f t="shared" ref="H69:H132" si="5">H68+0.0003</f>
        <v>-0.20482855031216671</v>
      </c>
      <c r="K69" s="2">
        <v>0.01</v>
      </c>
      <c r="L69" s="3">
        <f t="shared" si="3"/>
        <v>-3.8928550312169082E-2</v>
      </c>
    </row>
    <row r="70" spans="4:12" ht="14.4" customHeight="1">
      <c r="D70" s="7">
        <v>42103</v>
      </c>
      <c r="E70" s="8">
        <v>7.3970000000000002</v>
      </c>
      <c r="F70" s="8">
        <f t="shared" si="4"/>
        <v>1.814387130673854E-2</v>
      </c>
      <c r="G70" s="8" cm="1">
        <f t="array" ref="G70">SUMPRODUCT(IF(((H70-$F$4:$F$515)/$B$10)&lt;=-1,0,IF(((H70-$F$4:$F$515)/$B$10)&gt;=1,1,(15/16)*(((H70-$F$4:$F$515)/$B$10)-(2/3)*((H70-$F$4:$F$515)/$B$10)^3+(1/5)*((H70-$F$4:$F$515)/$B$10)^5+8/15))))/COUNT($F$4:$F$515)</f>
        <v>0</v>
      </c>
      <c r="H70" s="9">
        <f t="shared" si="5"/>
        <v>-0.20452855031216671</v>
      </c>
      <c r="K70" s="7">
        <v>0.01</v>
      </c>
      <c r="L70" s="8">
        <f t="shared" si="3"/>
        <v>-3.8928550312169082E-2</v>
      </c>
    </row>
    <row r="71" spans="4:12" ht="14.4" customHeight="1">
      <c r="D71" s="2">
        <v>42104</v>
      </c>
      <c r="E71" s="3">
        <v>7.3559999999999999</v>
      </c>
      <c r="F71" s="3">
        <f t="shared" si="4"/>
        <v>-5.558205863656053E-3</v>
      </c>
      <c r="G71" s="3" cm="1">
        <f t="array" ref="G71">SUMPRODUCT(IF(((H71-$F$4:$F$515)/$B$10)&lt;=-1,0,IF(((H71-$F$4:$F$515)/$B$10)&gt;=1,1,(15/16)*(((H71-$F$4:$F$515)/$B$10)-(2/3)*((H71-$F$4:$F$515)/$B$10)^3+(1/5)*((H71-$F$4:$F$515)/$B$10)^5+8/15))))/COUNT($F$4:$F$515)</f>
        <v>0</v>
      </c>
      <c r="H71" s="1">
        <f t="shared" si="5"/>
        <v>-0.20422855031216672</v>
      </c>
      <c r="K71" s="2">
        <v>0.01</v>
      </c>
      <c r="L71" s="3">
        <f t="shared" si="3"/>
        <v>-3.8928550312169082E-2</v>
      </c>
    </row>
    <row r="72" spans="4:12" ht="14.4" customHeight="1">
      <c r="D72" s="7">
        <v>42107</v>
      </c>
      <c r="E72" s="8">
        <v>7.4039999999999999</v>
      </c>
      <c r="F72" s="8">
        <f t="shared" si="4"/>
        <v>6.5040879691764825E-3</v>
      </c>
      <c r="G72" s="8" cm="1">
        <f t="array" ref="G72">SUMPRODUCT(IF(((H72-$F$4:$F$515)/$B$10)&lt;=-1,0,IF(((H72-$F$4:$F$515)/$B$10)&gt;=1,1,(15/16)*(((H72-$F$4:$F$515)/$B$10)-(2/3)*((H72-$F$4:$F$515)/$B$10)^3+(1/5)*((H72-$F$4:$F$515)/$B$10)^5+8/15))))/COUNT($F$4:$F$515)</f>
        <v>0</v>
      </c>
      <c r="H72" s="9">
        <f t="shared" si="5"/>
        <v>-0.20392855031216672</v>
      </c>
      <c r="K72" s="7">
        <v>0.01</v>
      </c>
      <c r="L72" s="8">
        <f t="shared" si="3"/>
        <v>-3.8928550312169082E-2</v>
      </c>
    </row>
    <row r="73" spans="4:12" ht="14.4" customHeight="1">
      <c r="D73" s="2">
        <v>42108</v>
      </c>
      <c r="E73" s="3">
        <v>7.4130000000000003</v>
      </c>
      <c r="F73" s="3">
        <f t="shared" si="4"/>
        <v>1.214820963331598E-3</v>
      </c>
      <c r="G73" s="3" cm="1">
        <f t="array" ref="G73">SUMPRODUCT(IF(((H73-$F$4:$F$515)/$B$10)&lt;=-1,0,IF(((H73-$F$4:$F$515)/$B$10)&gt;=1,1,(15/16)*(((H73-$F$4:$F$515)/$B$10)-(2/3)*((H73-$F$4:$F$515)/$B$10)^3+(1/5)*((H73-$F$4:$F$515)/$B$10)^5+8/15))))/COUNT($F$4:$F$515)</f>
        <v>0</v>
      </c>
      <c r="H73" s="1">
        <f t="shared" si="5"/>
        <v>-0.20362855031216673</v>
      </c>
      <c r="K73" s="2">
        <v>0.01</v>
      </c>
      <c r="L73" s="3">
        <f t="shared" si="3"/>
        <v>-3.8928550312169082E-2</v>
      </c>
    </row>
    <row r="74" spans="4:12" ht="14.4" customHeight="1">
      <c r="D74" s="7">
        <v>42109</v>
      </c>
      <c r="E74" s="8">
        <v>7.43</v>
      </c>
      <c r="F74" s="8">
        <f t="shared" si="4"/>
        <v>2.290643055085004E-3</v>
      </c>
      <c r="G74" s="8" cm="1">
        <f t="array" ref="G74">SUMPRODUCT(IF(((H74-$F$4:$F$515)/$B$10)&lt;=-1,0,IF(((H74-$F$4:$F$515)/$B$10)&gt;=1,1,(15/16)*(((H74-$F$4:$F$515)/$B$10)-(2/3)*((H74-$F$4:$F$515)/$B$10)^3+(1/5)*((H74-$F$4:$F$515)/$B$10)^5+8/15))))/COUNT($F$4:$F$515)</f>
        <v>0</v>
      </c>
      <c r="H74" s="9">
        <f t="shared" si="5"/>
        <v>-0.20332855031216673</v>
      </c>
      <c r="K74" s="7">
        <v>0.01</v>
      </c>
      <c r="L74" s="8">
        <f t="shared" si="3"/>
        <v>-3.8928550312169082E-2</v>
      </c>
    </row>
    <row r="75" spans="4:12" ht="14.4" customHeight="1">
      <c r="D75" s="2">
        <v>42110</v>
      </c>
      <c r="E75" s="3">
        <v>7.35</v>
      </c>
      <c r="F75" s="3">
        <f t="shared" si="4"/>
        <v>-1.0825545504922447E-2</v>
      </c>
      <c r="G75" s="3" cm="1">
        <f t="array" ref="G75">SUMPRODUCT(IF(((H75-$F$4:$F$515)/$B$10)&lt;=-1,0,IF(((H75-$F$4:$F$515)/$B$10)&gt;=1,1,(15/16)*(((H75-$F$4:$F$515)/$B$10)-(2/3)*((H75-$F$4:$F$515)/$B$10)^3+(1/5)*((H75-$F$4:$F$515)/$B$10)^5+8/15))))/COUNT($F$4:$F$515)</f>
        <v>0</v>
      </c>
      <c r="H75" s="1">
        <f t="shared" si="5"/>
        <v>-0.20302855031216674</v>
      </c>
      <c r="K75" s="2">
        <v>0.01</v>
      </c>
      <c r="L75" s="3">
        <f t="shared" si="3"/>
        <v>-3.8928550312169082E-2</v>
      </c>
    </row>
    <row r="76" spans="4:12" ht="14.4" customHeight="1">
      <c r="D76" s="7">
        <v>42111</v>
      </c>
      <c r="E76" s="8">
        <v>7.1680000000000001</v>
      </c>
      <c r="F76" s="8">
        <f t="shared" si="4"/>
        <v>-2.5073637552115849E-2</v>
      </c>
      <c r="G76" s="8" cm="1">
        <f t="array" ref="G76">SUMPRODUCT(IF(((H76-$F$4:$F$515)/$B$10)&lt;=-1,0,IF(((H76-$F$4:$F$515)/$B$10)&gt;=1,1,(15/16)*(((H76-$F$4:$F$515)/$B$10)-(2/3)*((H76-$F$4:$F$515)/$B$10)^3+(1/5)*((H76-$F$4:$F$515)/$B$10)^5+8/15))))/COUNT($F$4:$F$515)</f>
        <v>0</v>
      </c>
      <c r="H76" s="9">
        <f t="shared" si="5"/>
        <v>-0.20272855031216674</v>
      </c>
      <c r="K76" s="7">
        <v>0.01</v>
      </c>
      <c r="L76" s="8">
        <f t="shared" si="3"/>
        <v>-3.8928550312169082E-2</v>
      </c>
    </row>
    <row r="77" spans="4:12" ht="14.4" customHeight="1">
      <c r="D77" s="2">
        <v>42114</v>
      </c>
      <c r="E77" s="3">
        <v>7.25</v>
      </c>
      <c r="F77" s="3">
        <f t="shared" si="4"/>
        <v>1.1374793193954125E-2</v>
      </c>
      <c r="G77" s="3" cm="1">
        <f t="array" ref="G77">SUMPRODUCT(IF(((H77-$F$4:$F$515)/$B$10)&lt;=-1,0,IF(((H77-$F$4:$F$515)/$B$10)&gt;=1,1,(15/16)*(((H77-$F$4:$F$515)/$B$10)-(2/3)*((H77-$F$4:$F$515)/$B$10)^3+(1/5)*((H77-$F$4:$F$515)/$B$10)^5+8/15))))/COUNT($F$4:$F$515)</f>
        <v>0</v>
      </c>
      <c r="H77" s="1">
        <f t="shared" si="5"/>
        <v>-0.20242855031216675</v>
      </c>
      <c r="K77" s="2">
        <v>0.01</v>
      </c>
      <c r="L77" s="3">
        <f t="shared" si="3"/>
        <v>-3.8928550312169082E-2</v>
      </c>
    </row>
    <row r="78" spans="4:12" ht="14.4" customHeight="1">
      <c r="D78" s="7">
        <v>42115</v>
      </c>
      <c r="E78" s="8">
        <v>7.3609999999999998</v>
      </c>
      <c r="F78" s="8">
        <f t="shared" si="4"/>
        <v>1.5194324209985456E-2</v>
      </c>
      <c r="G78" s="8" cm="1">
        <f t="array" ref="G78">SUMPRODUCT(IF(((H78-$F$4:$F$515)/$B$10)&lt;=-1,0,IF(((H78-$F$4:$F$515)/$B$10)&gt;=1,1,(15/16)*(((H78-$F$4:$F$515)/$B$10)-(2/3)*((H78-$F$4:$F$515)/$B$10)^3+(1/5)*((H78-$F$4:$F$515)/$B$10)^5+8/15))))/COUNT($F$4:$F$515)</f>
        <v>0</v>
      </c>
      <c r="H78" s="9">
        <f t="shared" si="5"/>
        <v>-0.20212855031216675</v>
      </c>
      <c r="K78" s="7">
        <v>0.01</v>
      </c>
      <c r="L78" s="8">
        <f t="shared" si="3"/>
        <v>-3.8928550312169082E-2</v>
      </c>
    </row>
    <row r="79" spans="4:12" ht="14.4" customHeight="1">
      <c r="D79" s="2">
        <v>42116</v>
      </c>
      <c r="E79" s="3">
        <v>7.4450000000000003</v>
      </c>
      <c r="F79" s="3">
        <f t="shared" si="4"/>
        <v>1.1346873059403403E-2</v>
      </c>
      <c r="G79" s="3" cm="1">
        <f t="array" ref="G79">SUMPRODUCT(IF(((H79-$F$4:$F$515)/$B$10)&lt;=-1,0,IF(((H79-$F$4:$F$515)/$B$10)&gt;=1,1,(15/16)*(((H79-$F$4:$F$515)/$B$10)-(2/3)*((H79-$F$4:$F$515)/$B$10)^3+(1/5)*((H79-$F$4:$F$515)/$B$10)^5+8/15))))/COUNT($F$4:$F$515)</f>
        <v>0</v>
      </c>
      <c r="H79" s="1">
        <f t="shared" si="5"/>
        <v>-0.20182855031216676</v>
      </c>
      <c r="K79" s="2">
        <v>0.01</v>
      </c>
      <c r="L79" s="3">
        <f t="shared" si="3"/>
        <v>-3.8928550312169082E-2</v>
      </c>
    </row>
    <row r="80" spans="4:12" ht="14.4" customHeight="1">
      <c r="D80" s="7">
        <v>42117</v>
      </c>
      <c r="E80" s="8">
        <v>7.5350000000000001</v>
      </c>
      <c r="F80" s="8">
        <f t="shared" si="4"/>
        <v>1.2016165942486398E-2</v>
      </c>
      <c r="G80" s="8" cm="1">
        <f t="array" ref="G80">SUMPRODUCT(IF(((H80-$F$4:$F$515)/$B$10)&lt;=-1,0,IF(((H80-$F$4:$F$515)/$B$10)&gt;=1,1,(15/16)*(((H80-$F$4:$F$515)/$B$10)-(2/3)*((H80-$F$4:$F$515)/$B$10)^3+(1/5)*((H80-$F$4:$F$515)/$B$10)^5+8/15))))/COUNT($F$4:$F$515)</f>
        <v>0</v>
      </c>
      <c r="H80" s="9">
        <f t="shared" si="5"/>
        <v>-0.20152855031216677</v>
      </c>
      <c r="K80" s="7">
        <v>0.01</v>
      </c>
      <c r="L80" s="8">
        <f t="shared" si="3"/>
        <v>-3.8928550312169082E-2</v>
      </c>
    </row>
    <row r="81" spans="4:12" ht="14.4" customHeight="1">
      <c r="D81" s="2">
        <v>42118</v>
      </c>
      <c r="E81" s="3">
        <v>7.6459999999999999</v>
      </c>
      <c r="F81" s="3">
        <f t="shared" si="4"/>
        <v>1.4623803195762303E-2</v>
      </c>
      <c r="G81" s="3" cm="1">
        <f t="array" ref="G81">SUMPRODUCT(IF(((H81-$F$4:$F$515)/$B$10)&lt;=-1,0,IF(((H81-$F$4:$F$515)/$B$10)&gt;=1,1,(15/16)*(((H81-$F$4:$F$515)/$B$10)-(2/3)*((H81-$F$4:$F$515)/$B$10)^3+(1/5)*((H81-$F$4:$F$515)/$B$10)^5+8/15))))/COUNT($F$4:$F$515)</f>
        <v>0</v>
      </c>
      <c r="H81" s="1">
        <f t="shared" si="5"/>
        <v>-0.20122855031216677</v>
      </c>
      <c r="K81" s="2">
        <v>0.01</v>
      </c>
      <c r="L81" s="3">
        <f t="shared" si="3"/>
        <v>-3.8928550312169082E-2</v>
      </c>
    </row>
    <row r="82" spans="4:12" ht="14.4" customHeight="1">
      <c r="D82" s="7">
        <v>42121</v>
      </c>
      <c r="E82" s="8">
        <v>7.7439999999999998</v>
      </c>
      <c r="F82" s="8">
        <f t="shared" si="4"/>
        <v>1.2735714700054848E-2</v>
      </c>
      <c r="G82" s="8" cm="1">
        <f t="array" ref="G82">SUMPRODUCT(IF(((H82-$F$4:$F$515)/$B$10)&lt;=-1,0,IF(((H82-$F$4:$F$515)/$B$10)&gt;=1,1,(15/16)*(((H82-$F$4:$F$515)/$B$10)-(2/3)*((H82-$F$4:$F$515)/$B$10)^3+(1/5)*((H82-$F$4:$F$515)/$B$10)^5+8/15))))/COUNT($F$4:$F$515)</f>
        <v>0</v>
      </c>
      <c r="H82" s="9">
        <f t="shared" si="5"/>
        <v>-0.20092855031216678</v>
      </c>
      <c r="K82" s="7">
        <v>0.01</v>
      </c>
      <c r="L82" s="8">
        <f t="shared" si="3"/>
        <v>-3.8928550312169082E-2</v>
      </c>
    </row>
    <row r="83" spans="4:12" ht="14.4" customHeight="1">
      <c r="D83" s="2">
        <v>42122</v>
      </c>
      <c r="E83" s="3">
        <v>7.6619999999999999</v>
      </c>
      <c r="F83" s="3">
        <f t="shared" si="4"/>
        <v>-1.0645303695818609E-2</v>
      </c>
      <c r="G83" s="3" cm="1">
        <f t="array" ref="G83">SUMPRODUCT(IF(((H83-$F$4:$F$515)/$B$10)&lt;=-1,0,IF(((H83-$F$4:$F$515)/$B$10)&gt;=1,1,(15/16)*(((H83-$F$4:$F$515)/$B$10)-(2/3)*((H83-$F$4:$F$515)/$B$10)^3+(1/5)*((H83-$F$4:$F$515)/$B$10)^5+8/15))))/COUNT($F$4:$F$515)</f>
        <v>0</v>
      </c>
      <c r="H83" s="1">
        <f t="shared" si="5"/>
        <v>-0.20062855031216678</v>
      </c>
      <c r="K83" s="2">
        <v>0.01</v>
      </c>
      <c r="L83" s="3">
        <f t="shared" si="3"/>
        <v>-3.8928550312169082E-2</v>
      </c>
    </row>
    <row r="84" spans="4:12" ht="14.4" customHeight="1">
      <c r="D84" s="7">
        <v>42123</v>
      </c>
      <c r="E84" s="8">
        <v>7.2779999999999996</v>
      </c>
      <c r="F84" s="8">
        <f t="shared" si="4"/>
        <v>-5.1416947088489234E-2</v>
      </c>
      <c r="G84" s="8" cm="1">
        <f t="array" ref="G84">SUMPRODUCT(IF(((H84-$F$4:$F$515)/$B$10)&lt;=-1,0,IF(((H84-$F$4:$F$515)/$B$10)&gt;=1,1,(15/16)*(((H84-$F$4:$F$515)/$B$10)-(2/3)*((H84-$F$4:$F$515)/$B$10)^3+(1/5)*((H84-$F$4:$F$515)/$B$10)^5+8/15))))/COUNT($F$4:$F$515)</f>
        <v>0</v>
      </c>
      <c r="H84" s="9">
        <f t="shared" si="5"/>
        <v>-0.20032855031216679</v>
      </c>
      <c r="K84" s="7">
        <v>0.01</v>
      </c>
      <c r="L84" s="8">
        <f t="shared" si="3"/>
        <v>-3.8928550312169082E-2</v>
      </c>
    </row>
    <row r="85" spans="4:12" ht="14.4" customHeight="1">
      <c r="D85" s="2">
        <v>42124</v>
      </c>
      <c r="E85" s="3">
        <v>7.3860000000000001</v>
      </c>
      <c r="F85" s="3">
        <f t="shared" si="4"/>
        <v>1.4730217240403409E-2</v>
      </c>
      <c r="G85" s="3" cm="1">
        <f t="array" ref="G85">SUMPRODUCT(IF(((H85-$F$4:$F$515)/$B$10)&lt;=-1,0,IF(((H85-$F$4:$F$515)/$B$10)&gt;=1,1,(15/16)*(((H85-$F$4:$F$515)/$B$10)-(2/3)*((H85-$F$4:$F$515)/$B$10)^3+(1/5)*((H85-$F$4:$F$515)/$B$10)^5+8/15))))/COUNT($F$4:$F$515)</f>
        <v>0</v>
      </c>
      <c r="H85" s="1">
        <f t="shared" si="5"/>
        <v>-0.20002855031216679</v>
      </c>
      <c r="K85" s="2">
        <v>0.01</v>
      </c>
      <c r="L85" s="3">
        <f t="shared" si="3"/>
        <v>-3.8928550312169082E-2</v>
      </c>
    </row>
    <row r="86" spans="4:12" ht="14.4" customHeight="1">
      <c r="D86" s="7">
        <v>42128</v>
      </c>
      <c r="E86" s="8">
        <v>7.3730000000000002</v>
      </c>
      <c r="F86" s="8">
        <f t="shared" si="4"/>
        <v>-1.7616374228579302E-3</v>
      </c>
      <c r="G86" s="8" cm="1">
        <f t="array" ref="G86">SUMPRODUCT(IF(((H86-$F$4:$F$515)/$B$10)&lt;=-1,0,IF(((H86-$F$4:$F$515)/$B$10)&gt;=1,1,(15/16)*(((H86-$F$4:$F$515)/$B$10)-(2/3)*((H86-$F$4:$F$515)/$B$10)^3+(1/5)*((H86-$F$4:$F$515)/$B$10)^5+8/15))))/COUNT($F$4:$F$515)</f>
        <v>0</v>
      </c>
      <c r="H86" s="9">
        <f t="shared" si="5"/>
        <v>-0.1997285503121668</v>
      </c>
      <c r="K86" s="7">
        <v>0.01</v>
      </c>
      <c r="L86" s="8">
        <f t="shared" si="3"/>
        <v>-3.8928550312169082E-2</v>
      </c>
    </row>
    <row r="87" spans="4:12" ht="14.4" customHeight="1">
      <c r="D87" s="2">
        <v>42129</v>
      </c>
      <c r="E87" s="3">
        <v>7.1219999999999999</v>
      </c>
      <c r="F87" s="3">
        <f t="shared" si="4"/>
        <v>-3.4636094151927622E-2</v>
      </c>
      <c r="G87" s="3" cm="1">
        <f t="array" ref="G87">SUMPRODUCT(IF(((H87-$F$4:$F$515)/$B$10)&lt;=-1,0,IF(((H87-$F$4:$F$515)/$B$10)&gt;=1,1,(15/16)*(((H87-$F$4:$F$515)/$B$10)-(2/3)*((H87-$F$4:$F$515)/$B$10)^3+(1/5)*((H87-$F$4:$F$515)/$B$10)^5+8/15))))/COUNT($F$4:$F$515)</f>
        <v>0</v>
      </c>
      <c r="H87" s="1">
        <f t="shared" si="5"/>
        <v>-0.1994285503121668</v>
      </c>
      <c r="K87" s="2">
        <v>0.01</v>
      </c>
      <c r="L87" s="3">
        <f t="shared" si="3"/>
        <v>-3.8928550312169082E-2</v>
      </c>
    </row>
    <row r="88" spans="4:12" ht="14.4" customHeight="1">
      <c r="D88" s="7">
        <v>42130</v>
      </c>
      <c r="E88" s="8">
        <v>7.13</v>
      </c>
      <c r="F88" s="8">
        <f t="shared" si="4"/>
        <v>1.1226495706186572E-3</v>
      </c>
      <c r="G88" s="8" cm="1">
        <f t="array" ref="G88">SUMPRODUCT(IF(((H88-$F$4:$F$515)/$B$10)&lt;=-1,0,IF(((H88-$F$4:$F$515)/$B$10)&gt;=1,1,(15/16)*(((H88-$F$4:$F$515)/$B$10)-(2/3)*((H88-$F$4:$F$515)/$B$10)^3+(1/5)*((H88-$F$4:$F$515)/$B$10)^5+8/15))))/COUNT($F$4:$F$515)</f>
        <v>0</v>
      </c>
      <c r="H88" s="9">
        <f t="shared" si="5"/>
        <v>-0.19912855031216681</v>
      </c>
      <c r="K88" s="7">
        <v>0.01</v>
      </c>
      <c r="L88" s="8">
        <f t="shared" si="3"/>
        <v>-3.8928550312169082E-2</v>
      </c>
    </row>
    <row r="89" spans="4:12" ht="14.4" customHeight="1">
      <c r="D89" s="2">
        <v>42131</v>
      </c>
      <c r="E89" s="3">
        <v>7.1189999999999998</v>
      </c>
      <c r="F89" s="3">
        <f t="shared" si="4"/>
        <v>-1.5439683044683949E-3</v>
      </c>
      <c r="G89" s="3" cm="1">
        <f t="array" ref="G89">SUMPRODUCT(IF(((H89-$F$4:$F$515)/$B$10)&lt;=-1,0,IF(((H89-$F$4:$F$515)/$B$10)&gt;=1,1,(15/16)*(((H89-$F$4:$F$515)/$B$10)-(2/3)*((H89-$F$4:$F$515)/$B$10)^3+(1/5)*((H89-$F$4:$F$515)/$B$10)^5+8/15))))/COUNT($F$4:$F$515)</f>
        <v>0</v>
      </c>
      <c r="H89" s="1">
        <f t="shared" si="5"/>
        <v>-0.19882855031216681</v>
      </c>
      <c r="K89" s="2">
        <v>0.01</v>
      </c>
      <c r="L89" s="3">
        <f t="shared" si="3"/>
        <v>-3.8928550312169082E-2</v>
      </c>
    </row>
    <row r="90" spans="4:12" ht="14.4" customHeight="1">
      <c r="D90" s="7">
        <v>42132</v>
      </c>
      <c r="E90" s="8">
        <v>7.25</v>
      </c>
      <c r="F90" s="8">
        <f t="shared" si="4"/>
        <v>1.8234202744847244E-2</v>
      </c>
      <c r="G90" s="8" cm="1">
        <f t="array" ref="G90">SUMPRODUCT(IF(((H90-$F$4:$F$515)/$B$10)&lt;=-1,0,IF(((H90-$F$4:$F$515)/$B$10)&gt;=1,1,(15/16)*(((H90-$F$4:$F$515)/$B$10)-(2/3)*((H90-$F$4:$F$515)/$B$10)^3+(1/5)*((H90-$F$4:$F$515)/$B$10)^5+8/15))))/COUNT($F$4:$F$515)</f>
        <v>0</v>
      </c>
      <c r="H90" s="9">
        <f t="shared" si="5"/>
        <v>-0.19852855031216682</v>
      </c>
      <c r="K90" s="7">
        <v>0.01</v>
      </c>
      <c r="L90" s="8">
        <f t="shared" si="3"/>
        <v>-3.8928550312169082E-2</v>
      </c>
    </row>
    <row r="91" spans="4:12" ht="14.4" customHeight="1">
      <c r="D91" s="2">
        <v>42135</v>
      </c>
      <c r="E91" s="3">
        <v>7.22</v>
      </c>
      <c r="F91" s="3">
        <f t="shared" si="4"/>
        <v>-4.1465159618485773E-3</v>
      </c>
      <c r="G91" s="3" cm="1">
        <f t="array" ref="G91">SUMPRODUCT(IF(((H91-$F$4:$F$515)/$B$10)&lt;=-1,0,IF(((H91-$F$4:$F$515)/$B$10)&gt;=1,1,(15/16)*(((H91-$F$4:$F$515)/$B$10)-(2/3)*((H91-$F$4:$F$515)/$B$10)^3+(1/5)*((H91-$F$4:$F$515)/$B$10)^5+8/15))))/COUNT($F$4:$F$515)</f>
        <v>0</v>
      </c>
      <c r="H91" s="1">
        <f t="shared" si="5"/>
        <v>-0.19822855031216682</v>
      </c>
      <c r="K91" s="2">
        <v>0.01</v>
      </c>
      <c r="L91" s="3">
        <f t="shared" si="3"/>
        <v>-3.8928550312169082E-2</v>
      </c>
    </row>
    <row r="92" spans="4:12" ht="14.4" customHeight="1">
      <c r="D92" s="7">
        <v>42136</v>
      </c>
      <c r="E92" s="8">
        <v>6.98</v>
      </c>
      <c r="F92" s="8">
        <f t="shared" si="4"/>
        <v>-3.3806036130453659E-2</v>
      </c>
      <c r="G92" s="8" cm="1">
        <f t="array" ref="G92">SUMPRODUCT(IF(((H92-$F$4:$F$515)/$B$10)&lt;=-1,0,IF(((H92-$F$4:$F$515)/$B$10)&gt;=1,1,(15/16)*(((H92-$F$4:$F$515)/$B$10)-(2/3)*((H92-$F$4:$F$515)/$B$10)^3+(1/5)*((H92-$F$4:$F$515)/$B$10)^5+8/15))))/COUNT($F$4:$F$515)</f>
        <v>0</v>
      </c>
      <c r="H92" s="9">
        <f t="shared" si="5"/>
        <v>-0.19792855031216683</v>
      </c>
      <c r="K92" s="7">
        <v>0.01</v>
      </c>
      <c r="L92" s="8">
        <f t="shared" si="3"/>
        <v>-3.8928550312169082E-2</v>
      </c>
    </row>
    <row r="93" spans="4:12" ht="14.4" customHeight="1">
      <c r="D93" s="2">
        <v>42137</v>
      </c>
      <c r="E93" s="3">
        <v>7.0339999999999998</v>
      </c>
      <c r="F93" s="3">
        <f t="shared" si="4"/>
        <v>7.7066172775095707E-3</v>
      </c>
      <c r="G93" s="3" cm="1">
        <f t="array" ref="G93">SUMPRODUCT(IF(((H93-$F$4:$F$515)/$B$10)&lt;=-1,0,IF(((H93-$F$4:$F$515)/$B$10)&gt;=1,1,(15/16)*(((H93-$F$4:$F$515)/$B$10)-(2/3)*((H93-$F$4:$F$515)/$B$10)^3+(1/5)*((H93-$F$4:$F$515)/$B$10)^5+8/15))))/COUNT($F$4:$F$515)</f>
        <v>0</v>
      </c>
      <c r="H93" s="1">
        <f t="shared" si="5"/>
        <v>-0.19762855031216683</v>
      </c>
      <c r="K93" s="2">
        <v>0.01</v>
      </c>
      <c r="L93" s="3">
        <f t="shared" si="3"/>
        <v>-3.8928550312169082E-2</v>
      </c>
    </row>
    <row r="94" spans="4:12" ht="14.4" customHeight="1">
      <c r="D94" s="7">
        <v>42138</v>
      </c>
      <c r="E94" s="8">
        <v>7.15</v>
      </c>
      <c r="F94" s="8">
        <f t="shared" si="4"/>
        <v>1.6356822654125719E-2</v>
      </c>
      <c r="G94" s="8" cm="1">
        <f t="array" ref="G94">SUMPRODUCT(IF(((H94-$F$4:$F$515)/$B$10)&lt;=-1,0,IF(((H94-$F$4:$F$515)/$B$10)&gt;=1,1,(15/16)*(((H94-$F$4:$F$515)/$B$10)-(2/3)*((H94-$F$4:$F$515)/$B$10)^3+(1/5)*((H94-$F$4:$F$515)/$B$10)^5+8/15))))/COUNT($F$4:$F$515)</f>
        <v>0</v>
      </c>
      <c r="H94" s="9">
        <f t="shared" si="5"/>
        <v>-0.19732855031216684</v>
      </c>
      <c r="K94" s="7">
        <v>0.01</v>
      </c>
      <c r="L94" s="8">
        <f t="shared" si="3"/>
        <v>-3.8928550312169082E-2</v>
      </c>
    </row>
    <row r="95" spans="4:12" ht="14.4" customHeight="1">
      <c r="D95" s="2">
        <v>42139</v>
      </c>
      <c r="E95" s="3">
        <v>7.1369999999999996</v>
      </c>
      <c r="F95" s="3">
        <f t="shared" si="4"/>
        <v>-1.819836716986094E-3</v>
      </c>
      <c r="G95" s="3" cm="1">
        <f t="array" ref="G95">SUMPRODUCT(IF(((H95-$F$4:$F$515)/$B$10)&lt;=-1,0,IF(((H95-$F$4:$F$515)/$B$10)&gt;=1,1,(15/16)*(((H95-$F$4:$F$515)/$B$10)-(2/3)*((H95-$F$4:$F$515)/$B$10)^3+(1/5)*((H95-$F$4:$F$515)/$B$10)^5+8/15))))/COUNT($F$4:$F$515)</f>
        <v>0</v>
      </c>
      <c r="H95" s="1">
        <f t="shared" si="5"/>
        <v>-0.19702855031216684</v>
      </c>
      <c r="K95" s="2">
        <v>0.01</v>
      </c>
      <c r="L95" s="3">
        <f t="shared" si="3"/>
        <v>-3.8928550312169082E-2</v>
      </c>
    </row>
    <row r="96" spans="4:12" ht="14.4" customHeight="1">
      <c r="D96" s="7">
        <v>42142</v>
      </c>
      <c r="E96" s="8">
        <v>7.0750000000000002</v>
      </c>
      <c r="F96" s="8">
        <f t="shared" si="4"/>
        <v>-8.7250764596288801E-3</v>
      </c>
      <c r="G96" s="8" cm="1">
        <f t="array" ref="G96">SUMPRODUCT(IF(((H96-$F$4:$F$515)/$B$10)&lt;=-1,0,IF(((H96-$F$4:$F$515)/$B$10)&gt;=1,1,(15/16)*(((H96-$F$4:$F$515)/$B$10)-(2/3)*((H96-$F$4:$F$515)/$B$10)^3+(1/5)*((H96-$F$4:$F$515)/$B$10)^5+8/15))))/COUNT($F$4:$F$515)</f>
        <v>0</v>
      </c>
      <c r="H96" s="9">
        <f t="shared" si="5"/>
        <v>-0.19672855031216685</v>
      </c>
      <c r="K96" s="7">
        <v>0.01</v>
      </c>
      <c r="L96" s="8">
        <f t="shared" si="3"/>
        <v>-3.8928550312169082E-2</v>
      </c>
    </row>
    <row r="97" spans="4:12" ht="14.4" customHeight="1">
      <c r="D97" s="2">
        <v>42143</v>
      </c>
      <c r="E97" s="3">
        <v>7.2069999999999999</v>
      </c>
      <c r="F97" s="3">
        <f t="shared" si="4"/>
        <v>1.8485332413002691E-2</v>
      </c>
      <c r="G97" s="3" cm="1">
        <f t="array" ref="G97">SUMPRODUCT(IF(((H97-$F$4:$F$515)/$B$10)&lt;=-1,0,IF(((H97-$F$4:$F$515)/$B$10)&gt;=1,1,(15/16)*(((H97-$F$4:$F$515)/$B$10)-(2/3)*((H97-$F$4:$F$515)/$B$10)^3+(1/5)*((H97-$F$4:$F$515)/$B$10)^5+8/15))))/COUNT($F$4:$F$515)</f>
        <v>0</v>
      </c>
      <c r="H97" s="1">
        <f t="shared" si="5"/>
        <v>-0.19642855031216686</v>
      </c>
      <c r="K97" s="2">
        <v>0.01</v>
      </c>
      <c r="L97" s="3">
        <f t="shared" si="3"/>
        <v>-3.8928550312169082E-2</v>
      </c>
    </row>
    <row r="98" spans="4:12" ht="14.4" customHeight="1">
      <c r="D98" s="7">
        <v>42144</v>
      </c>
      <c r="E98" s="8">
        <v>7.2480000000000002</v>
      </c>
      <c r="F98" s="8">
        <f t="shared" si="4"/>
        <v>5.6727927983742481E-3</v>
      </c>
      <c r="G98" s="8" cm="1">
        <f t="array" ref="G98">SUMPRODUCT(IF(((H98-$F$4:$F$515)/$B$10)&lt;=-1,0,IF(((H98-$F$4:$F$515)/$B$10)&gt;=1,1,(15/16)*(((H98-$F$4:$F$515)/$B$10)-(2/3)*((H98-$F$4:$F$515)/$B$10)^3+(1/5)*((H98-$F$4:$F$515)/$B$10)^5+8/15))))/COUNT($F$4:$F$515)</f>
        <v>0</v>
      </c>
      <c r="H98" s="9">
        <f t="shared" si="5"/>
        <v>-0.19612855031216686</v>
      </c>
      <c r="K98" s="7">
        <v>0.01</v>
      </c>
      <c r="L98" s="8">
        <f t="shared" si="3"/>
        <v>-3.8928550312169082E-2</v>
      </c>
    </row>
    <row r="99" spans="4:12" ht="14.4" customHeight="1">
      <c r="D99" s="2">
        <v>42145</v>
      </c>
      <c r="E99" s="3">
        <v>7.2469999999999999</v>
      </c>
      <c r="F99" s="3">
        <f t="shared" si="4"/>
        <v>-1.3797861353391047E-4</v>
      </c>
      <c r="G99" s="3" cm="1">
        <f t="array" ref="G99">SUMPRODUCT(IF(((H99-$F$4:$F$515)/$B$10)&lt;=-1,0,IF(((H99-$F$4:$F$515)/$B$10)&gt;=1,1,(15/16)*(((H99-$F$4:$F$515)/$B$10)-(2/3)*((H99-$F$4:$F$515)/$B$10)^3+(1/5)*((H99-$F$4:$F$515)/$B$10)^5+8/15))))/COUNT($F$4:$F$515)</f>
        <v>0</v>
      </c>
      <c r="H99" s="1">
        <f t="shared" si="5"/>
        <v>-0.19582855031216687</v>
      </c>
      <c r="K99" s="2">
        <v>0.01</v>
      </c>
      <c r="L99" s="3">
        <f t="shared" si="3"/>
        <v>-3.8928550312169082E-2</v>
      </c>
    </row>
    <row r="100" spans="4:12" ht="14.4" customHeight="1">
      <c r="D100" s="7">
        <v>42146</v>
      </c>
      <c r="E100" s="8">
        <v>6.9640000000000004</v>
      </c>
      <c r="F100" s="8">
        <f t="shared" si="4"/>
        <v>-3.9833568221201737E-2</v>
      </c>
      <c r="G100" s="8" cm="1">
        <f t="array" ref="G100">SUMPRODUCT(IF(((H100-$F$4:$F$515)/$B$10)&lt;=-1,0,IF(((H100-$F$4:$F$515)/$B$10)&gt;=1,1,(15/16)*(((H100-$F$4:$F$515)/$B$10)-(2/3)*((H100-$F$4:$F$515)/$B$10)^3+(1/5)*((H100-$F$4:$F$515)/$B$10)^5+8/15))))/COUNT($F$4:$F$515)</f>
        <v>0</v>
      </c>
      <c r="H100" s="9">
        <f t="shared" si="5"/>
        <v>-0.19552855031216687</v>
      </c>
      <c r="K100" s="7">
        <v>0.01</v>
      </c>
      <c r="L100" s="8">
        <f t="shared" si="3"/>
        <v>-3.8928550312169082E-2</v>
      </c>
    </row>
    <row r="101" spans="4:12" ht="14.4" customHeight="1">
      <c r="D101" s="2">
        <v>42149</v>
      </c>
      <c r="E101" s="3">
        <v>6.8609999999999998</v>
      </c>
      <c r="F101" s="3">
        <f t="shared" si="4"/>
        <v>-1.490081819718893E-2</v>
      </c>
      <c r="G101" s="3" cm="1">
        <f t="array" ref="G101">SUMPRODUCT(IF(((H101-$F$4:$F$515)/$B$10)&lt;=-1,0,IF(((H101-$F$4:$F$515)/$B$10)&gt;=1,1,(15/16)*(((H101-$F$4:$F$515)/$B$10)-(2/3)*((H101-$F$4:$F$515)/$B$10)^3+(1/5)*((H101-$F$4:$F$515)/$B$10)^5+8/15))))/COUNT($F$4:$F$515)</f>
        <v>3.715592846012571E-10</v>
      </c>
      <c r="H101" s="1">
        <f t="shared" si="5"/>
        <v>-0.19522855031216688</v>
      </c>
      <c r="K101" s="2">
        <v>0.01</v>
      </c>
      <c r="L101" s="3">
        <f t="shared" si="3"/>
        <v>-3.8928550312169082E-2</v>
      </c>
    </row>
    <row r="102" spans="4:12" ht="14.4" customHeight="1">
      <c r="D102" s="7">
        <v>42150</v>
      </c>
      <c r="E102" s="8">
        <v>6.8220000000000001</v>
      </c>
      <c r="F102" s="8">
        <f t="shared" si="4"/>
        <v>-5.7005197122997221E-3</v>
      </c>
      <c r="G102" s="8" cm="1">
        <f t="array" ref="G102">SUMPRODUCT(IF(((H102-$F$4:$F$515)/$B$10)&lt;=-1,0,IF(((H102-$F$4:$F$515)/$B$10)&gt;=1,1,(15/16)*(((H102-$F$4:$F$515)/$B$10)-(2/3)*((H102-$F$4:$F$515)/$B$10)^3+(1/5)*((H102-$F$4:$F$515)/$B$10)^5+8/15))))/COUNT($F$4:$F$515)</f>
        <v>2.3273954726487896E-7</v>
      </c>
      <c r="H102" s="9">
        <f t="shared" si="5"/>
        <v>-0.19492855031216688</v>
      </c>
      <c r="K102" s="7">
        <v>0.01</v>
      </c>
      <c r="L102" s="8">
        <f t="shared" si="3"/>
        <v>-3.8928550312169082E-2</v>
      </c>
    </row>
    <row r="103" spans="4:12" ht="14.4" customHeight="1">
      <c r="D103" s="2">
        <v>42151</v>
      </c>
      <c r="E103" s="3">
        <v>6.96</v>
      </c>
      <c r="F103" s="3">
        <f t="shared" si="4"/>
        <v>2.0026790349874243E-2</v>
      </c>
      <c r="G103" s="3" cm="1">
        <f t="array" ref="G103">SUMPRODUCT(IF(((H103-$F$4:$F$515)/$B$10)&lt;=-1,0,IF(((H103-$F$4:$F$515)/$B$10)&gt;=1,1,(15/16)*(((H103-$F$4:$F$515)/$B$10)-(2/3)*((H103-$F$4:$F$515)/$B$10)^3+(1/5)*((H103-$F$4:$F$515)/$B$10)^5+8/15))))/COUNT($F$4:$F$515)</f>
        <v>1.5090624582629017E-6</v>
      </c>
      <c r="H103" s="1">
        <f t="shared" si="5"/>
        <v>-0.19462855031216689</v>
      </c>
      <c r="K103" s="2">
        <v>0.01</v>
      </c>
      <c r="L103" s="3">
        <f t="shared" si="3"/>
        <v>-3.8928550312169082E-2</v>
      </c>
    </row>
    <row r="104" spans="4:12" ht="14.4" customHeight="1">
      <c r="D104" s="7">
        <v>42152</v>
      </c>
      <c r="E104" s="8">
        <v>6.923</v>
      </c>
      <c r="F104" s="8">
        <f t="shared" si="4"/>
        <v>-5.3302726504398613E-3</v>
      </c>
      <c r="G104" s="8" cm="1">
        <f t="array" ref="G104">SUMPRODUCT(IF(((H104-$F$4:$F$515)/$B$10)&lt;=-1,0,IF(((H104-$F$4:$F$515)/$B$10)&gt;=1,1,(15/16)*(((H104-$F$4:$F$515)/$B$10)-(2/3)*((H104-$F$4:$F$515)/$B$10)^3+(1/5)*((H104-$F$4:$F$515)/$B$10)^5+8/15))))/COUNT($F$4:$F$515)</f>
        <v>4.6367348469401756E-6</v>
      </c>
      <c r="H104" s="9">
        <f t="shared" si="5"/>
        <v>-0.19432855031216689</v>
      </c>
      <c r="K104" s="7">
        <v>0.01</v>
      </c>
      <c r="L104" s="8">
        <f t="shared" si="3"/>
        <v>-3.8928550312169082E-2</v>
      </c>
    </row>
    <row r="105" spans="4:12" ht="14.4" customHeight="1">
      <c r="D105" s="2">
        <v>42153</v>
      </c>
      <c r="E105" s="3">
        <v>6.8259999999999996</v>
      </c>
      <c r="F105" s="3">
        <f t="shared" si="4"/>
        <v>-1.4110351211373098E-2</v>
      </c>
      <c r="G105" s="3" cm="1">
        <f t="array" ref="G105">SUMPRODUCT(IF(((H105-$F$4:$F$515)/$B$10)&lt;=-1,0,IF(((H105-$F$4:$F$515)/$B$10)&gt;=1,1,(15/16)*(((H105-$F$4:$F$515)/$B$10)-(2/3)*((H105-$F$4:$F$515)/$B$10)^3+(1/5)*((H105-$F$4:$F$515)/$B$10)^5+8/15))))/COUNT($F$4:$F$515)</f>
        <v>1.0311208141848934E-5</v>
      </c>
      <c r="H105" s="1">
        <f t="shared" si="5"/>
        <v>-0.1940285503121669</v>
      </c>
      <c r="K105" s="2">
        <v>0.01</v>
      </c>
      <c r="L105" s="3">
        <f t="shared" si="3"/>
        <v>-3.8928550312169082E-2</v>
      </c>
    </row>
    <row r="106" spans="4:12" ht="14.4" customHeight="1">
      <c r="D106" s="7">
        <v>42156</v>
      </c>
      <c r="E106" s="8">
        <v>6.7789999999999999</v>
      </c>
      <c r="F106" s="8">
        <f t="shared" si="4"/>
        <v>-6.9092520356866952E-3</v>
      </c>
      <c r="G106" s="8" cm="1">
        <f t="array" ref="G106">SUMPRODUCT(IF(((H106-$F$4:$F$515)/$B$10)&lt;=-1,0,IF(((H106-$F$4:$F$515)/$B$10)&gt;=1,1,(15/16)*(((H106-$F$4:$F$515)/$B$10)-(2/3)*((H106-$F$4:$F$515)/$B$10)^3+(1/5)*((H106-$F$4:$F$515)/$B$10)^5+8/15))))/COUNT($F$4:$F$515)</f>
        <v>1.9121002315458462E-5</v>
      </c>
      <c r="H106" s="9">
        <f t="shared" si="5"/>
        <v>-0.1937285503121669</v>
      </c>
      <c r="K106" s="7">
        <v>0.01</v>
      </c>
      <c r="L106" s="8">
        <f t="shared" si="3"/>
        <v>-3.8928550312169082E-2</v>
      </c>
    </row>
    <row r="107" spans="4:12" ht="14.4" customHeight="1">
      <c r="D107" s="2">
        <v>42157</v>
      </c>
      <c r="E107" s="3">
        <v>6.7619999999999996</v>
      </c>
      <c r="F107" s="3">
        <f t="shared" si="4"/>
        <v>-2.5108941631343468E-3</v>
      </c>
      <c r="G107" s="3" cm="1">
        <f t="array" ref="G107">SUMPRODUCT(IF(((H107-$F$4:$F$515)/$B$10)&lt;=-1,0,IF(((H107-$F$4:$F$515)/$B$10)&gt;=1,1,(15/16)*(((H107-$F$4:$F$515)/$B$10)-(2/3)*((H107-$F$4:$F$515)/$B$10)^3+(1/5)*((H107-$F$4:$F$515)/$B$10)^5+8/15))))/COUNT($F$4:$F$515)</f>
        <v>3.1552717554182846E-5</v>
      </c>
      <c r="H107" s="1">
        <f t="shared" si="5"/>
        <v>-0.19342855031216691</v>
      </c>
      <c r="K107" s="2">
        <v>0.01</v>
      </c>
      <c r="L107" s="3">
        <f t="shared" si="3"/>
        <v>-3.8928550312169082E-2</v>
      </c>
    </row>
    <row r="108" spans="4:12" ht="14.4" customHeight="1">
      <c r="D108" s="7">
        <v>42158</v>
      </c>
      <c r="E108" s="8">
        <v>6.734</v>
      </c>
      <c r="F108" s="8">
        <f t="shared" si="4"/>
        <v>-4.1493835468114776E-3</v>
      </c>
      <c r="G108" s="8" cm="1">
        <f t="array" ref="G108">SUMPRODUCT(IF(((H108-$F$4:$F$515)/$B$10)&lt;=-1,0,IF(((H108-$F$4:$F$515)/$B$10)&gt;=1,1,(15/16)*(((H108-$F$4:$F$515)/$B$10)-(2/3)*((H108-$F$4:$F$515)/$B$10)^3+(1/5)*((H108-$F$4:$F$515)/$B$10)^5+8/15))))/COUNT($F$4:$F$515)</f>
        <v>4.7996045928406483E-5</v>
      </c>
      <c r="H108" s="9">
        <f t="shared" si="5"/>
        <v>-0.19312855031216691</v>
      </c>
      <c r="K108" s="7">
        <v>0.01</v>
      </c>
      <c r="L108" s="8">
        <f t="shared" si="3"/>
        <v>-3.8928550312169082E-2</v>
      </c>
    </row>
    <row r="109" spans="4:12" ht="14.4" customHeight="1">
      <c r="D109" s="2">
        <v>42159</v>
      </c>
      <c r="E109" s="3">
        <v>6.7229999999999999</v>
      </c>
      <c r="F109" s="3">
        <f t="shared" si="4"/>
        <v>-1.634837251983094E-3</v>
      </c>
      <c r="G109" s="3" cm="1">
        <f t="array" ref="G109">SUMPRODUCT(IF(((H109-$F$4:$F$515)/$B$10)&lt;=-1,0,IF(((H109-$F$4:$F$515)/$B$10)&gt;=1,1,(15/16)*(((H109-$F$4:$F$515)/$B$10)-(2/3)*((H109-$F$4:$F$515)/$B$10)^3+(1/5)*((H109-$F$4:$F$515)/$B$10)^5+8/15))))/COUNT($F$4:$F$515)</f>
        <v>6.87487830625098E-5</v>
      </c>
      <c r="H109" s="1">
        <f t="shared" si="5"/>
        <v>-0.19282855031216692</v>
      </c>
      <c r="K109" s="2">
        <v>0.01</v>
      </c>
      <c r="L109" s="3">
        <f t="shared" si="3"/>
        <v>-3.8928550312169082E-2</v>
      </c>
    </row>
    <row r="110" spans="4:12" ht="14.4" customHeight="1">
      <c r="D110" s="7">
        <v>42160</v>
      </c>
      <c r="E110" s="8">
        <v>6.6230000000000002</v>
      </c>
      <c r="F110" s="8">
        <f t="shared" si="4"/>
        <v>-1.4986043984057161E-2</v>
      </c>
      <c r="G110" s="8" cm="1">
        <f t="array" ref="G110">SUMPRODUCT(IF(((H110-$F$4:$F$515)/$B$10)&lt;=-1,0,IF(((H110-$F$4:$F$515)/$B$10)&gt;=1,1,(15/16)*(((H110-$F$4:$F$515)/$B$10)-(2/3)*((H110-$F$4:$F$515)/$B$10)^3+(1/5)*((H110-$F$4:$F$515)/$B$10)^5+8/15))))/COUNT($F$4:$F$515)</f>
        <v>9.4021839804896888E-5</v>
      </c>
      <c r="H110" s="9">
        <f t="shared" si="5"/>
        <v>-0.19252855031216692</v>
      </c>
      <c r="K110" s="7">
        <v>0.01</v>
      </c>
      <c r="L110" s="8">
        <f t="shared" si="3"/>
        <v>-3.8928550312169082E-2</v>
      </c>
    </row>
    <row r="111" spans="4:12" ht="14.4" customHeight="1">
      <c r="D111" s="2">
        <v>42163</v>
      </c>
      <c r="E111" s="3">
        <v>6.4829999999999997</v>
      </c>
      <c r="F111" s="3">
        <f t="shared" si="4"/>
        <v>-2.1365073309983867E-2</v>
      </c>
      <c r="G111" s="3" cm="1">
        <f t="array" ref="G111">SUMPRODUCT(IF(((H111-$F$4:$F$515)/$B$10)&lt;=-1,0,IF(((H111-$F$4:$F$515)/$B$10)&gt;=1,1,(15/16)*(((H111-$F$4:$F$515)/$B$10)-(2/3)*((H111-$F$4:$F$515)/$B$10)^3+(1/5)*((H111-$F$4:$F$515)/$B$10)^5+8/15))))/COUNT($F$4:$F$515)</f>
        <v>1.2394425389802125E-4</v>
      </c>
      <c r="H111" s="1">
        <f t="shared" si="5"/>
        <v>-0.19222855031216693</v>
      </c>
      <c r="K111" s="2">
        <v>0.01</v>
      </c>
      <c r="L111" s="3">
        <f t="shared" si="3"/>
        <v>-3.8928550312169082E-2</v>
      </c>
    </row>
    <row r="112" spans="4:12" ht="14.4" customHeight="1">
      <c r="D112" s="7">
        <v>42164</v>
      </c>
      <c r="E112" s="8">
        <v>6.492</v>
      </c>
      <c r="F112" s="8">
        <f t="shared" si="4"/>
        <v>1.3872834594863056E-3</v>
      </c>
      <c r="G112" s="8" cm="1">
        <f t="array" ref="G112">SUMPRODUCT(IF(((H112-$F$4:$F$515)/$B$10)&lt;=-1,0,IF(((H112-$F$4:$F$515)/$B$10)&gt;=1,1,(15/16)*(((H112-$F$4:$F$515)/$B$10)-(2/3)*((H112-$F$4:$F$515)/$B$10)^3+(1/5)*((H112-$F$4:$F$515)/$B$10)^5+8/15))))/COUNT($F$4:$F$515)</f>
        <v>1.5856820164841177E-4</v>
      </c>
      <c r="H112" s="9">
        <f t="shared" si="5"/>
        <v>-0.19192855031216693</v>
      </c>
      <c r="K112" s="7">
        <v>0.01</v>
      </c>
      <c r="L112" s="8">
        <f t="shared" si="3"/>
        <v>-3.8928550312169082E-2</v>
      </c>
    </row>
    <row r="113" spans="4:12" ht="14.4" customHeight="1">
      <c r="D113" s="2">
        <v>42165</v>
      </c>
      <c r="E113" s="3">
        <v>6.6079999999999997</v>
      </c>
      <c r="F113" s="3">
        <f t="shared" si="4"/>
        <v>1.7710386566332021E-2</v>
      </c>
      <c r="G113" s="3" cm="1">
        <f t="array" ref="G113">SUMPRODUCT(IF(((H113-$F$4:$F$515)/$B$10)&lt;=-1,0,IF(((H113-$F$4:$F$515)/$B$10)&gt;=1,1,(15/16)*(((H113-$F$4:$F$515)/$B$10)-(2/3)*((H113-$F$4:$F$515)/$B$10)^3+(1/5)*((H113-$F$4:$F$515)/$B$10)^5+8/15))))/COUNT($F$4:$F$515)</f>
        <v>1.9787400959669972E-4</v>
      </c>
      <c r="H113" s="1">
        <f t="shared" si="5"/>
        <v>-0.19162855031216694</v>
      </c>
      <c r="K113" s="2">
        <v>0.01</v>
      </c>
      <c r="L113" s="3">
        <f t="shared" si="3"/>
        <v>-3.8928550312169082E-2</v>
      </c>
    </row>
    <row r="114" spans="4:12" ht="14.4" customHeight="1">
      <c r="D114" s="7">
        <v>42166</v>
      </c>
      <c r="E114" s="8">
        <v>6.5830000000000002</v>
      </c>
      <c r="F114" s="8">
        <f t="shared" si="4"/>
        <v>-3.7904677329371776E-3</v>
      </c>
      <c r="G114" s="8" cm="1">
        <f t="array" ref="G114">SUMPRODUCT(IF(((H114-$F$4:$F$515)/$B$10)&lt;=-1,0,IF(((H114-$F$4:$F$515)/$B$10)&gt;=1,1,(15/16)*(((H114-$F$4:$F$515)/$B$10)-(2/3)*((H114-$F$4:$F$515)/$B$10)^3+(1/5)*((H114-$F$4:$F$515)/$B$10)^5+8/15))))/COUNT($F$4:$F$515)</f>
        <v>2.4177516618764498E-4</v>
      </c>
      <c r="H114" s="9">
        <f t="shared" si="5"/>
        <v>-0.19132855031216695</v>
      </c>
      <c r="K114" s="7">
        <v>0.01</v>
      </c>
      <c r="L114" s="8">
        <f t="shared" si="3"/>
        <v>-3.8928550312169082E-2</v>
      </c>
    </row>
    <row r="115" spans="4:12" ht="14.4" customHeight="1">
      <c r="D115" s="2">
        <v>42167</v>
      </c>
      <c r="E115" s="3">
        <v>6.4969999999999999</v>
      </c>
      <c r="F115" s="3">
        <f t="shared" si="4"/>
        <v>-1.3150036587345752E-2</v>
      </c>
      <c r="G115" s="3" cm="1">
        <f t="array" ref="G115">SUMPRODUCT(IF(((H115-$F$4:$F$515)/$B$10)&lt;=-1,0,IF(((H115-$F$4:$F$515)/$B$10)&gt;=1,1,(15/16)*(((H115-$F$4:$F$515)/$B$10)-(2/3)*((H115-$F$4:$F$515)/$B$10)^3+(1/5)*((H115-$F$4:$F$515)/$B$10)^5+8/15))))/COUNT($F$4:$F$515)</f>
        <v>2.9012333344016202E-4</v>
      </c>
      <c r="H115" s="1">
        <f t="shared" si="5"/>
        <v>-0.19102855031216695</v>
      </c>
      <c r="K115" s="2">
        <v>0.01</v>
      </c>
      <c r="L115" s="3">
        <f t="shared" si="3"/>
        <v>-3.8928550312169082E-2</v>
      </c>
    </row>
    <row r="116" spans="4:12" ht="14.4" customHeight="1">
      <c r="D116" s="7">
        <v>42170</v>
      </c>
      <c r="E116" s="8">
        <v>6.335</v>
      </c>
      <c r="F116" s="8">
        <f t="shared" si="4"/>
        <v>-2.5250718125291512E-2</v>
      </c>
      <c r="G116" s="8" cm="1">
        <f t="array" ref="G116">SUMPRODUCT(IF(((H116-$F$4:$F$515)/$B$10)&lt;=-1,0,IF(((H116-$F$4:$F$515)/$B$10)&gt;=1,1,(15/16)*(((H116-$F$4:$F$515)/$B$10)-(2/3)*((H116-$F$4:$F$515)/$B$10)^3+(1/5)*((H116-$F$4:$F$515)/$B$10)^5+8/15))))/COUNT($F$4:$F$515)</f>
        <v>3.4271335861734694E-4</v>
      </c>
      <c r="H116" s="9">
        <f t="shared" si="5"/>
        <v>-0.19072855031216696</v>
      </c>
      <c r="K116" s="7">
        <v>0.01</v>
      </c>
      <c r="L116" s="8">
        <f t="shared" si="3"/>
        <v>-3.8928550312169082E-2</v>
      </c>
    </row>
    <row r="117" spans="4:12" ht="14.4" customHeight="1">
      <c r="D117" s="2">
        <v>42171</v>
      </c>
      <c r="E117" s="3">
        <v>6.423</v>
      </c>
      <c r="F117" s="3">
        <f t="shared" si="4"/>
        <v>1.3795484502553051E-2</v>
      </c>
      <c r="G117" s="3" cm="1">
        <f t="array" ref="G117">SUMPRODUCT(IF(((H117-$F$4:$F$515)/$B$10)&lt;=-1,0,IF(((H117-$F$4:$F$515)/$B$10)&gt;=1,1,(15/16)*(((H117-$F$4:$F$515)/$B$10)-(2/3)*((H117-$F$4:$F$515)/$B$10)^3+(1/5)*((H117-$F$4:$F$515)/$B$10)^5+8/15))))/COUNT($F$4:$F$515)</f>
        <v>3.9928828589650268E-4</v>
      </c>
      <c r="H117" s="1">
        <f t="shared" si="5"/>
        <v>-0.19042855031216696</v>
      </c>
      <c r="K117" s="2">
        <v>0.01</v>
      </c>
      <c r="L117" s="3">
        <f t="shared" si="3"/>
        <v>-3.8928550312169082E-2</v>
      </c>
    </row>
    <row r="118" spans="4:12" ht="14.4" customHeight="1">
      <c r="D118" s="7">
        <v>42172</v>
      </c>
      <c r="E118" s="8">
        <v>6.3049999999999997</v>
      </c>
      <c r="F118" s="8">
        <f t="shared" si="4"/>
        <v>-1.8542328858772581E-2</v>
      </c>
      <c r="G118" s="8" cm="1">
        <f t="array" ref="G118">SUMPRODUCT(IF(((H118-$F$4:$F$515)/$B$10)&lt;=-1,0,IF(((H118-$F$4:$F$515)/$B$10)&gt;=1,1,(15/16)*(((H118-$F$4:$F$515)/$B$10)-(2/3)*((H118-$F$4:$F$515)/$B$10)^3+(1/5)*((H118-$F$4:$F$515)/$B$10)^5+8/15))))/COUNT($F$4:$F$515)</f>
        <v>4.5954436803916668E-4</v>
      </c>
      <c r="H118" s="9">
        <f t="shared" si="5"/>
        <v>-0.19012855031216697</v>
      </c>
      <c r="K118" s="7">
        <v>0.01</v>
      </c>
      <c r="L118" s="8">
        <f t="shared" si="3"/>
        <v>-3.8928550312169082E-2</v>
      </c>
    </row>
    <row r="119" spans="4:12" ht="14.4" customHeight="1">
      <c r="D119" s="2">
        <v>42173</v>
      </c>
      <c r="E119" s="3">
        <v>6.3179999999999996</v>
      </c>
      <c r="F119" s="3">
        <f t="shared" si="4"/>
        <v>2.0597329630105622E-3</v>
      </c>
      <c r="G119" s="3" cm="1">
        <f t="array" ref="G119">SUMPRODUCT(IF(((H119-$F$4:$F$515)/$B$10)&lt;=-1,0,IF(((H119-$F$4:$F$515)/$B$10)&gt;=1,1,(15/16)*(((H119-$F$4:$F$515)/$B$10)-(2/3)*((H119-$F$4:$F$515)/$B$10)^3+(1/5)*((H119-$F$4:$F$515)/$B$10)^5+8/15))))/COUNT($F$4:$F$515)</f>
        <v>5.2313607806113655E-4</v>
      </c>
      <c r="H119" s="1">
        <f t="shared" si="5"/>
        <v>-0.18982855031216697</v>
      </c>
      <c r="K119" s="2">
        <v>0.01</v>
      </c>
      <c r="L119" s="3">
        <f t="shared" si="3"/>
        <v>-3.8928550312169082E-2</v>
      </c>
    </row>
    <row r="120" spans="4:12" ht="14.4" customHeight="1">
      <c r="D120" s="7">
        <v>42174</v>
      </c>
      <c r="E120" s="8">
        <v>6.4370000000000003</v>
      </c>
      <c r="F120" s="8">
        <f t="shared" si="4"/>
        <v>1.8659890690585445E-2</v>
      </c>
      <c r="G120" s="8" cm="1">
        <f t="array" ref="G120">SUMPRODUCT(IF(((H120-$F$4:$F$515)/$B$10)&lt;=-1,0,IF(((H120-$F$4:$F$515)/$B$10)&gt;=1,1,(15/16)*(((H120-$F$4:$F$515)/$B$10)-(2/3)*((H120-$F$4:$F$515)/$B$10)^3+(1/5)*((H120-$F$4:$F$515)/$B$10)^5+8/15))))/COUNT($F$4:$F$515)</f>
        <v>5.8968112090249667E-4</v>
      </c>
      <c r="H120" s="9">
        <f t="shared" si="5"/>
        <v>-0.18952855031216698</v>
      </c>
      <c r="K120" s="7">
        <v>0.01</v>
      </c>
      <c r="L120" s="8">
        <f t="shared" si="3"/>
        <v>-3.8928550312169082E-2</v>
      </c>
    </row>
    <row r="121" spans="4:12" ht="14.4" customHeight="1">
      <c r="D121" s="2">
        <v>42177</v>
      </c>
      <c r="E121" s="3">
        <v>6.7220000000000004</v>
      </c>
      <c r="F121" s="3">
        <f t="shared" si="4"/>
        <v>4.3323136232435201E-2</v>
      </c>
      <c r="G121" s="3" cm="1">
        <f t="array" ref="G121">SUMPRODUCT(IF(((H121-$F$4:$F$515)/$B$10)&lt;=-1,0,IF(((H121-$F$4:$F$515)/$B$10)&gt;=1,1,(15/16)*(((H121-$F$4:$F$515)/$B$10)-(2/3)*((H121-$F$4:$F$515)/$B$10)^3+(1/5)*((H121-$F$4:$F$515)/$B$10)^5+8/15))))/COUNT($F$4:$F$515)</f>
        <v>6.5876544509764392E-4</v>
      </c>
      <c r="H121" s="1">
        <f t="shared" si="5"/>
        <v>-0.18922855031216698</v>
      </c>
      <c r="K121" s="2">
        <v>0.01</v>
      </c>
      <c r="L121" s="3">
        <f t="shared" si="3"/>
        <v>-3.8928550312169082E-2</v>
      </c>
    </row>
    <row r="122" spans="4:12" ht="14.4" customHeight="1">
      <c r="D122" s="7">
        <v>42178</v>
      </c>
      <c r="E122" s="8">
        <v>6.7910000000000004</v>
      </c>
      <c r="F122" s="8">
        <f t="shared" si="4"/>
        <v>1.0212476828740437E-2</v>
      </c>
      <c r="G122" s="8" cm="1">
        <f t="array" ref="G122">SUMPRODUCT(IF(((H122-$F$4:$F$515)/$B$10)&lt;=-1,0,IF(((H122-$F$4:$F$515)/$B$10)&gt;=1,1,(15/16)*(((H122-$F$4:$F$515)/$B$10)-(2/3)*((H122-$F$4:$F$515)/$B$10)^3+(1/5)*((H122-$F$4:$F$515)/$B$10)^5+8/15))))/COUNT($F$4:$F$515)</f>
        <v>7.2994825444531498E-4</v>
      </c>
      <c r="H122" s="9">
        <f t="shared" si="5"/>
        <v>-0.18892855031216699</v>
      </c>
      <c r="K122" s="7">
        <v>0.01</v>
      </c>
      <c r="L122" s="8">
        <f t="shared" si="3"/>
        <v>-3.8928550312169082E-2</v>
      </c>
    </row>
    <row r="123" spans="4:12" ht="14.4" customHeight="1">
      <c r="D123" s="2">
        <v>42179</v>
      </c>
      <c r="E123" s="3">
        <v>6.7439999999999998</v>
      </c>
      <c r="F123" s="3">
        <f t="shared" si="4"/>
        <v>-6.9449854321001498E-3</v>
      </c>
      <c r="G123" s="3" cm="1">
        <f t="array" ref="G123">SUMPRODUCT(IF(((H123-$F$4:$F$515)/$B$10)&lt;=-1,0,IF(((H123-$F$4:$F$515)/$B$10)&gt;=1,1,(15/16)*(((H123-$F$4:$F$515)/$B$10)-(2/3)*((H123-$F$4:$F$515)/$B$10)^3+(1/5)*((H123-$F$4:$F$515)/$B$10)^5+8/15))))/COUNT($F$4:$F$515)</f>
        <v>8.0276701967861206E-4</v>
      </c>
      <c r="H123" s="1">
        <f t="shared" si="5"/>
        <v>-0.18862855031216699</v>
      </c>
      <c r="K123" s="2">
        <v>0.01</v>
      </c>
      <c r="L123" s="3">
        <f t="shared" si="3"/>
        <v>-3.8928550312169082E-2</v>
      </c>
    </row>
    <row r="124" spans="4:12" ht="14.4" customHeight="1">
      <c r="D124" s="7">
        <v>42180</v>
      </c>
      <c r="E124" s="8">
        <v>6.7679999999999998</v>
      </c>
      <c r="F124" s="8">
        <f t="shared" si="4"/>
        <v>3.5524016043679218E-3</v>
      </c>
      <c r="G124" s="8" cm="1">
        <f t="array" ref="G124">SUMPRODUCT(IF(((H124-$F$4:$F$515)/$B$10)&lt;=-1,0,IF(((H124-$F$4:$F$515)/$B$10)&gt;=1,1,(15/16)*(((H124-$F$4:$F$515)/$B$10)-(2/3)*((H124-$F$4:$F$515)/$B$10)^3+(1/5)*((H124-$F$4:$F$515)/$B$10)^5+8/15))))/COUNT($F$4:$F$515)</f>
        <v>8.7674249013502948E-4</v>
      </c>
      <c r="H124" s="9">
        <f t="shared" si="5"/>
        <v>-0.188328550312167</v>
      </c>
      <c r="K124" s="7">
        <v>0.01</v>
      </c>
      <c r="L124" s="8">
        <f t="shared" si="3"/>
        <v>-3.8928550312169082E-2</v>
      </c>
    </row>
    <row r="125" spans="4:12" ht="14.4" customHeight="1">
      <c r="D125" s="2">
        <v>42181</v>
      </c>
      <c r="E125" s="3">
        <v>6.7969999999999997</v>
      </c>
      <c r="F125" s="3">
        <f t="shared" si="4"/>
        <v>4.2757160605790224E-3</v>
      </c>
      <c r="G125" s="3" cm="1">
        <f t="array" ref="G125">SUMPRODUCT(IF(((H125-$F$4:$F$515)/$B$10)&lt;=-1,0,IF(((H125-$F$4:$F$515)/$B$10)&gt;=1,1,(15/16)*(((H125-$F$4:$F$515)/$B$10)-(2/3)*((H125-$F$4:$F$515)/$B$10)^3+(1/5)*((H125-$F$4:$F$515)/$B$10)^5+8/15))))/COUNT($F$4:$F$515)</f>
        <v>9.5138370542647969E-4</v>
      </c>
      <c r="H125" s="1">
        <f t="shared" si="5"/>
        <v>-0.188028550312167</v>
      </c>
      <c r="K125" s="2">
        <v>0.01</v>
      </c>
      <c r="L125" s="3">
        <f t="shared" si="3"/>
        <v>-3.8928550312169082E-2</v>
      </c>
    </row>
    <row r="126" spans="4:12" ht="14.4" customHeight="1">
      <c r="D126" s="7">
        <v>42184</v>
      </c>
      <c r="E126" s="8">
        <v>6.4690000000000003</v>
      </c>
      <c r="F126" s="8">
        <f t="shared" si="4"/>
        <v>-4.9459801302652678E-2</v>
      </c>
      <c r="G126" s="8" cm="1">
        <f t="array" ref="G126">SUMPRODUCT(IF(((H126-$F$4:$F$515)/$B$10)&lt;=-1,0,IF(((H126-$F$4:$F$515)/$B$10)&gt;=1,1,(15/16)*(((H126-$F$4:$F$515)/$B$10)-(2/3)*((H126-$F$4:$F$515)/$B$10)^3+(1/5)*((H126-$F$4:$F$515)/$B$10)^5+8/15))))/COUNT($F$4:$F$515)</f>
        <v>1.0261930071093206E-3</v>
      </c>
      <c r="H126" s="9">
        <f t="shared" si="5"/>
        <v>-0.18772855031216701</v>
      </c>
      <c r="K126" s="7">
        <v>0.01</v>
      </c>
      <c r="L126" s="8">
        <f t="shared" si="3"/>
        <v>-3.8928550312169082E-2</v>
      </c>
    </row>
    <row r="127" spans="4:12" ht="14.4" customHeight="1">
      <c r="D127" s="2">
        <v>42185</v>
      </c>
      <c r="E127" s="3">
        <v>6.4550000000000001</v>
      </c>
      <c r="F127" s="3">
        <f t="shared" si="4"/>
        <v>-2.1665127632426086E-3</v>
      </c>
      <c r="G127" s="3" cm="1">
        <f t="array" ref="G127">SUMPRODUCT(IF(((H127-$F$4:$F$515)/$B$10)&lt;=-1,0,IF(((H127-$F$4:$F$515)/$B$10)&gt;=1,1,(15/16)*(((H127-$F$4:$F$515)/$B$10)-(2/3)*((H127-$F$4:$F$515)/$B$10)^3+(1/5)*((H127-$F$4:$F$515)/$B$10)^5+8/15))))/COUNT($F$4:$F$515)</f>
        <v>1.1006710503543807E-3</v>
      </c>
      <c r="H127" s="1">
        <f t="shared" si="5"/>
        <v>-0.18742855031216701</v>
      </c>
      <c r="K127" s="2">
        <v>0.01</v>
      </c>
      <c r="L127" s="3">
        <f t="shared" si="3"/>
        <v>-3.8928550312169082E-2</v>
      </c>
    </row>
    <row r="128" spans="4:12" ht="14.4" customHeight="1">
      <c r="D128" s="7">
        <v>42186</v>
      </c>
      <c r="E128" s="8">
        <v>6.5510000000000002</v>
      </c>
      <c r="F128" s="8">
        <f t="shared" si="4"/>
        <v>1.4762685451133449E-2</v>
      </c>
      <c r="G128" s="8" cm="1">
        <f t="array" ref="G128">SUMPRODUCT(IF(((H128-$F$4:$F$515)/$B$10)&lt;=-1,0,IF(((H128-$F$4:$F$515)/$B$10)&gt;=1,1,(15/16)*(((H128-$F$4:$F$515)/$B$10)-(2/3)*((H128-$F$4:$F$515)/$B$10)^3+(1/5)*((H128-$F$4:$F$515)/$B$10)^5+8/15))))/COUNT($F$4:$F$515)</f>
        <v>1.1743218156169859E-3</v>
      </c>
      <c r="H128" s="9">
        <f t="shared" si="5"/>
        <v>-0.18712855031216702</v>
      </c>
      <c r="K128" s="7">
        <v>0.01</v>
      </c>
      <c r="L128" s="8">
        <f t="shared" si="3"/>
        <v>-3.8928550312169082E-2</v>
      </c>
    </row>
    <row r="129" spans="4:12" ht="14.4" customHeight="1">
      <c r="D129" s="2">
        <v>42187</v>
      </c>
      <c r="E129" s="3">
        <v>6.44</v>
      </c>
      <c r="F129" s="3">
        <f t="shared" si="4"/>
        <v>-1.7089169633477071E-2</v>
      </c>
      <c r="G129" s="3" cm="1">
        <f t="array" ref="G129">SUMPRODUCT(IF(((H129-$F$4:$F$515)/$B$10)&lt;=-1,0,IF(((H129-$F$4:$F$515)/$B$10)&gt;=1,1,(15/16)*(((H129-$F$4:$F$515)/$B$10)-(2/3)*((H129-$F$4:$F$515)/$B$10)^3+(1/5)*((H129-$F$4:$F$515)/$B$10)^5+8/15))))/COUNT($F$4:$F$515)</f>
        <v>1.2466576203069863E-3</v>
      </c>
      <c r="H129" s="1">
        <f t="shared" si="5"/>
        <v>-0.18682855031216702</v>
      </c>
      <c r="K129" s="2">
        <v>0.01</v>
      </c>
      <c r="L129" s="3">
        <f t="shared" si="3"/>
        <v>-3.8928550312169082E-2</v>
      </c>
    </row>
    <row r="130" spans="4:12" ht="14.4" customHeight="1">
      <c r="D130" s="7">
        <v>42188</v>
      </c>
      <c r="E130" s="8">
        <v>6.3810000000000002</v>
      </c>
      <c r="F130" s="8">
        <f t="shared" si="4"/>
        <v>-9.2037152300524037E-3</v>
      </c>
      <c r="G130" s="8" cm="1">
        <f t="array" ref="G130">SUMPRODUCT(IF(((H130-$F$4:$F$515)/$B$10)&lt;=-1,0,IF(((H130-$F$4:$F$515)/$B$10)&gt;=1,1,(15/16)*(((H130-$F$4:$F$515)/$B$10)-(2/3)*((H130-$F$4:$F$515)/$B$10)^3+(1/5)*((H130-$F$4:$F$515)/$B$10)^5+8/15))))/COUNT($F$4:$F$515)</f>
        <v>1.317204130458782E-3</v>
      </c>
      <c r="H130" s="9">
        <f t="shared" si="5"/>
        <v>-0.18652855031216703</v>
      </c>
      <c r="K130" s="7">
        <v>0.01</v>
      </c>
      <c r="L130" s="8">
        <f t="shared" si="3"/>
        <v>-3.8928550312169082E-2</v>
      </c>
    </row>
    <row r="131" spans="4:12" ht="14.4" customHeight="1">
      <c r="D131" s="2">
        <v>42191</v>
      </c>
      <c r="E131" s="3">
        <v>6.1319999999999997</v>
      </c>
      <c r="F131" s="3">
        <f t="shared" si="4"/>
        <v>-3.9803863876642191E-2</v>
      </c>
      <c r="G131" s="3" cm="1">
        <f t="array" ref="G131">SUMPRODUCT(IF(((H131-$F$4:$F$515)/$B$10)&lt;=-1,0,IF(((H131-$F$4:$F$515)/$B$10)&gt;=1,1,(15/16)*(((H131-$F$4:$F$515)/$B$10)-(2/3)*((H131-$F$4:$F$515)/$B$10)^3+(1/5)*((H131-$F$4:$F$515)/$B$10)^5+8/15))))/COUNT($F$4:$F$515)</f>
        <v>1.3855053724013495E-3</v>
      </c>
      <c r="H131" s="1">
        <f t="shared" si="5"/>
        <v>-0.18622855031216703</v>
      </c>
      <c r="K131" s="2">
        <v>0.01</v>
      </c>
      <c r="L131" s="3">
        <f t="shared" si="3"/>
        <v>-3.8928550312169082E-2</v>
      </c>
    </row>
    <row r="132" spans="4:12" ht="14.4" customHeight="1">
      <c r="D132" s="7">
        <v>42192</v>
      </c>
      <c r="E132" s="8">
        <v>6.1210000000000004</v>
      </c>
      <c r="F132" s="8">
        <f t="shared" si="4"/>
        <v>-1.795479140634779E-3</v>
      </c>
      <c r="G132" s="8" cm="1">
        <f t="array" ref="G132">SUMPRODUCT(IF(((H132-$F$4:$F$515)/$B$10)&lt;=-1,0,IF(((H132-$F$4:$F$515)/$B$10)&gt;=1,1,(15/16)*(((H132-$F$4:$F$515)/$B$10)-(2/3)*((H132-$F$4:$F$515)/$B$10)^3+(1/5)*((H132-$F$4:$F$515)/$B$10)^5+8/15))))/COUNT($F$4:$F$515)</f>
        <v>1.4511287444282689E-3</v>
      </c>
      <c r="H132" s="9">
        <f t="shared" si="5"/>
        <v>-0.18592855031216704</v>
      </c>
      <c r="K132" s="7">
        <v>0.01</v>
      </c>
      <c r="L132" s="8">
        <f t="shared" ref="L132:L195" si="6">$B$7</f>
        <v>-3.8928550312169082E-2</v>
      </c>
    </row>
    <row r="133" spans="4:12" ht="14.4" customHeight="1">
      <c r="D133" s="2">
        <v>42193</v>
      </c>
      <c r="E133" s="3">
        <v>6.1710000000000003</v>
      </c>
      <c r="F133" s="3">
        <f t="shared" ref="F133:F196" si="7">LN(E133/E132)</f>
        <v>8.1354174699969327E-3</v>
      </c>
      <c r="G133" s="3" cm="1">
        <f t="array" ref="G133">SUMPRODUCT(IF(((H133-$F$4:$F$515)/$B$10)&lt;=-1,0,IF(((H133-$F$4:$F$515)/$B$10)&gt;=1,1,(15/16)*(((H133-$F$4:$F$515)/$B$10)-(2/3)*((H133-$F$4:$F$515)/$B$10)^3+(1/5)*((H133-$F$4:$F$515)/$B$10)^5+8/15))))/COUNT($F$4:$F$515)</f>
        <v>1.5136700284677487E-3</v>
      </c>
      <c r="H133" s="1">
        <f t="shared" ref="H133:H196" si="8">H132+0.0003</f>
        <v>-0.18562855031216705</v>
      </c>
      <c r="K133" s="2">
        <v>0.01</v>
      </c>
      <c r="L133" s="3">
        <f t="shared" si="6"/>
        <v>-3.8928550312169082E-2</v>
      </c>
    </row>
    <row r="134" spans="4:12" ht="14.4" customHeight="1">
      <c r="D134" s="7">
        <v>42194</v>
      </c>
      <c r="E134" s="8">
        <v>6.476</v>
      </c>
      <c r="F134" s="8">
        <f t="shared" si="7"/>
        <v>4.8242136476458912E-2</v>
      </c>
      <c r="G134" s="8" cm="1">
        <f t="array" ref="G134">SUMPRODUCT(IF(((H134-$F$4:$F$515)/$B$10)&lt;=-1,0,IF(((H134-$F$4:$F$515)/$B$10)&gt;=1,1,(15/16)*(((H134-$F$4:$F$515)/$B$10)-(2/3)*((H134-$F$4:$F$515)/$B$10)^3+(1/5)*((H134-$F$4:$F$515)/$B$10)^5+8/15))))/COUNT($F$4:$F$515)</f>
        <v>1.5727584017526533E-3</v>
      </c>
      <c r="H134" s="9">
        <f t="shared" si="8"/>
        <v>-0.18532855031216705</v>
      </c>
      <c r="K134" s="7">
        <v>0.01</v>
      </c>
      <c r="L134" s="8">
        <f t="shared" si="6"/>
        <v>-3.8928550312169082E-2</v>
      </c>
    </row>
    <row r="135" spans="4:12" ht="14.4" customHeight="1">
      <c r="D135" s="2">
        <v>42195</v>
      </c>
      <c r="E135" s="3">
        <v>6.7160000000000002</v>
      </c>
      <c r="F135" s="3">
        <f t="shared" si="7"/>
        <v>3.6389703399905798E-2</v>
      </c>
      <c r="G135" s="3" cm="1">
        <f t="array" ref="G135">SUMPRODUCT(IF(((H135-$F$4:$F$515)/$B$10)&lt;=-1,0,IF(((H135-$F$4:$F$515)/$B$10)&gt;=1,1,(15/16)*(((H135-$F$4:$F$515)/$B$10)-(2/3)*((H135-$F$4:$F$515)/$B$10)^3+(1/5)*((H135-$F$4:$F$515)/$B$10)^5+8/15))))/COUNT($F$4:$F$515)</f>
        <v>1.6280614484905297E-3</v>
      </c>
      <c r="H135" s="1">
        <f t="shared" si="8"/>
        <v>-0.18502855031216706</v>
      </c>
      <c r="K135" s="2">
        <v>0.01</v>
      </c>
      <c r="L135" s="3">
        <f t="shared" si="6"/>
        <v>-3.8928550312169082E-2</v>
      </c>
    </row>
    <row r="136" spans="4:12" ht="14.4" customHeight="1">
      <c r="D136" s="7">
        <v>42198</v>
      </c>
      <c r="E136" s="8">
        <v>6.9</v>
      </c>
      <c r="F136" s="8">
        <f t="shared" si="7"/>
        <v>2.7028672387919419E-2</v>
      </c>
      <c r="G136" s="8" cm="1">
        <f t="array" ref="G136">SUMPRODUCT(IF(((H136-$F$4:$F$515)/$B$10)&lt;=-1,0,IF(((H136-$F$4:$F$515)/$B$10)&gt;=1,1,(15/16)*(((H136-$F$4:$F$515)/$B$10)-(2/3)*((H136-$F$4:$F$515)/$B$10)^3+(1/5)*((H136-$F$4:$F$515)/$B$10)^5+8/15))))/COUNT($F$4:$F$515)</f>
        <v>1.6792901715336325E-3</v>
      </c>
      <c r="H136" s="9">
        <f t="shared" si="8"/>
        <v>-0.18472855031216706</v>
      </c>
      <c r="K136" s="7">
        <v>0.01</v>
      </c>
      <c r="L136" s="8">
        <f t="shared" si="6"/>
        <v>-3.8928550312169082E-2</v>
      </c>
    </row>
    <row r="137" spans="4:12" ht="14.4" customHeight="1">
      <c r="D137" s="2">
        <v>42199</v>
      </c>
      <c r="E137" s="3">
        <v>6.9089999999999998</v>
      </c>
      <c r="F137" s="3">
        <f t="shared" si="7"/>
        <v>1.3034979034439755E-3</v>
      </c>
      <c r="G137" s="3" cm="1">
        <f t="array" ref="G137">SUMPRODUCT(IF(((H137-$F$4:$F$515)/$B$10)&lt;=-1,0,IF(((H137-$F$4:$F$515)/$B$10)&gt;=1,1,(15/16)*(((H137-$F$4:$F$515)/$B$10)-(2/3)*((H137-$F$4:$F$515)/$B$10)^3+(1/5)*((H137-$F$4:$F$515)/$B$10)^5+8/15))))/COUNT($F$4:$F$515)</f>
        <v>1.7262040040489509E-3</v>
      </c>
      <c r="H137" s="1">
        <f t="shared" si="8"/>
        <v>-0.18442855031216707</v>
      </c>
      <c r="K137" s="2">
        <v>0.01</v>
      </c>
      <c r="L137" s="3">
        <f t="shared" si="6"/>
        <v>-3.8928550312169082E-2</v>
      </c>
    </row>
    <row r="138" spans="4:12" ht="14.4" customHeight="1">
      <c r="D138" s="7">
        <v>42200</v>
      </c>
      <c r="E138" s="8">
        <v>6.9889999999999999</v>
      </c>
      <c r="F138" s="8">
        <f t="shared" si="7"/>
        <v>1.151257498833424E-2</v>
      </c>
      <c r="G138" s="8" cm="1">
        <f t="array" ref="G138">SUMPRODUCT(IF(((H138-$F$4:$F$515)/$B$10)&lt;=-1,0,IF(((H138-$F$4:$F$515)/$B$10)&gt;=1,1,(15/16)*(((H138-$F$4:$F$515)/$B$10)-(2/3)*((H138-$F$4:$F$515)/$B$10)^3+(1/5)*((H138-$F$4:$F$515)/$B$10)^5+8/15))))/COUNT($F$4:$F$515)</f>
        <v>1.7686158211882362E-3</v>
      </c>
      <c r="H138" s="9">
        <f t="shared" si="8"/>
        <v>-0.18412855031216707</v>
      </c>
      <c r="K138" s="7">
        <v>0.01</v>
      </c>
      <c r="L138" s="8">
        <f t="shared" si="6"/>
        <v>-3.8928550312169082E-2</v>
      </c>
    </row>
    <row r="139" spans="4:12" ht="14.4" customHeight="1">
      <c r="D139" s="2">
        <v>42201</v>
      </c>
      <c r="E139" s="3">
        <v>7.03</v>
      </c>
      <c r="F139" s="3">
        <f t="shared" si="7"/>
        <v>5.8492213275816518E-3</v>
      </c>
      <c r="G139" s="3" cm="1">
        <f t="array" ref="G139">SUMPRODUCT(IF(((H139-$F$4:$F$515)/$B$10)&lt;=-1,0,IF(((H139-$F$4:$F$515)/$B$10)&gt;=1,1,(15/16)*(((H139-$F$4:$F$515)/$B$10)-(2/3)*((H139-$F$4:$F$515)/$B$10)^3+(1/5)*((H139-$F$4:$F$515)/$B$10)^5+8/15))))/COUNT($F$4:$F$515)</f>
        <v>1.8063969517580257E-3</v>
      </c>
      <c r="H139" s="1">
        <f t="shared" si="8"/>
        <v>-0.18382855031216708</v>
      </c>
      <c r="K139" s="2">
        <v>0.01</v>
      </c>
      <c r="L139" s="3">
        <f t="shared" si="6"/>
        <v>-3.8928550312169082E-2</v>
      </c>
    </row>
    <row r="140" spans="4:12" ht="14.4" customHeight="1">
      <c r="D140" s="7">
        <v>42202</v>
      </c>
      <c r="E140" s="8">
        <v>7.0469999999999997</v>
      </c>
      <c r="F140" s="8">
        <f t="shared" si="7"/>
        <v>2.4152885223117895E-3</v>
      </c>
      <c r="G140" s="8" cm="1">
        <f t="array" ref="G140">SUMPRODUCT(IF(((H140-$F$4:$F$515)/$B$10)&lt;=-1,0,IF(((H140-$F$4:$F$515)/$B$10)&gt;=1,1,(15/16)*(((H140-$F$4:$F$515)/$B$10)-(2/3)*((H140-$F$4:$F$515)/$B$10)^3+(1/5)*((H140-$F$4:$F$515)/$B$10)^5+8/15))))/COUNT($F$4:$F$515)</f>
        <v>1.8394821898896712E-3</v>
      </c>
      <c r="H140" s="9">
        <f t="shared" si="8"/>
        <v>-0.18352855031216708</v>
      </c>
      <c r="K140" s="7">
        <v>0.01</v>
      </c>
      <c r="L140" s="8">
        <f t="shared" si="6"/>
        <v>-3.8928550312169082E-2</v>
      </c>
    </row>
    <row r="141" spans="4:12" ht="14.4" customHeight="1">
      <c r="D141" s="2">
        <v>42205</v>
      </c>
      <c r="E141" s="3">
        <v>7.141</v>
      </c>
      <c r="F141" s="3">
        <f t="shared" si="7"/>
        <v>1.3250828222087663E-2</v>
      </c>
      <c r="G141" s="3" cm="1">
        <f t="array" ref="G141">SUMPRODUCT(IF(((H141-$F$4:$F$515)/$B$10)&lt;=-1,0,IF(((H141-$F$4:$F$515)/$B$10)&gt;=1,1,(15/16)*(((H141-$F$4:$F$515)/$B$10)-(2/3)*((H141-$F$4:$F$515)/$B$10)^3+(1/5)*((H141-$F$4:$F$515)/$B$10)^5+8/15))))/COUNT($F$4:$F$515)</f>
        <v>1.8678748067093652E-3</v>
      </c>
      <c r="H141" s="1">
        <f t="shared" si="8"/>
        <v>-0.18322855031216709</v>
      </c>
      <c r="K141" s="2">
        <v>0.01</v>
      </c>
      <c r="L141" s="3">
        <f t="shared" si="6"/>
        <v>-3.8928550312169082E-2</v>
      </c>
    </row>
    <row r="142" spans="4:12" ht="14.4" customHeight="1">
      <c r="D142" s="7">
        <v>42206</v>
      </c>
      <c r="E142" s="8">
        <v>7.0810000000000004</v>
      </c>
      <c r="F142" s="8">
        <f t="shared" si="7"/>
        <v>-8.4376818973359476E-3</v>
      </c>
      <c r="G142" s="8" cm="1">
        <f t="array" ref="G142">SUMPRODUCT(IF(((H142-$F$4:$F$515)/$B$10)&lt;=-1,0,IF(((H142-$F$4:$F$515)/$B$10)&gt;=1,1,(15/16)*(((H142-$F$4:$F$515)/$B$10)-(2/3)*((H142-$F$4:$F$515)/$B$10)^3+(1/5)*((H142-$F$4:$F$515)/$B$10)^5+8/15))))/COUNT($F$4:$F$515)</f>
        <v>1.8916515620081655E-3</v>
      </c>
      <c r="H142" s="9">
        <f t="shared" si="8"/>
        <v>-0.18292855031216709</v>
      </c>
      <c r="K142" s="7">
        <v>0.01</v>
      </c>
      <c r="L142" s="8">
        <f t="shared" si="6"/>
        <v>-3.8928550312169082E-2</v>
      </c>
    </row>
    <row r="143" spans="4:12" ht="14.4" customHeight="1">
      <c r="D143" s="2">
        <v>42207</v>
      </c>
      <c r="E143" s="3">
        <v>7.0759999999999996</v>
      </c>
      <c r="F143" s="3">
        <f t="shared" si="7"/>
        <v>-7.0636437209816805E-4</v>
      </c>
      <c r="G143" s="3" cm="1">
        <f t="array" ref="G143">SUMPRODUCT(IF(((H143-$F$4:$F$515)/$B$10)&lt;=-1,0,IF(((H143-$F$4:$F$515)/$B$10)&gt;=1,1,(15/16)*(((H143-$F$4:$F$515)/$B$10)-(2/3)*((H143-$F$4:$F$515)/$B$10)^3+(1/5)*((H143-$F$4:$F$515)/$B$10)^5+8/15))))/COUNT($F$4:$F$515)</f>
        <v>1.9109677159120239E-3</v>
      </c>
      <c r="H143" s="1">
        <f t="shared" si="8"/>
        <v>-0.1826285503121671</v>
      </c>
      <c r="K143" s="2">
        <v>0.01</v>
      </c>
      <c r="L143" s="3">
        <f t="shared" si="6"/>
        <v>-3.8928550312169082E-2</v>
      </c>
    </row>
    <row r="144" spans="4:12" ht="14.4" customHeight="1">
      <c r="D144" s="7">
        <v>42208</v>
      </c>
      <c r="E144" s="8">
        <v>7.0529999999999999</v>
      </c>
      <c r="F144" s="8">
        <f t="shared" si="7"/>
        <v>-3.2557180714966254E-3</v>
      </c>
      <c r="G144" s="8" cm="1">
        <f t="array" ref="G144">SUMPRODUCT(IF(((H144-$F$4:$F$515)/$B$10)&lt;=-1,0,IF(((H144-$F$4:$F$515)/$B$10)&gt;=1,1,(15/16)*(((H144-$F$4:$F$515)/$B$10)-(2/3)*((H144-$F$4:$F$515)/$B$10)^3+(1/5)*((H144-$F$4:$F$515)/$B$10)^5+8/15))))/COUNT($F$4:$F$515)</f>
        <v>1.9260620405518098E-3</v>
      </c>
      <c r="H144" s="9">
        <f t="shared" si="8"/>
        <v>-0.1823285503121671</v>
      </c>
      <c r="K144" s="7">
        <v>0.01</v>
      </c>
      <c r="L144" s="8">
        <f t="shared" si="6"/>
        <v>-3.8928550312169082E-2</v>
      </c>
    </row>
    <row r="145" spans="4:12" ht="14.4" customHeight="1">
      <c r="D145" s="2">
        <v>42209</v>
      </c>
      <c r="E145" s="3">
        <v>6.9930000000000003</v>
      </c>
      <c r="F145" s="3">
        <f t="shared" si="7"/>
        <v>-8.5434095043123177E-3</v>
      </c>
      <c r="G145" s="3" cm="1">
        <f t="array" ref="G145">SUMPRODUCT(IF(((H145-$F$4:$F$515)/$B$10)&lt;=-1,0,IF(((H145-$F$4:$F$515)/$B$10)&gt;=1,1,(15/16)*(((H145-$F$4:$F$515)/$B$10)-(2/3)*((H145-$F$4:$F$515)/$B$10)^3+(1/5)*((H145-$F$4:$F$515)/$B$10)^5+8/15))))/COUNT($F$4:$F$515)</f>
        <v>1.93726183173334E-3</v>
      </c>
      <c r="H145" s="1">
        <f t="shared" si="8"/>
        <v>-0.18202855031216711</v>
      </c>
      <c r="K145" s="2">
        <v>0.01</v>
      </c>
      <c r="L145" s="3">
        <f t="shared" si="6"/>
        <v>-3.8928550312169082E-2</v>
      </c>
    </row>
    <row r="146" spans="4:12" ht="14.4" customHeight="1">
      <c r="D146" s="7">
        <v>42212</v>
      </c>
      <c r="E146" s="8">
        <v>6.7709999999999999</v>
      </c>
      <c r="F146" s="8">
        <f t="shared" si="7"/>
        <v>-3.2260862218221553E-2</v>
      </c>
      <c r="G146" s="8" cm="1">
        <f t="array" ref="G146">SUMPRODUCT(IF(((H146-$F$4:$F$515)/$B$10)&lt;=-1,0,IF(((H146-$F$4:$F$515)/$B$10)&gt;=1,1,(15/16)*(((H146-$F$4:$F$515)/$B$10)-(2/3)*((H146-$F$4:$F$515)/$B$10)^3+(1/5)*((H146-$F$4:$F$515)/$B$10)^5+8/15))))/COUNT($F$4:$F$515)</f>
        <v>1.9449879206074022E-3</v>
      </c>
      <c r="H146" s="9">
        <f t="shared" si="8"/>
        <v>-0.18172855031216711</v>
      </c>
      <c r="K146" s="7">
        <v>0.01</v>
      </c>
      <c r="L146" s="8">
        <f t="shared" si="6"/>
        <v>-3.8928550312169082E-2</v>
      </c>
    </row>
    <row r="147" spans="4:12" ht="14.4" customHeight="1">
      <c r="D147" s="2">
        <v>42213</v>
      </c>
      <c r="E147" s="3">
        <v>6.843</v>
      </c>
      <c r="F147" s="3">
        <f t="shared" si="7"/>
        <v>1.0577445466852266E-2</v>
      </c>
      <c r="G147" s="3" cm="1">
        <f t="array" ref="G147">SUMPRODUCT(IF(((H147-$F$4:$F$515)/$B$10)&lt;=-1,0,IF(((H147-$F$4:$F$515)/$B$10)&gt;=1,1,(15/16)*(((H147-$F$4:$F$515)/$B$10)-(2/3)*((H147-$F$4:$F$515)/$B$10)^3+(1/5)*((H147-$F$4:$F$515)/$B$10)^5+8/15))))/COUNT($F$4:$F$515)</f>
        <v>1.9497596853397824E-3</v>
      </c>
      <c r="H147" s="1">
        <f t="shared" si="8"/>
        <v>-0.18142855031216712</v>
      </c>
      <c r="K147" s="2">
        <v>0.01</v>
      </c>
      <c r="L147" s="3">
        <f t="shared" si="6"/>
        <v>-3.8928550312169082E-2</v>
      </c>
    </row>
    <row r="148" spans="4:12" ht="14.4" customHeight="1">
      <c r="D148" s="7">
        <v>42214</v>
      </c>
      <c r="E148" s="8">
        <v>6.8120000000000003</v>
      </c>
      <c r="F148" s="8">
        <f t="shared" si="7"/>
        <v>-4.5404691699187953E-3</v>
      </c>
      <c r="G148" s="8" cm="1">
        <f t="array" ref="G148">SUMPRODUCT(IF(((H148-$F$4:$F$515)/$B$10)&lt;=-1,0,IF(((H148-$F$4:$F$515)/$B$10)&gt;=1,1,(15/16)*(((H148-$F$4:$F$515)/$B$10)-(2/3)*((H148-$F$4:$F$515)/$B$10)^3+(1/5)*((H148-$F$4:$F$515)/$B$10)^5+8/15))))/COUNT($F$4:$F$515)</f>
        <v>1.9522000627812915E-3</v>
      </c>
      <c r="H148" s="9">
        <f t="shared" si="8"/>
        <v>-0.18112855031216712</v>
      </c>
      <c r="K148" s="7">
        <v>0.01</v>
      </c>
      <c r="L148" s="8">
        <f t="shared" si="6"/>
        <v>-3.8928550312169082E-2</v>
      </c>
    </row>
    <row r="149" spans="4:12" ht="14.4" customHeight="1">
      <c r="D149" s="2">
        <v>42215</v>
      </c>
      <c r="E149" s="3">
        <v>6.5259999999999998</v>
      </c>
      <c r="F149" s="3">
        <f t="shared" si="7"/>
        <v>-4.2891564629312984E-2</v>
      </c>
      <c r="G149" s="3" cm="1">
        <f t="array" ref="G149">SUMPRODUCT(IF(((H149-$F$4:$F$515)/$B$10)&lt;=-1,0,IF(((H149-$F$4:$F$515)/$B$10)&gt;=1,1,(15/16)*(((H149-$F$4:$F$515)/$B$10)-(2/3)*((H149-$F$4:$F$515)/$B$10)^3+(1/5)*((H149-$F$4:$F$515)/$B$10)^5+8/15))))/COUNT($F$4:$F$515)</f>
        <v>1.953040560137791E-3</v>
      </c>
      <c r="H149" s="1">
        <f t="shared" si="8"/>
        <v>-0.18082855031216713</v>
      </c>
      <c r="K149" s="2">
        <v>0.01</v>
      </c>
      <c r="L149" s="3">
        <f t="shared" si="6"/>
        <v>-3.8928550312169082E-2</v>
      </c>
    </row>
    <row r="150" spans="4:12" ht="14.4" customHeight="1">
      <c r="D150" s="7">
        <v>42216</v>
      </c>
      <c r="E150" s="8">
        <v>6.6909999999999998</v>
      </c>
      <c r="F150" s="8">
        <f t="shared" si="7"/>
        <v>2.4969141629551089E-2</v>
      </c>
      <c r="G150" s="8" cm="1">
        <f t="array" ref="G150">SUMPRODUCT(IF(((H150-$F$4:$F$515)/$B$10)&lt;=-1,0,IF(((H150-$F$4:$F$515)/$B$10)&gt;=1,1,(15/16)*(((H150-$F$4:$F$515)/$B$10)-(2/3)*((H150-$F$4:$F$515)/$B$10)^3+(1/5)*((H150-$F$4:$F$515)/$B$10)^5+8/15))))/COUNT($F$4:$F$515)</f>
        <v>1.953125E-3</v>
      </c>
      <c r="H150" s="9">
        <f t="shared" si="8"/>
        <v>-0.18052855031216714</v>
      </c>
      <c r="K150" s="7">
        <v>0.01</v>
      </c>
      <c r="L150" s="8">
        <f t="shared" si="6"/>
        <v>-3.8928550312169082E-2</v>
      </c>
    </row>
    <row r="151" spans="4:12" ht="14.4" customHeight="1">
      <c r="D151" s="2">
        <v>42219</v>
      </c>
      <c r="E151" s="3">
        <v>6.7549999999999999</v>
      </c>
      <c r="F151" s="3">
        <f t="shared" si="7"/>
        <v>9.5196316114822405E-3</v>
      </c>
      <c r="G151" s="3" cm="1">
        <f t="array" ref="G151">SUMPRODUCT(IF(((H151-$F$4:$F$515)/$B$10)&lt;=-1,0,IF(((H151-$F$4:$F$515)/$B$10)&gt;=1,1,(15/16)*(((H151-$F$4:$F$515)/$B$10)-(2/3)*((H151-$F$4:$F$515)/$B$10)^3+(1/5)*((H151-$F$4:$F$515)/$B$10)^5+8/15))))/COUNT($F$4:$F$515)</f>
        <v>1.953125E-3</v>
      </c>
      <c r="H151" s="1">
        <f t="shared" si="8"/>
        <v>-0.18022855031216714</v>
      </c>
      <c r="K151" s="2">
        <v>0.01</v>
      </c>
      <c r="L151" s="3">
        <f t="shared" si="6"/>
        <v>-3.8928550312169082E-2</v>
      </c>
    </row>
    <row r="152" spans="4:12" ht="14.4" customHeight="1">
      <c r="D152" s="7">
        <v>42220</v>
      </c>
      <c r="E152" s="8">
        <v>6.6509999999999998</v>
      </c>
      <c r="F152" s="8">
        <f t="shared" si="7"/>
        <v>-1.5515752109878092E-2</v>
      </c>
      <c r="G152" s="8" cm="1">
        <f t="array" ref="G152">SUMPRODUCT(IF(((H152-$F$4:$F$515)/$B$10)&lt;=-1,0,IF(((H152-$F$4:$F$515)/$B$10)&gt;=1,1,(15/16)*(((H152-$F$4:$F$515)/$B$10)-(2/3)*((H152-$F$4:$F$515)/$B$10)^3+(1/5)*((H152-$F$4:$F$515)/$B$10)^5+8/15))))/COUNT($F$4:$F$515)</f>
        <v>1.953125E-3</v>
      </c>
      <c r="H152" s="9">
        <f t="shared" si="8"/>
        <v>-0.17992855031216715</v>
      </c>
      <c r="K152" s="7">
        <v>0.01</v>
      </c>
      <c r="L152" s="8">
        <f t="shared" si="6"/>
        <v>-3.8928550312169082E-2</v>
      </c>
    </row>
    <row r="153" spans="4:12" ht="14.4" customHeight="1">
      <c r="D153" s="2">
        <v>42221</v>
      </c>
      <c r="E153" s="3">
        <v>6.6779999999999999</v>
      </c>
      <c r="F153" s="3">
        <f t="shared" si="7"/>
        <v>4.0513222191787242E-3</v>
      </c>
      <c r="G153" s="3" cm="1">
        <f t="array" ref="G153">SUMPRODUCT(IF(((H153-$F$4:$F$515)/$B$10)&lt;=-1,0,IF(((H153-$F$4:$F$515)/$B$10)&gt;=1,1,(15/16)*(((H153-$F$4:$F$515)/$B$10)-(2/3)*((H153-$F$4:$F$515)/$B$10)^3+(1/5)*((H153-$F$4:$F$515)/$B$10)^5+8/15))))/COUNT($F$4:$F$515)</f>
        <v>1.953125E-3</v>
      </c>
      <c r="H153" s="1">
        <f t="shared" si="8"/>
        <v>-0.17962855031216715</v>
      </c>
      <c r="K153" s="2">
        <v>0.01</v>
      </c>
      <c r="L153" s="3">
        <f t="shared" si="6"/>
        <v>-3.8928550312169082E-2</v>
      </c>
    </row>
    <row r="154" spans="4:12" ht="14.4" customHeight="1">
      <c r="D154" s="7">
        <v>42222</v>
      </c>
      <c r="E154" s="8">
        <v>6.6440000000000001</v>
      </c>
      <c r="F154" s="8">
        <f t="shared" si="7"/>
        <v>-5.1043497704143176E-3</v>
      </c>
      <c r="G154" s="8" cm="1">
        <f t="array" ref="G154">SUMPRODUCT(IF(((H154-$F$4:$F$515)/$B$10)&lt;=-1,0,IF(((H154-$F$4:$F$515)/$B$10)&gt;=1,1,(15/16)*(((H154-$F$4:$F$515)/$B$10)-(2/3)*((H154-$F$4:$F$515)/$B$10)^3+(1/5)*((H154-$F$4:$F$515)/$B$10)^5+8/15))))/COUNT($F$4:$F$515)</f>
        <v>1.953125E-3</v>
      </c>
      <c r="H154" s="9">
        <f t="shared" si="8"/>
        <v>-0.17932855031216716</v>
      </c>
      <c r="K154" s="7">
        <v>0.01</v>
      </c>
      <c r="L154" s="8">
        <f t="shared" si="6"/>
        <v>-3.8928550312169082E-2</v>
      </c>
    </row>
    <row r="155" spans="4:12" ht="14.4" customHeight="1">
      <c r="D155" s="2">
        <v>42223</v>
      </c>
      <c r="E155" s="3">
        <v>6.3840000000000003</v>
      </c>
      <c r="F155" s="3">
        <f t="shared" si="7"/>
        <v>-3.9919331603540817E-2</v>
      </c>
      <c r="G155" s="3" cm="1">
        <f t="array" ref="G155">SUMPRODUCT(IF(((H155-$F$4:$F$515)/$B$10)&lt;=-1,0,IF(((H155-$F$4:$F$515)/$B$10)&gt;=1,1,(15/16)*(((H155-$F$4:$F$515)/$B$10)-(2/3)*((H155-$F$4:$F$515)/$B$10)^3+(1/5)*((H155-$F$4:$F$515)/$B$10)^5+8/15))))/COUNT($F$4:$F$515)</f>
        <v>1.953125E-3</v>
      </c>
      <c r="H155" s="1">
        <f t="shared" si="8"/>
        <v>-0.17902855031216716</v>
      </c>
      <c r="K155" s="2">
        <v>0.01</v>
      </c>
      <c r="L155" s="3">
        <f t="shared" si="6"/>
        <v>-3.8928550312169082E-2</v>
      </c>
    </row>
    <row r="156" spans="4:12" ht="14.4" customHeight="1">
      <c r="D156" s="7">
        <v>42226</v>
      </c>
      <c r="E156" s="8">
        <v>6.4160000000000004</v>
      </c>
      <c r="F156" s="8">
        <f t="shared" si="7"/>
        <v>5.0000104167058392E-3</v>
      </c>
      <c r="G156" s="8" cm="1">
        <f t="array" ref="G156">SUMPRODUCT(IF(((H156-$F$4:$F$515)/$B$10)&lt;=-1,0,IF(((H156-$F$4:$F$515)/$B$10)&gt;=1,1,(15/16)*(((H156-$F$4:$F$515)/$B$10)-(2/3)*((H156-$F$4:$F$515)/$B$10)^3+(1/5)*((H156-$F$4:$F$515)/$B$10)^5+8/15))))/COUNT($F$4:$F$515)</f>
        <v>1.953125E-3</v>
      </c>
      <c r="H156" s="9">
        <f t="shared" si="8"/>
        <v>-0.17872855031216717</v>
      </c>
      <c r="K156" s="7">
        <v>0.01</v>
      </c>
      <c r="L156" s="8">
        <f t="shared" si="6"/>
        <v>-3.8928550312169082E-2</v>
      </c>
    </row>
    <row r="157" spans="4:12" ht="14.4" customHeight="1">
      <c r="D157" s="2">
        <v>42227</v>
      </c>
      <c r="E157" s="3">
        <v>6.4020000000000001</v>
      </c>
      <c r="F157" s="3">
        <f t="shared" si="7"/>
        <v>-2.1844290165421291E-3</v>
      </c>
      <c r="G157" s="3" cm="1">
        <f t="array" ref="G157">SUMPRODUCT(IF(((H157-$F$4:$F$515)/$B$10)&lt;=-1,0,IF(((H157-$F$4:$F$515)/$B$10)&gt;=1,1,(15/16)*(((H157-$F$4:$F$515)/$B$10)-(2/3)*((H157-$F$4:$F$515)/$B$10)^3+(1/5)*((H157-$F$4:$F$515)/$B$10)^5+8/15))))/COUNT($F$4:$F$515)</f>
        <v>1.953125E-3</v>
      </c>
      <c r="H157" s="1">
        <f t="shared" si="8"/>
        <v>-0.17842855031216717</v>
      </c>
      <c r="K157" s="2">
        <v>0.01</v>
      </c>
      <c r="L157" s="3">
        <f t="shared" si="6"/>
        <v>-3.8928550312169082E-2</v>
      </c>
    </row>
    <row r="158" spans="4:12" ht="14.4" customHeight="1">
      <c r="D158" s="7">
        <v>42228</v>
      </c>
      <c r="E158" s="8">
        <v>6.2320000000000002</v>
      </c>
      <c r="F158" s="8">
        <f t="shared" si="7"/>
        <v>-2.6913132979224201E-2</v>
      </c>
      <c r="G158" s="8" cm="1">
        <f t="array" ref="G158">SUMPRODUCT(IF(((H158-$F$4:$F$515)/$B$10)&lt;=-1,0,IF(((H158-$F$4:$F$515)/$B$10)&gt;=1,1,(15/16)*(((H158-$F$4:$F$515)/$B$10)-(2/3)*((H158-$F$4:$F$515)/$B$10)^3+(1/5)*((H158-$F$4:$F$515)/$B$10)^5+8/15))))/COUNT($F$4:$F$515)</f>
        <v>1.953125E-3</v>
      </c>
      <c r="H158" s="9">
        <f t="shared" si="8"/>
        <v>-0.17812855031216718</v>
      </c>
      <c r="K158" s="7">
        <v>0.01</v>
      </c>
      <c r="L158" s="8">
        <f t="shared" si="6"/>
        <v>-3.8928550312169082E-2</v>
      </c>
    </row>
    <row r="159" spans="4:12" ht="14.4" customHeight="1">
      <c r="D159" s="2">
        <v>42229</v>
      </c>
      <c r="E159" s="3">
        <v>6.4139999999999997</v>
      </c>
      <c r="F159" s="3">
        <f t="shared" si="7"/>
        <v>2.8785792702515876E-2</v>
      </c>
      <c r="G159" s="3" cm="1">
        <f t="array" ref="G159">SUMPRODUCT(IF(((H159-$F$4:$F$515)/$B$10)&lt;=-1,0,IF(((H159-$F$4:$F$515)/$B$10)&gt;=1,1,(15/16)*(((H159-$F$4:$F$515)/$B$10)-(2/3)*((H159-$F$4:$F$515)/$B$10)^3+(1/5)*((H159-$F$4:$F$515)/$B$10)^5+8/15))))/COUNT($F$4:$F$515)</f>
        <v>1.953125E-3</v>
      </c>
      <c r="H159" s="1">
        <f t="shared" si="8"/>
        <v>-0.17782855031216718</v>
      </c>
      <c r="K159" s="2">
        <v>0.01</v>
      </c>
      <c r="L159" s="3">
        <f t="shared" si="6"/>
        <v>-3.8928550312169082E-2</v>
      </c>
    </row>
    <row r="160" spans="4:12" ht="14.4" customHeight="1">
      <c r="D160" s="7">
        <v>42230</v>
      </c>
      <c r="E160" s="8">
        <v>6.3129999999999997</v>
      </c>
      <c r="F160" s="8">
        <f t="shared" si="7"/>
        <v>-1.5872101885474589E-2</v>
      </c>
      <c r="G160" s="8" cm="1">
        <f t="array" ref="G160">SUMPRODUCT(IF(((H160-$F$4:$F$515)/$B$10)&lt;=-1,0,IF(((H160-$F$4:$F$515)/$B$10)&gt;=1,1,(15/16)*(((H160-$F$4:$F$515)/$B$10)-(2/3)*((H160-$F$4:$F$515)/$B$10)^3+(1/5)*((H160-$F$4:$F$515)/$B$10)^5+8/15))))/COUNT($F$4:$F$515)</f>
        <v>1.953125E-3</v>
      </c>
      <c r="H160" s="9">
        <f t="shared" si="8"/>
        <v>-0.17752855031216719</v>
      </c>
      <c r="K160" s="7">
        <v>0.01</v>
      </c>
      <c r="L160" s="8">
        <f t="shared" si="6"/>
        <v>-3.8928550312169082E-2</v>
      </c>
    </row>
    <row r="161" spans="4:12" ht="14.4" customHeight="1">
      <c r="D161" s="2">
        <v>42233</v>
      </c>
      <c r="E161" s="3">
        <v>6.2889999999999997</v>
      </c>
      <c r="F161" s="3">
        <f t="shared" si="7"/>
        <v>-3.8089238241222957E-3</v>
      </c>
      <c r="G161" s="3" cm="1">
        <f t="array" ref="G161">SUMPRODUCT(IF(((H161-$F$4:$F$515)/$B$10)&lt;=-1,0,IF(((H161-$F$4:$F$515)/$B$10)&gt;=1,1,(15/16)*(((H161-$F$4:$F$515)/$B$10)-(2/3)*((H161-$F$4:$F$515)/$B$10)^3+(1/5)*((H161-$F$4:$F$515)/$B$10)^5+8/15))))/COUNT($F$4:$F$515)</f>
        <v>1.953125E-3</v>
      </c>
      <c r="H161" s="1">
        <f t="shared" si="8"/>
        <v>-0.17722855031216719</v>
      </c>
      <c r="K161" s="2">
        <v>0.01</v>
      </c>
      <c r="L161" s="3">
        <f t="shared" si="6"/>
        <v>-3.8928550312169082E-2</v>
      </c>
    </row>
    <row r="162" spans="4:12" ht="14.4" customHeight="1">
      <c r="D162" s="7">
        <v>42234</v>
      </c>
      <c r="E162" s="8">
        <v>6.32</v>
      </c>
      <c r="F162" s="8">
        <f t="shared" si="7"/>
        <v>4.917132597399885E-3</v>
      </c>
      <c r="G162" s="8" cm="1">
        <f t="array" ref="G162">SUMPRODUCT(IF(((H162-$F$4:$F$515)/$B$10)&lt;=-1,0,IF(((H162-$F$4:$F$515)/$B$10)&gt;=1,1,(15/16)*(((H162-$F$4:$F$515)/$B$10)-(2/3)*((H162-$F$4:$F$515)/$B$10)^3+(1/5)*((H162-$F$4:$F$515)/$B$10)^5+8/15))))/COUNT($F$4:$F$515)</f>
        <v>1.953125E-3</v>
      </c>
      <c r="H162" s="9">
        <f t="shared" si="8"/>
        <v>-0.1769285503121672</v>
      </c>
      <c r="K162" s="7">
        <v>0.01</v>
      </c>
      <c r="L162" s="8">
        <f t="shared" si="6"/>
        <v>-3.8928550312169082E-2</v>
      </c>
    </row>
    <row r="163" spans="4:12" ht="14.4" customHeight="1">
      <c r="D163" s="2">
        <v>42235</v>
      </c>
      <c r="E163" s="3">
        <v>6.2119999999999997</v>
      </c>
      <c r="F163" s="3">
        <f t="shared" si="7"/>
        <v>-1.7236302872325512E-2</v>
      </c>
      <c r="G163" s="3" cm="1">
        <f t="array" ref="G163">SUMPRODUCT(IF(((H163-$F$4:$F$515)/$B$10)&lt;=-1,0,IF(((H163-$F$4:$F$515)/$B$10)&gt;=1,1,(15/16)*(((H163-$F$4:$F$515)/$B$10)-(2/3)*((H163-$F$4:$F$515)/$B$10)^3+(1/5)*((H163-$F$4:$F$515)/$B$10)^5+8/15))))/COUNT($F$4:$F$515)</f>
        <v>1.953125E-3</v>
      </c>
      <c r="H163" s="1">
        <f t="shared" si="8"/>
        <v>-0.1766285503121672</v>
      </c>
      <c r="K163" s="2">
        <v>0.01</v>
      </c>
      <c r="L163" s="3">
        <f t="shared" si="6"/>
        <v>-3.8928550312169082E-2</v>
      </c>
    </row>
    <row r="164" spans="4:12" ht="14.4" customHeight="1">
      <c r="D164" s="7">
        <v>42236</v>
      </c>
      <c r="E164" s="8">
        <v>5.8840000000000003</v>
      </c>
      <c r="F164" s="8">
        <f t="shared" si="7"/>
        <v>-5.4246102547249465E-2</v>
      </c>
      <c r="G164" s="8" cm="1">
        <f t="array" ref="G164">SUMPRODUCT(IF(((H164-$F$4:$F$515)/$B$10)&lt;=-1,0,IF(((H164-$F$4:$F$515)/$B$10)&gt;=1,1,(15/16)*(((H164-$F$4:$F$515)/$B$10)-(2/3)*((H164-$F$4:$F$515)/$B$10)^3+(1/5)*((H164-$F$4:$F$515)/$B$10)^5+8/15))))/COUNT($F$4:$F$515)</f>
        <v>1.953125E-3</v>
      </c>
      <c r="H164" s="9">
        <f t="shared" si="8"/>
        <v>-0.17632855031216721</v>
      </c>
      <c r="K164" s="7">
        <v>0.01</v>
      </c>
      <c r="L164" s="8">
        <f t="shared" si="6"/>
        <v>-3.8928550312169082E-2</v>
      </c>
    </row>
    <row r="165" spans="4:12" ht="14.4" customHeight="1">
      <c r="D165" s="2">
        <v>42237</v>
      </c>
      <c r="E165" s="3">
        <v>5.5730000000000004</v>
      </c>
      <c r="F165" s="3">
        <f t="shared" si="7"/>
        <v>-5.4303294151791796E-2</v>
      </c>
      <c r="G165" s="3" cm="1">
        <f t="array" ref="G165">SUMPRODUCT(IF(((H165-$F$4:$F$515)/$B$10)&lt;=-1,0,IF(((H165-$F$4:$F$515)/$B$10)&gt;=1,1,(15/16)*(((H165-$F$4:$F$515)/$B$10)-(2/3)*((H165-$F$4:$F$515)/$B$10)^3+(1/5)*((H165-$F$4:$F$515)/$B$10)^5+8/15))))/COUNT($F$4:$F$515)</f>
        <v>1.953125E-3</v>
      </c>
      <c r="H165" s="1">
        <f t="shared" si="8"/>
        <v>-0.17602855031216721</v>
      </c>
      <c r="K165" s="2">
        <v>0.01</v>
      </c>
      <c r="L165" s="3">
        <f t="shared" si="6"/>
        <v>-3.8928550312169082E-2</v>
      </c>
    </row>
    <row r="166" spans="4:12" ht="14.4" customHeight="1">
      <c r="D166" s="7">
        <v>42240</v>
      </c>
      <c r="E166" s="8">
        <v>5.4050000000000002</v>
      </c>
      <c r="F166" s="8">
        <f t="shared" si="7"/>
        <v>-3.0609057496227679E-2</v>
      </c>
      <c r="G166" s="8" cm="1">
        <f t="array" ref="G166">SUMPRODUCT(IF(((H166-$F$4:$F$515)/$B$10)&lt;=-1,0,IF(((H166-$F$4:$F$515)/$B$10)&gt;=1,1,(15/16)*(((H166-$F$4:$F$515)/$B$10)-(2/3)*((H166-$F$4:$F$515)/$B$10)^3+(1/5)*((H166-$F$4:$F$515)/$B$10)^5+8/15))))/COUNT($F$4:$F$515)</f>
        <v>1.953125E-3</v>
      </c>
      <c r="H166" s="9">
        <f t="shared" si="8"/>
        <v>-0.17572855031216722</v>
      </c>
      <c r="K166" s="7">
        <v>0.01</v>
      </c>
      <c r="L166" s="8">
        <f t="shared" si="6"/>
        <v>-3.8928550312169082E-2</v>
      </c>
    </row>
    <row r="167" spans="4:12" ht="14.4" customHeight="1">
      <c r="D167" s="2">
        <v>42241</v>
      </c>
      <c r="E167" s="3">
        <v>5.7549999999999999</v>
      </c>
      <c r="F167" s="3">
        <f t="shared" si="7"/>
        <v>6.2744591082674259E-2</v>
      </c>
      <c r="G167" s="3" cm="1">
        <f t="array" ref="G167">SUMPRODUCT(IF(((H167-$F$4:$F$515)/$B$10)&lt;=-1,0,IF(((H167-$F$4:$F$515)/$B$10)&gt;=1,1,(15/16)*(((H167-$F$4:$F$515)/$B$10)-(2/3)*((H167-$F$4:$F$515)/$B$10)^3+(1/5)*((H167-$F$4:$F$515)/$B$10)^5+8/15))))/COUNT($F$4:$F$515)</f>
        <v>1.953125E-3</v>
      </c>
      <c r="H167" s="1">
        <f t="shared" si="8"/>
        <v>-0.17542855031216723</v>
      </c>
      <c r="K167" s="2">
        <v>0.01</v>
      </c>
      <c r="L167" s="3">
        <f t="shared" si="6"/>
        <v>-3.8928550312169082E-2</v>
      </c>
    </row>
    <row r="168" spans="4:12" ht="14.4" customHeight="1">
      <c r="D168" s="7">
        <v>42242</v>
      </c>
      <c r="E168" s="8">
        <v>5.6239999999999997</v>
      </c>
      <c r="F168" s="8">
        <f t="shared" si="7"/>
        <v>-2.3025887665482206E-2</v>
      </c>
      <c r="G168" s="8" cm="1">
        <f t="array" ref="G168">SUMPRODUCT(IF(((H168-$F$4:$F$515)/$B$10)&lt;=-1,0,IF(((H168-$F$4:$F$515)/$B$10)&gt;=1,1,(15/16)*(((H168-$F$4:$F$515)/$B$10)-(2/3)*((H168-$F$4:$F$515)/$B$10)^3+(1/5)*((H168-$F$4:$F$515)/$B$10)^5+8/15))))/COUNT($F$4:$F$515)</f>
        <v>1.953125E-3</v>
      </c>
      <c r="H168" s="9">
        <f t="shared" si="8"/>
        <v>-0.17512855031216723</v>
      </c>
      <c r="K168" s="7">
        <v>0.01</v>
      </c>
      <c r="L168" s="8">
        <f t="shared" si="6"/>
        <v>-3.8928550312169082E-2</v>
      </c>
    </row>
    <row r="169" spans="4:12" ht="14.4" customHeight="1">
      <c r="D169" s="2">
        <v>42243</v>
      </c>
      <c r="E169" s="3">
        <v>5.7969999999999997</v>
      </c>
      <c r="F169" s="3">
        <f t="shared" si="7"/>
        <v>3.0297387849232048E-2</v>
      </c>
      <c r="G169" s="3" cm="1">
        <f t="array" ref="G169">SUMPRODUCT(IF(((H169-$F$4:$F$515)/$B$10)&lt;=-1,0,IF(((H169-$F$4:$F$515)/$B$10)&gt;=1,1,(15/16)*(((H169-$F$4:$F$515)/$B$10)-(2/3)*((H169-$F$4:$F$515)/$B$10)^3+(1/5)*((H169-$F$4:$F$515)/$B$10)^5+8/15))))/COUNT($F$4:$F$515)</f>
        <v>1.953125E-3</v>
      </c>
      <c r="H169" s="1">
        <f t="shared" si="8"/>
        <v>-0.17482855031216724</v>
      </c>
      <c r="K169" s="2">
        <v>0.01</v>
      </c>
      <c r="L169" s="3">
        <f t="shared" si="6"/>
        <v>-3.8928550312169082E-2</v>
      </c>
    </row>
    <row r="170" spans="4:12" ht="14.4" customHeight="1">
      <c r="D170" s="7">
        <v>42244</v>
      </c>
      <c r="E170" s="8">
        <v>5.718</v>
      </c>
      <c r="F170" s="8">
        <f t="shared" si="7"/>
        <v>-1.3721448457475685E-2</v>
      </c>
      <c r="G170" s="8" cm="1">
        <f t="array" ref="G170">SUMPRODUCT(IF(((H170-$F$4:$F$515)/$B$10)&lt;=-1,0,IF(((H170-$F$4:$F$515)/$B$10)&gt;=1,1,(15/16)*(((H170-$F$4:$F$515)/$B$10)-(2/3)*((H170-$F$4:$F$515)/$B$10)^3+(1/5)*((H170-$F$4:$F$515)/$B$10)^5+8/15))))/COUNT($F$4:$F$515)</f>
        <v>1.953125E-3</v>
      </c>
      <c r="H170" s="9">
        <f t="shared" si="8"/>
        <v>-0.17452855031216724</v>
      </c>
      <c r="K170" s="7">
        <v>0.01</v>
      </c>
      <c r="L170" s="8">
        <f t="shared" si="6"/>
        <v>-3.8928550312169082E-2</v>
      </c>
    </row>
    <row r="171" spans="4:12" ht="14.4" customHeight="1">
      <c r="D171" s="2">
        <v>42247</v>
      </c>
      <c r="E171" s="3">
        <v>5.66</v>
      </c>
      <c r="F171" s="3">
        <f t="shared" si="7"/>
        <v>-1.0195201685028465E-2</v>
      </c>
      <c r="G171" s="3" cm="1">
        <f t="array" ref="G171">SUMPRODUCT(IF(((H171-$F$4:$F$515)/$B$10)&lt;=-1,0,IF(((H171-$F$4:$F$515)/$B$10)&gt;=1,1,(15/16)*(((H171-$F$4:$F$515)/$B$10)-(2/3)*((H171-$F$4:$F$515)/$B$10)^3+(1/5)*((H171-$F$4:$F$515)/$B$10)^5+8/15))))/COUNT($F$4:$F$515)</f>
        <v>1.953125E-3</v>
      </c>
      <c r="H171" s="1">
        <f t="shared" si="8"/>
        <v>-0.17422855031216725</v>
      </c>
      <c r="K171" s="2">
        <v>0.01</v>
      </c>
      <c r="L171" s="3">
        <f t="shared" si="6"/>
        <v>-3.8928550312169082E-2</v>
      </c>
    </row>
    <row r="172" spans="4:12" ht="14.4" customHeight="1">
      <c r="D172" s="7">
        <v>42248</v>
      </c>
      <c r="E172" s="8">
        <v>5.548</v>
      </c>
      <c r="F172" s="8">
        <f t="shared" si="7"/>
        <v>-1.9986389762506419E-2</v>
      </c>
      <c r="G172" s="8" cm="1">
        <f t="array" ref="G172">SUMPRODUCT(IF(((H172-$F$4:$F$515)/$B$10)&lt;=-1,0,IF(((H172-$F$4:$F$515)/$B$10)&gt;=1,1,(15/16)*(((H172-$F$4:$F$515)/$B$10)-(2/3)*((H172-$F$4:$F$515)/$B$10)^3+(1/5)*((H172-$F$4:$F$515)/$B$10)^5+8/15))))/COUNT($F$4:$F$515)</f>
        <v>1.953125E-3</v>
      </c>
      <c r="H172" s="9">
        <f t="shared" si="8"/>
        <v>-0.17392855031216725</v>
      </c>
      <c r="K172" s="7">
        <v>0.01</v>
      </c>
      <c r="L172" s="8">
        <f t="shared" si="6"/>
        <v>-3.8928550312169082E-2</v>
      </c>
    </row>
    <row r="173" spans="4:12" ht="14.4" customHeight="1">
      <c r="D173" s="2">
        <v>42249</v>
      </c>
      <c r="E173" s="3">
        <v>5.5259999999999998</v>
      </c>
      <c r="F173" s="3">
        <f t="shared" si="7"/>
        <v>-3.9732759513603898E-3</v>
      </c>
      <c r="G173" s="3" cm="1">
        <f t="array" ref="G173">SUMPRODUCT(IF(((H173-$F$4:$F$515)/$B$10)&lt;=-1,0,IF(((H173-$F$4:$F$515)/$B$10)&gt;=1,1,(15/16)*(((H173-$F$4:$F$515)/$B$10)-(2/3)*((H173-$F$4:$F$515)/$B$10)^3+(1/5)*((H173-$F$4:$F$515)/$B$10)^5+8/15))))/COUNT($F$4:$F$515)</f>
        <v>1.953125E-3</v>
      </c>
      <c r="H173" s="1">
        <f t="shared" si="8"/>
        <v>-0.17362855031216726</v>
      </c>
      <c r="K173" s="2">
        <v>0.01</v>
      </c>
      <c r="L173" s="3">
        <f t="shared" si="6"/>
        <v>-3.8928550312169082E-2</v>
      </c>
    </row>
    <row r="174" spans="4:12" ht="14.4" customHeight="1">
      <c r="D174" s="7">
        <v>42250</v>
      </c>
      <c r="E174" s="8">
        <v>5.7320000000000002</v>
      </c>
      <c r="F174" s="8">
        <f t="shared" si="7"/>
        <v>3.6600283464700636E-2</v>
      </c>
      <c r="G174" s="8" cm="1">
        <f t="array" ref="G174">SUMPRODUCT(IF(((H174-$F$4:$F$515)/$B$10)&lt;=-1,0,IF(((H174-$F$4:$F$515)/$B$10)&gt;=1,1,(15/16)*(((H174-$F$4:$F$515)/$B$10)-(2/3)*((H174-$F$4:$F$515)/$B$10)^3+(1/5)*((H174-$F$4:$F$515)/$B$10)^5+8/15))))/COUNT($F$4:$F$515)</f>
        <v>1.953125E-3</v>
      </c>
      <c r="H174" s="9">
        <f t="shared" si="8"/>
        <v>-0.17332855031216726</v>
      </c>
      <c r="K174" s="7">
        <v>0.01</v>
      </c>
      <c r="L174" s="8">
        <f t="shared" si="6"/>
        <v>-3.8928550312169082E-2</v>
      </c>
    </row>
    <row r="175" spans="4:12" ht="14.4" customHeight="1">
      <c r="D175" s="2">
        <v>42251</v>
      </c>
      <c r="E175" s="3">
        <v>5.5810000000000004</v>
      </c>
      <c r="F175" s="3">
        <f t="shared" si="7"/>
        <v>-2.6696538159628889E-2</v>
      </c>
      <c r="G175" s="3" cm="1">
        <f t="array" ref="G175">SUMPRODUCT(IF(((H175-$F$4:$F$515)/$B$10)&lt;=-1,0,IF(((H175-$F$4:$F$515)/$B$10)&gt;=1,1,(15/16)*(((H175-$F$4:$F$515)/$B$10)-(2/3)*((H175-$F$4:$F$515)/$B$10)^3+(1/5)*((H175-$F$4:$F$515)/$B$10)^5+8/15))))/COUNT($F$4:$F$515)</f>
        <v>1.953125E-3</v>
      </c>
      <c r="H175" s="1">
        <f t="shared" si="8"/>
        <v>-0.17302855031216727</v>
      </c>
      <c r="K175" s="2">
        <v>0.01</v>
      </c>
      <c r="L175" s="3">
        <f t="shared" si="6"/>
        <v>-3.8928550312169082E-2</v>
      </c>
    </row>
    <row r="176" spans="4:12" ht="14.4" customHeight="1">
      <c r="D176" s="7">
        <v>42254</v>
      </c>
      <c r="E176" s="8">
        <v>5.5679999999999996</v>
      </c>
      <c r="F176" s="8">
        <f t="shared" si="7"/>
        <v>-2.3320487741781493E-3</v>
      </c>
      <c r="G176" s="8" cm="1">
        <f t="array" ref="G176">SUMPRODUCT(IF(((H176-$F$4:$F$515)/$B$10)&lt;=-1,0,IF(((H176-$F$4:$F$515)/$B$10)&gt;=1,1,(15/16)*(((H176-$F$4:$F$515)/$B$10)-(2/3)*((H176-$F$4:$F$515)/$B$10)^3+(1/5)*((H176-$F$4:$F$515)/$B$10)^5+8/15))))/COUNT($F$4:$F$515)</f>
        <v>1.953125E-3</v>
      </c>
      <c r="H176" s="9">
        <f t="shared" si="8"/>
        <v>-0.17272855031216727</v>
      </c>
      <c r="K176" s="7">
        <v>0.01</v>
      </c>
      <c r="L176" s="8">
        <f t="shared" si="6"/>
        <v>-3.8928550312169082E-2</v>
      </c>
    </row>
    <row r="177" spans="4:12" ht="14.4" customHeight="1">
      <c r="D177" s="2">
        <v>42255</v>
      </c>
      <c r="E177" s="3">
        <v>5.5970000000000004</v>
      </c>
      <c r="F177" s="3">
        <f t="shared" si="7"/>
        <v>5.1948168771041511E-3</v>
      </c>
      <c r="G177" s="3" cm="1">
        <f t="array" ref="G177">SUMPRODUCT(IF(((H177-$F$4:$F$515)/$B$10)&lt;=-1,0,IF(((H177-$F$4:$F$515)/$B$10)&gt;=1,1,(15/16)*(((H177-$F$4:$F$515)/$B$10)-(2/3)*((H177-$F$4:$F$515)/$B$10)^3+(1/5)*((H177-$F$4:$F$515)/$B$10)^5+8/15))))/COUNT($F$4:$F$515)</f>
        <v>1.953125E-3</v>
      </c>
      <c r="H177" s="1">
        <f t="shared" si="8"/>
        <v>-0.17242855031216728</v>
      </c>
      <c r="K177" s="2">
        <v>0.01</v>
      </c>
      <c r="L177" s="3">
        <f t="shared" si="6"/>
        <v>-3.8928550312169082E-2</v>
      </c>
    </row>
    <row r="178" spans="4:12" ht="14.4" customHeight="1">
      <c r="D178" s="7">
        <v>42256</v>
      </c>
      <c r="E178" s="8">
        <v>5.6040000000000001</v>
      </c>
      <c r="F178" s="8">
        <f t="shared" si="7"/>
        <v>1.2498885655380626E-3</v>
      </c>
      <c r="G178" s="8" cm="1">
        <f t="array" ref="G178">SUMPRODUCT(IF(((H178-$F$4:$F$515)/$B$10)&lt;=-1,0,IF(((H178-$F$4:$F$515)/$B$10)&gt;=1,1,(15/16)*(((H178-$F$4:$F$515)/$B$10)-(2/3)*((H178-$F$4:$F$515)/$B$10)^3+(1/5)*((H178-$F$4:$F$515)/$B$10)^5+8/15))))/COUNT($F$4:$F$515)</f>
        <v>1.953125E-3</v>
      </c>
      <c r="H178" s="9">
        <f t="shared" si="8"/>
        <v>-0.17212855031216728</v>
      </c>
      <c r="K178" s="7">
        <v>0.01</v>
      </c>
      <c r="L178" s="8">
        <f t="shared" si="6"/>
        <v>-3.8928550312169082E-2</v>
      </c>
    </row>
    <row r="179" spans="4:12" ht="14.4" customHeight="1">
      <c r="D179" s="2">
        <v>42257</v>
      </c>
      <c r="E179" s="3">
        <v>5.5259999999999998</v>
      </c>
      <c r="F179" s="3">
        <f t="shared" si="7"/>
        <v>-1.4016401973535883E-2</v>
      </c>
      <c r="G179" s="3" cm="1">
        <f t="array" ref="G179">SUMPRODUCT(IF(((H179-$F$4:$F$515)/$B$10)&lt;=-1,0,IF(((H179-$F$4:$F$515)/$B$10)&gt;=1,1,(15/16)*(((H179-$F$4:$F$515)/$B$10)-(2/3)*((H179-$F$4:$F$515)/$B$10)^3+(1/5)*((H179-$F$4:$F$515)/$B$10)^5+8/15))))/COUNT($F$4:$F$515)</f>
        <v>1.953125E-3</v>
      </c>
      <c r="H179" s="1">
        <f t="shared" si="8"/>
        <v>-0.17182855031216729</v>
      </c>
      <c r="K179" s="2">
        <v>0.01</v>
      </c>
      <c r="L179" s="3">
        <f t="shared" si="6"/>
        <v>-3.8928550312169082E-2</v>
      </c>
    </row>
    <row r="180" spans="4:12" ht="14.4" customHeight="1">
      <c r="D180" s="7">
        <v>42258</v>
      </c>
      <c r="E180" s="8">
        <v>5.4480000000000004</v>
      </c>
      <c r="F180" s="8">
        <f t="shared" si="7"/>
        <v>-1.4215657654013445E-2</v>
      </c>
      <c r="G180" s="8" cm="1">
        <f t="array" ref="G180">SUMPRODUCT(IF(((H180-$F$4:$F$515)/$B$10)&lt;=-1,0,IF(((H180-$F$4:$F$515)/$B$10)&gt;=1,1,(15/16)*(((H180-$F$4:$F$515)/$B$10)-(2/3)*((H180-$F$4:$F$515)/$B$10)^3+(1/5)*((H180-$F$4:$F$515)/$B$10)^5+8/15))))/COUNT($F$4:$F$515)</f>
        <v>1.953125E-3</v>
      </c>
      <c r="H180" s="9">
        <f t="shared" si="8"/>
        <v>-0.17152855031216729</v>
      </c>
      <c r="K180" s="7">
        <v>0.01</v>
      </c>
      <c r="L180" s="8">
        <f t="shared" si="6"/>
        <v>-3.8928550312169082E-2</v>
      </c>
    </row>
    <row r="181" spans="4:12" ht="14.4" customHeight="1">
      <c r="D181" s="2">
        <v>42261</v>
      </c>
      <c r="E181" s="3">
        <v>5.375</v>
      </c>
      <c r="F181" s="3">
        <f t="shared" si="7"/>
        <v>-1.3489994833484769E-2</v>
      </c>
      <c r="G181" s="3" cm="1">
        <f t="array" ref="G181">SUMPRODUCT(IF(((H181-$F$4:$F$515)/$B$10)&lt;=-1,0,IF(((H181-$F$4:$F$515)/$B$10)&gt;=1,1,(15/16)*(((H181-$F$4:$F$515)/$B$10)-(2/3)*((H181-$F$4:$F$515)/$B$10)^3+(1/5)*((H181-$F$4:$F$515)/$B$10)^5+8/15))))/COUNT($F$4:$F$515)</f>
        <v>1.953125E-3</v>
      </c>
      <c r="H181" s="1">
        <f t="shared" si="8"/>
        <v>-0.1712285503121673</v>
      </c>
      <c r="K181" s="2">
        <v>0.01</v>
      </c>
      <c r="L181" s="3">
        <f t="shared" si="6"/>
        <v>-3.8928550312169082E-2</v>
      </c>
    </row>
    <row r="182" spans="4:12" ht="14.4" customHeight="1">
      <c r="D182" s="7">
        <v>42262</v>
      </c>
      <c r="E182" s="8">
        <v>5.41</v>
      </c>
      <c r="F182" s="8">
        <f t="shared" si="7"/>
        <v>6.4905188446637051E-3</v>
      </c>
      <c r="G182" s="8" cm="1">
        <f t="array" ref="G182">SUMPRODUCT(IF(((H182-$F$4:$F$515)/$B$10)&lt;=-1,0,IF(((H182-$F$4:$F$515)/$B$10)&gt;=1,1,(15/16)*(((H182-$F$4:$F$515)/$B$10)-(2/3)*((H182-$F$4:$F$515)/$B$10)^3+(1/5)*((H182-$F$4:$F$515)/$B$10)^5+8/15))))/COUNT($F$4:$F$515)</f>
        <v>1.953125E-3</v>
      </c>
      <c r="H182" s="9">
        <f t="shared" si="8"/>
        <v>-0.1709285503121673</v>
      </c>
      <c r="K182" s="7">
        <v>0.01</v>
      </c>
      <c r="L182" s="8">
        <f t="shared" si="6"/>
        <v>-3.8928550312169082E-2</v>
      </c>
    </row>
    <row r="183" spans="4:12" ht="14.4" customHeight="1">
      <c r="D183" s="2">
        <v>42263</v>
      </c>
      <c r="E183" s="3">
        <v>5.3689999999999998</v>
      </c>
      <c r="F183" s="3">
        <f t="shared" si="7"/>
        <v>-7.6074214179577436E-3</v>
      </c>
      <c r="G183" s="3" cm="1">
        <f t="array" ref="G183">SUMPRODUCT(IF(((H183-$F$4:$F$515)/$B$10)&lt;=-1,0,IF(((H183-$F$4:$F$515)/$B$10)&gt;=1,1,(15/16)*(((H183-$F$4:$F$515)/$B$10)-(2/3)*((H183-$F$4:$F$515)/$B$10)^3+(1/5)*((H183-$F$4:$F$515)/$B$10)^5+8/15))))/COUNT($F$4:$F$515)</f>
        <v>1.953125E-3</v>
      </c>
      <c r="H183" s="1">
        <f t="shared" si="8"/>
        <v>-0.17062855031216731</v>
      </c>
      <c r="K183" s="2">
        <v>0.01</v>
      </c>
      <c r="L183" s="3">
        <f t="shared" si="6"/>
        <v>-3.8928550312169082E-2</v>
      </c>
    </row>
    <row r="184" spans="4:12" ht="14.4" customHeight="1">
      <c r="D184" s="7">
        <v>42264</v>
      </c>
      <c r="E184" s="8">
        <v>5.4530000000000003</v>
      </c>
      <c r="F184" s="8">
        <f t="shared" si="7"/>
        <v>1.5524244503492171E-2</v>
      </c>
      <c r="G184" s="8" cm="1">
        <f t="array" ref="G184">SUMPRODUCT(IF(((H184-$F$4:$F$515)/$B$10)&lt;=-1,0,IF(((H184-$F$4:$F$515)/$B$10)&gt;=1,1,(15/16)*(((H184-$F$4:$F$515)/$B$10)-(2/3)*((H184-$F$4:$F$515)/$B$10)^3+(1/5)*((H184-$F$4:$F$515)/$B$10)^5+8/15))))/COUNT($F$4:$F$515)</f>
        <v>1.953125E-3</v>
      </c>
      <c r="H184" s="9">
        <f t="shared" si="8"/>
        <v>-0.17032855031216732</v>
      </c>
      <c r="K184" s="7">
        <v>0.01</v>
      </c>
      <c r="L184" s="8">
        <f t="shared" si="6"/>
        <v>-3.8928550312169082E-2</v>
      </c>
    </row>
    <row r="185" spans="4:12" ht="14.4" customHeight="1">
      <c r="D185" s="2">
        <v>42265</v>
      </c>
      <c r="E185" s="3">
        <v>5.258</v>
      </c>
      <c r="F185" s="3">
        <f t="shared" si="7"/>
        <v>-3.6415189636235135E-2</v>
      </c>
      <c r="G185" s="3" cm="1">
        <f t="array" ref="G185">SUMPRODUCT(IF(((H185-$F$4:$F$515)/$B$10)&lt;=-1,0,IF(((H185-$F$4:$F$515)/$B$10)&gt;=1,1,(15/16)*(((H185-$F$4:$F$515)/$B$10)-(2/3)*((H185-$F$4:$F$515)/$B$10)^3+(1/5)*((H185-$F$4:$F$515)/$B$10)^5+8/15))))/COUNT($F$4:$F$515)</f>
        <v>1.953125E-3</v>
      </c>
      <c r="H185" s="1">
        <f t="shared" si="8"/>
        <v>-0.17002855031216732</v>
      </c>
      <c r="K185" s="2">
        <v>0.01</v>
      </c>
      <c r="L185" s="3">
        <f t="shared" si="6"/>
        <v>-3.8928550312169082E-2</v>
      </c>
    </row>
    <row r="186" spans="4:12" ht="14.4" customHeight="1">
      <c r="D186" s="7">
        <v>42268</v>
      </c>
      <c r="E186" s="8">
        <v>5.2750000000000004</v>
      </c>
      <c r="F186" s="8">
        <f t="shared" si="7"/>
        <v>3.2279530544406902E-3</v>
      </c>
      <c r="G186" s="8" cm="1">
        <f t="array" ref="G186">SUMPRODUCT(IF(((H186-$F$4:$F$515)/$B$10)&lt;=-1,0,IF(((H186-$F$4:$F$515)/$B$10)&gt;=1,1,(15/16)*(((H186-$F$4:$F$515)/$B$10)-(2/3)*((H186-$F$4:$F$515)/$B$10)^3+(1/5)*((H186-$F$4:$F$515)/$B$10)^5+8/15))))/COUNT($F$4:$F$515)</f>
        <v>1.953125E-3</v>
      </c>
      <c r="H186" s="9">
        <f t="shared" si="8"/>
        <v>-0.16972855031216733</v>
      </c>
      <c r="K186" s="7">
        <v>0.01</v>
      </c>
      <c r="L186" s="8">
        <f t="shared" si="6"/>
        <v>-3.8928550312169082E-2</v>
      </c>
    </row>
    <row r="187" spans="4:12" ht="14.4" customHeight="1">
      <c r="D187" s="2">
        <v>42269</v>
      </c>
      <c r="E187" s="3">
        <v>5.0599999999999996</v>
      </c>
      <c r="F187" s="3">
        <f t="shared" si="7"/>
        <v>-4.161219606275611E-2</v>
      </c>
      <c r="G187" s="3" cm="1">
        <f t="array" ref="G187">SUMPRODUCT(IF(((H187-$F$4:$F$515)/$B$10)&lt;=-1,0,IF(((H187-$F$4:$F$515)/$B$10)&gt;=1,1,(15/16)*(((H187-$F$4:$F$515)/$B$10)-(2/3)*((H187-$F$4:$F$515)/$B$10)^3+(1/5)*((H187-$F$4:$F$515)/$B$10)^5+8/15))))/COUNT($F$4:$F$515)</f>
        <v>1.953125E-3</v>
      </c>
      <c r="H187" s="1">
        <f t="shared" si="8"/>
        <v>-0.16942855031216733</v>
      </c>
      <c r="K187" s="2">
        <v>0.01</v>
      </c>
      <c r="L187" s="3">
        <f t="shared" si="6"/>
        <v>-3.8928550312169082E-2</v>
      </c>
    </row>
    <row r="188" spans="4:12" ht="14.4" customHeight="1">
      <c r="D188" s="7">
        <v>42270</v>
      </c>
      <c r="E188" s="8">
        <v>4.9889999999999999</v>
      </c>
      <c r="F188" s="8">
        <f t="shared" si="7"/>
        <v>-1.4130994420473778E-2</v>
      </c>
      <c r="G188" s="8" cm="1">
        <f t="array" ref="G188">SUMPRODUCT(IF(((H188-$F$4:$F$515)/$B$10)&lt;=-1,0,IF(((H188-$F$4:$F$515)/$B$10)&gt;=1,1,(15/16)*(((H188-$F$4:$F$515)/$B$10)-(2/3)*((H188-$F$4:$F$515)/$B$10)^3+(1/5)*((H188-$F$4:$F$515)/$B$10)^5+8/15))))/COUNT($F$4:$F$515)</f>
        <v>1.953125E-3</v>
      </c>
      <c r="H188" s="9">
        <f t="shared" si="8"/>
        <v>-0.16912855031216734</v>
      </c>
      <c r="K188" s="7">
        <v>0.01</v>
      </c>
      <c r="L188" s="8">
        <f t="shared" si="6"/>
        <v>-3.8928550312169082E-2</v>
      </c>
    </row>
    <row r="189" spans="4:12" ht="14.4" customHeight="1">
      <c r="D189" s="2">
        <v>42271</v>
      </c>
      <c r="E189" s="3">
        <v>5.0519999999999996</v>
      </c>
      <c r="F189" s="3">
        <f t="shared" si="7"/>
        <v>1.2548715609344271E-2</v>
      </c>
      <c r="G189" s="3" cm="1">
        <f t="array" ref="G189">SUMPRODUCT(IF(((H189-$F$4:$F$515)/$B$10)&lt;=-1,0,IF(((H189-$F$4:$F$515)/$B$10)&gt;=1,1,(15/16)*(((H189-$F$4:$F$515)/$B$10)-(2/3)*((H189-$F$4:$F$515)/$B$10)^3+(1/5)*((H189-$F$4:$F$515)/$B$10)^5+8/15))))/COUNT($F$4:$F$515)</f>
        <v>1.953125E-3</v>
      </c>
      <c r="H189" s="1">
        <f t="shared" si="8"/>
        <v>-0.16882855031216734</v>
      </c>
      <c r="K189" s="2">
        <v>0.01</v>
      </c>
      <c r="L189" s="3">
        <f t="shared" si="6"/>
        <v>-3.8928550312169082E-2</v>
      </c>
    </row>
    <row r="190" spans="4:12" ht="14.4" customHeight="1">
      <c r="D190" s="7">
        <v>42272</v>
      </c>
      <c r="E190" s="8">
        <v>5.2279999999999998</v>
      </c>
      <c r="F190" s="8">
        <f t="shared" si="7"/>
        <v>3.4244591273730807E-2</v>
      </c>
      <c r="G190" s="8" cm="1">
        <f t="array" ref="G190">SUMPRODUCT(IF(((H190-$F$4:$F$515)/$B$10)&lt;=-1,0,IF(((H190-$F$4:$F$515)/$B$10)&gt;=1,1,(15/16)*(((H190-$F$4:$F$515)/$B$10)-(2/3)*((H190-$F$4:$F$515)/$B$10)^3+(1/5)*((H190-$F$4:$F$515)/$B$10)^5+8/15))))/COUNT($F$4:$F$515)</f>
        <v>1.953125E-3</v>
      </c>
      <c r="H190" s="9">
        <f t="shared" si="8"/>
        <v>-0.16852855031216735</v>
      </c>
      <c r="K190" s="7">
        <v>0.01</v>
      </c>
      <c r="L190" s="8">
        <f t="shared" si="6"/>
        <v>-3.8928550312169082E-2</v>
      </c>
    </row>
    <row r="191" spans="4:12" ht="14.4" customHeight="1">
      <c r="D191" s="2">
        <v>42275</v>
      </c>
      <c r="E191" s="3">
        <v>5.0460000000000003</v>
      </c>
      <c r="F191" s="3">
        <f t="shared" si="7"/>
        <v>-3.5432945543109461E-2</v>
      </c>
      <c r="G191" s="3" cm="1">
        <f t="array" ref="G191">SUMPRODUCT(IF(((H191-$F$4:$F$515)/$B$10)&lt;=-1,0,IF(((H191-$F$4:$F$515)/$B$10)&gt;=1,1,(15/16)*(((H191-$F$4:$F$515)/$B$10)-(2/3)*((H191-$F$4:$F$515)/$B$10)^3+(1/5)*((H191-$F$4:$F$515)/$B$10)^5+8/15))))/COUNT($F$4:$F$515)</f>
        <v>1.953125E-3</v>
      </c>
      <c r="H191" s="1">
        <f t="shared" si="8"/>
        <v>-0.16822855031216735</v>
      </c>
      <c r="K191" s="2">
        <v>0.01</v>
      </c>
      <c r="L191" s="3">
        <f t="shared" si="6"/>
        <v>-3.8928550312169082E-2</v>
      </c>
    </row>
    <row r="192" spans="4:12" ht="14.4" customHeight="1">
      <c r="D192" s="7">
        <v>42276</v>
      </c>
      <c r="E192" s="8">
        <v>4.819</v>
      </c>
      <c r="F192" s="8">
        <f t="shared" si="7"/>
        <v>-4.602941256067037E-2</v>
      </c>
      <c r="G192" s="8" cm="1">
        <f t="array" ref="G192">SUMPRODUCT(IF(((H192-$F$4:$F$515)/$B$10)&lt;=-1,0,IF(((H192-$F$4:$F$515)/$B$10)&gt;=1,1,(15/16)*(((H192-$F$4:$F$515)/$B$10)-(2/3)*((H192-$F$4:$F$515)/$B$10)^3+(1/5)*((H192-$F$4:$F$515)/$B$10)^5+8/15))))/COUNT($F$4:$F$515)</f>
        <v>1.953125E-3</v>
      </c>
      <c r="H192" s="9">
        <f t="shared" si="8"/>
        <v>-0.16792855031216736</v>
      </c>
      <c r="K192" s="7">
        <v>0.01</v>
      </c>
      <c r="L192" s="8">
        <f t="shared" si="6"/>
        <v>-3.8928550312169082E-2</v>
      </c>
    </row>
    <row r="193" spans="4:12" ht="14.4" customHeight="1">
      <c r="D193" s="2">
        <v>42277</v>
      </c>
      <c r="E193" s="3">
        <v>4.9390000000000001</v>
      </c>
      <c r="F193" s="3">
        <f t="shared" si="7"/>
        <v>2.4596443900292135E-2</v>
      </c>
      <c r="G193" s="3" cm="1">
        <f t="array" ref="G193">SUMPRODUCT(IF(((H193-$F$4:$F$515)/$B$10)&lt;=-1,0,IF(((H193-$F$4:$F$515)/$B$10)&gt;=1,1,(15/16)*(((H193-$F$4:$F$515)/$B$10)-(2/3)*((H193-$F$4:$F$515)/$B$10)^3+(1/5)*((H193-$F$4:$F$515)/$B$10)^5+8/15))))/COUNT($F$4:$F$515)</f>
        <v>1.953125E-3</v>
      </c>
      <c r="H193" s="1">
        <f t="shared" si="8"/>
        <v>-0.16762855031216736</v>
      </c>
      <c r="K193" s="2">
        <v>0.01</v>
      </c>
      <c r="L193" s="3">
        <f t="shared" si="6"/>
        <v>-3.8928550312169082E-2</v>
      </c>
    </row>
    <row r="194" spans="4:12" ht="14.4" customHeight="1">
      <c r="D194" s="7">
        <v>42278</v>
      </c>
      <c r="E194" s="8">
        <v>4.9059999999999997</v>
      </c>
      <c r="F194" s="8">
        <f t="shared" si="7"/>
        <v>-6.7039357221903295E-3</v>
      </c>
      <c r="G194" s="8" cm="1">
        <f t="array" ref="G194">SUMPRODUCT(IF(((H194-$F$4:$F$515)/$B$10)&lt;=-1,0,IF(((H194-$F$4:$F$515)/$B$10)&gt;=1,1,(15/16)*(((H194-$F$4:$F$515)/$B$10)-(2/3)*((H194-$F$4:$F$515)/$B$10)^3+(1/5)*((H194-$F$4:$F$515)/$B$10)^5+8/15))))/COUNT($F$4:$F$515)</f>
        <v>1.953125E-3</v>
      </c>
      <c r="H194" s="9">
        <f t="shared" si="8"/>
        <v>-0.16732855031216737</v>
      </c>
      <c r="K194" s="7">
        <v>0.01</v>
      </c>
      <c r="L194" s="8">
        <f t="shared" si="6"/>
        <v>-3.8928550312169082E-2</v>
      </c>
    </row>
    <row r="195" spans="4:12" ht="14.4" customHeight="1">
      <c r="D195" s="2">
        <v>42279</v>
      </c>
      <c r="E195" s="3">
        <v>4.9550000000000001</v>
      </c>
      <c r="F195" s="3">
        <f t="shared" si="7"/>
        <v>9.9382219456537902E-3</v>
      </c>
      <c r="G195" s="3" cm="1">
        <f t="array" ref="G195">SUMPRODUCT(IF(((H195-$F$4:$F$515)/$B$10)&lt;=-1,0,IF(((H195-$F$4:$F$515)/$B$10)&gt;=1,1,(15/16)*(((H195-$F$4:$F$515)/$B$10)-(2/3)*((H195-$F$4:$F$515)/$B$10)^3+(1/5)*((H195-$F$4:$F$515)/$B$10)^5+8/15))))/COUNT($F$4:$F$515)</f>
        <v>1.953125E-3</v>
      </c>
      <c r="H195" s="1">
        <f t="shared" si="8"/>
        <v>-0.16702855031216737</v>
      </c>
      <c r="K195" s="2">
        <v>0.01</v>
      </c>
      <c r="L195" s="3">
        <f t="shared" si="6"/>
        <v>-3.8928550312169082E-2</v>
      </c>
    </row>
    <row r="196" spans="4:12" ht="14.4" customHeight="1">
      <c r="D196" s="7">
        <v>42282</v>
      </c>
      <c r="E196" s="8">
        <v>5.1079999999999997</v>
      </c>
      <c r="F196" s="8">
        <f t="shared" si="7"/>
        <v>3.0410770388341422E-2</v>
      </c>
      <c r="G196" s="8" cm="1">
        <f t="array" ref="G196">SUMPRODUCT(IF(((H196-$F$4:$F$515)/$B$10)&lt;=-1,0,IF(((H196-$F$4:$F$515)/$B$10)&gt;=1,1,(15/16)*(((H196-$F$4:$F$515)/$B$10)-(2/3)*((H196-$F$4:$F$515)/$B$10)^3+(1/5)*((H196-$F$4:$F$515)/$B$10)^5+8/15))))/COUNT($F$4:$F$515)</f>
        <v>1.953125E-3</v>
      </c>
      <c r="H196" s="9">
        <f t="shared" si="8"/>
        <v>-0.16672855031216738</v>
      </c>
      <c r="K196" s="7">
        <v>0.01</v>
      </c>
      <c r="L196" s="8">
        <f t="shared" ref="L196:L259" si="9">$B$7</f>
        <v>-3.8928550312169082E-2</v>
      </c>
    </row>
    <row r="197" spans="4:12" ht="14.4" customHeight="1">
      <c r="D197" s="2">
        <v>42283</v>
      </c>
      <c r="E197" s="3">
        <v>5.3120000000000003</v>
      </c>
      <c r="F197" s="3">
        <f t="shared" ref="F197:F260" si="10">LN(E197/E196)</f>
        <v>3.9160474003839894E-2</v>
      </c>
      <c r="G197" s="3" cm="1">
        <f t="array" ref="G197">SUMPRODUCT(IF(((H197-$F$4:$F$515)/$B$10)&lt;=-1,0,IF(((H197-$F$4:$F$515)/$B$10)&gt;=1,1,(15/16)*(((H197-$F$4:$F$515)/$B$10)-(2/3)*((H197-$F$4:$F$515)/$B$10)^3+(1/5)*((H197-$F$4:$F$515)/$B$10)^5+8/15))))/COUNT($F$4:$F$515)</f>
        <v>1.953125E-3</v>
      </c>
      <c r="H197" s="1">
        <f t="shared" ref="H197:H260" si="11">H196+0.0003</f>
        <v>-0.16642855031216738</v>
      </c>
      <c r="K197" s="2">
        <v>0.01</v>
      </c>
      <c r="L197" s="3">
        <f t="shared" si="9"/>
        <v>-3.8928550312169082E-2</v>
      </c>
    </row>
    <row r="198" spans="4:12" ht="14.4" customHeight="1">
      <c r="D198" s="7">
        <v>42284</v>
      </c>
      <c r="E198" s="8">
        <v>5.5419999999999998</v>
      </c>
      <c r="F198" s="8">
        <f t="shared" si="10"/>
        <v>4.2387034266653877E-2</v>
      </c>
      <c r="G198" s="8" cm="1">
        <f t="array" ref="G198">SUMPRODUCT(IF(((H198-$F$4:$F$515)/$B$10)&lt;=-1,0,IF(((H198-$F$4:$F$515)/$B$10)&gt;=1,1,(15/16)*(((H198-$F$4:$F$515)/$B$10)-(2/3)*((H198-$F$4:$F$515)/$B$10)^3+(1/5)*((H198-$F$4:$F$515)/$B$10)^5+8/15))))/COUNT($F$4:$F$515)</f>
        <v>1.953125E-3</v>
      </c>
      <c r="H198" s="9">
        <f t="shared" si="11"/>
        <v>-0.16612855031216739</v>
      </c>
      <c r="K198" s="7">
        <v>0.01</v>
      </c>
      <c r="L198" s="8">
        <f t="shared" si="9"/>
        <v>-3.8928550312169082E-2</v>
      </c>
    </row>
    <row r="199" spans="4:12" ht="14.4" customHeight="1">
      <c r="D199" s="2">
        <v>42285</v>
      </c>
      <c r="E199" s="3">
        <v>5.61</v>
      </c>
      <c r="F199" s="3">
        <f t="shared" si="10"/>
        <v>1.2195273093818425E-2</v>
      </c>
      <c r="G199" s="3" cm="1">
        <f t="array" ref="G199">SUMPRODUCT(IF(((H199-$F$4:$F$515)/$B$10)&lt;=-1,0,IF(((H199-$F$4:$F$515)/$B$10)&gt;=1,1,(15/16)*(((H199-$F$4:$F$515)/$B$10)-(2/3)*((H199-$F$4:$F$515)/$B$10)^3+(1/5)*((H199-$F$4:$F$515)/$B$10)^5+8/15))))/COUNT($F$4:$F$515)</f>
        <v>1.953125E-3</v>
      </c>
      <c r="H199" s="1">
        <f t="shared" si="11"/>
        <v>-0.16582855031216739</v>
      </c>
      <c r="K199" s="2">
        <v>0.01</v>
      </c>
      <c r="L199" s="3">
        <f t="shared" si="9"/>
        <v>-3.8928550312169082E-2</v>
      </c>
    </row>
    <row r="200" spans="4:12" ht="14.4" customHeight="1">
      <c r="D200" s="7">
        <v>42286</v>
      </c>
      <c r="E200" s="8">
        <v>5.6740000000000004</v>
      </c>
      <c r="F200" s="8">
        <f t="shared" si="10"/>
        <v>1.1343616852054718E-2</v>
      </c>
      <c r="G200" s="8" cm="1">
        <f t="array" ref="G200">SUMPRODUCT(IF(((H200-$F$4:$F$515)/$B$10)&lt;=-1,0,IF(((H200-$F$4:$F$515)/$B$10)&gt;=1,1,(15/16)*(((H200-$F$4:$F$515)/$B$10)-(2/3)*((H200-$F$4:$F$515)/$B$10)^3+(1/5)*((H200-$F$4:$F$515)/$B$10)^5+8/15))))/COUNT($F$4:$F$515)</f>
        <v>1.953125E-3</v>
      </c>
      <c r="H200" s="9">
        <f t="shared" si="11"/>
        <v>-0.1655285503121674</v>
      </c>
      <c r="K200" s="7">
        <v>0.01</v>
      </c>
      <c r="L200" s="8">
        <f t="shared" si="9"/>
        <v>-3.8928550312169082E-2</v>
      </c>
    </row>
    <row r="201" spans="4:12" ht="14.4" customHeight="1">
      <c r="D201" s="2">
        <v>42289</v>
      </c>
      <c r="E201" s="3">
        <v>5.5469999999999997</v>
      </c>
      <c r="F201" s="3">
        <f t="shared" si="10"/>
        <v>-2.263709531356228E-2</v>
      </c>
      <c r="G201" s="3" cm="1">
        <f t="array" ref="G201">SUMPRODUCT(IF(((H201-$F$4:$F$515)/$B$10)&lt;=-1,0,IF(((H201-$F$4:$F$515)/$B$10)&gt;=1,1,(15/16)*(((H201-$F$4:$F$515)/$B$10)-(2/3)*((H201-$F$4:$F$515)/$B$10)^3+(1/5)*((H201-$F$4:$F$515)/$B$10)^5+8/15))))/COUNT($F$4:$F$515)</f>
        <v>1.953125E-3</v>
      </c>
      <c r="H201" s="1">
        <f t="shared" si="11"/>
        <v>-0.1652285503121674</v>
      </c>
      <c r="K201" s="2">
        <v>0.01</v>
      </c>
      <c r="L201" s="3">
        <f t="shared" si="9"/>
        <v>-3.8928550312169082E-2</v>
      </c>
    </row>
    <row r="202" spans="4:12" ht="14.4" customHeight="1">
      <c r="D202" s="7">
        <v>42290</v>
      </c>
      <c r="E202" s="8">
        <v>5.4589999999999996</v>
      </c>
      <c r="F202" s="8">
        <f t="shared" si="10"/>
        <v>-1.5991618273476938E-2</v>
      </c>
      <c r="G202" s="8" cm="1">
        <f t="array" ref="G202">SUMPRODUCT(IF(((H202-$F$4:$F$515)/$B$10)&lt;=-1,0,IF(((H202-$F$4:$F$515)/$B$10)&gt;=1,1,(15/16)*(((H202-$F$4:$F$515)/$B$10)-(2/3)*((H202-$F$4:$F$515)/$B$10)^3+(1/5)*((H202-$F$4:$F$515)/$B$10)^5+8/15))))/COUNT($F$4:$F$515)</f>
        <v>1.953125E-3</v>
      </c>
      <c r="H202" s="9">
        <f t="shared" si="11"/>
        <v>-0.16492855031216741</v>
      </c>
      <c r="K202" s="7">
        <v>0.01</v>
      </c>
      <c r="L202" s="8">
        <f t="shared" si="9"/>
        <v>-3.8928550312169082E-2</v>
      </c>
    </row>
    <row r="203" spans="4:12" ht="14.4" customHeight="1">
      <c r="D203" s="2">
        <v>42291</v>
      </c>
      <c r="E203" s="3">
        <v>5.4089999999999998</v>
      </c>
      <c r="F203" s="3">
        <f t="shared" si="10"/>
        <v>-9.2013899103306433E-3</v>
      </c>
      <c r="G203" s="3" cm="1">
        <f t="array" ref="G203">SUMPRODUCT(IF(((H203-$F$4:$F$515)/$B$10)&lt;=-1,0,IF(((H203-$F$4:$F$515)/$B$10)&gt;=1,1,(15/16)*(((H203-$F$4:$F$515)/$B$10)-(2/3)*((H203-$F$4:$F$515)/$B$10)^3+(1/5)*((H203-$F$4:$F$515)/$B$10)^5+8/15))))/COUNT($F$4:$F$515)</f>
        <v>1.953125E-3</v>
      </c>
      <c r="H203" s="1">
        <f t="shared" si="11"/>
        <v>-0.16462855031216742</v>
      </c>
      <c r="K203" s="2">
        <v>0.01</v>
      </c>
      <c r="L203" s="3">
        <f t="shared" si="9"/>
        <v>-3.8928550312169082E-2</v>
      </c>
    </row>
    <row r="204" spans="4:12" ht="14.4" customHeight="1">
      <c r="D204" s="7">
        <v>42292</v>
      </c>
      <c r="E204" s="8">
        <v>5.4189999999999996</v>
      </c>
      <c r="F204" s="8">
        <f t="shared" si="10"/>
        <v>1.8470636946871703E-3</v>
      </c>
      <c r="G204" s="8" cm="1">
        <f t="array" ref="G204">SUMPRODUCT(IF(((H204-$F$4:$F$515)/$B$10)&lt;=-1,0,IF(((H204-$F$4:$F$515)/$B$10)&gt;=1,1,(15/16)*(((H204-$F$4:$F$515)/$B$10)-(2/3)*((H204-$F$4:$F$515)/$B$10)^3+(1/5)*((H204-$F$4:$F$515)/$B$10)^5+8/15))))/COUNT($F$4:$F$515)</f>
        <v>1.953125E-3</v>
      </c>
      <c r="H204" s="9">
        <f t="shared" si="11"/>
        <v>-0.16432855031216742</v>
      </c>
      <c r="K204" s="7">
        <v>0.01</v>
      </c>
      <c r="L204" s="8">
        <f t="shared" si="9"/>
        <v>-3.8928550312169082E-2</v>
      </c>
    </row>
    <row r="205" spans="4:12" ht="14.4" customHeight="1">
      <c r="D205" s="2">
        <v>42293</v>
      </c>
      <c r="E205" s="3">
        <v>5.52</v>
      </c>
      <c r="F205" s="3">
        <f t="shared" si="10"/>
        <v>1.8466563705026768E-2</v>
      </c>
      <c r="G205" s="3" cm="1">
        <f t="array" ref="G205">SUMPRODUCT(IF(((H205-$F$4:$F$515)/$B$10)&lt;=-1,0,IF(((H205-$F$4:$F$515)/$B$10)&gt;=1,1,(15/16)*(((H205-$F$4:$F$515)/$B$10)-(2/3)*((H205-$F$4:$F$515)/$B$10)^3+(1/5)*((H205-$F$4:$F$515)/$B$10)^5+8/15))))/COUNT($F$4:$F$515)</f>
        <v>1.953125E-3</v>
      </c>
      <c r="H205" s="1">
        <f t="shared" si="11"/>
        <v>-0.16402855031216743</v>
      </c>
      <c r="K205" s="2">
        <v>0.01</v>
      </c>
      <c r="L205" s="3">
        <f t="shared" si="9"/>
        <v>-3.8928550312169082E-2</v>
      </c>
    </row>
    <row r="206" spans="4:12" ht="14.4" customHeight="1">
      <c r="D206" s="7">
        <v>42296</v>
      </c>
      <c r="E206" s="8">
        <v>5.5090000000000003</v>
      </c>
      <c r="F206" s="8">
        <f t="shared" si="10"/>
        <v>-1.9947417984243487E-3</v>
      </c>
      <c r="G206" s="8" cm="1">
        <f t="array" ref="G206">SUMPRODUCT(IF(((H206-$F$4:$F$515)/$B$10)&lt;=-1,0,IF(((H206-$F$4:$F$515)/$B$10)&gt;=1,1,(15/16)*(((H206-$F$4:$F$515)/$B$10)-(2/3)*((H206-$F$4:$F$515)/$B$10)^3+(1/5)*((H206-$F$4:$F$515)/$B$10)^5+8/15))))/COUNT($F$4:$F$515)</f>
        <v>1.953125E-3</v>
      </c>
      <c r="H206" s="9">
        <f t="shared" si="11"/>
        <v>-0.16372855031216743</v>
      </c>
      <c r="K206" s="7">
        <v>0.01</v>
      </c>
      <c r="L206" s="8">
        <f t="shared" si="9"/>
        <v>-3.8928550312169082E-2</v>
      </c>
    </row>
    <row r="207" spans="4:12" ht="14.4" customHeight="1">
      <c r="D207" s="2">
        <v>42297</v>
      </c>
      <c r="E207" s="3">
        <v>5.3970000000000002</v>
      </c>
      <c r="F207" s="3">
        <f t="shared" si="10"/>
        <v>-2.0539874854073801E-2</v>
      </c>
      <c r="G207" s="3" cm="1">
        <f t="array" ref="G207">SUMPRODUCT(IF(((H207-$F$4:$F$515)/$B$10)&lt;=-1,0,IF(((H207-$F$4:$F$515)/$B$10)&gt;=1,1,(15/16)*(((H207-$F$4:$F$515)/$B$10)-(2/3)*((H207-$F$4:$F$515)/$B$10)^3+(1/5)*((H207-$F$4:$F$515)/$B$10)^5+8/15))))/COUNT($F$4:$F$515)</f>
        <v>1.953125E-3</v>
      </c>
      <c r="H207" s="1">
        <f t="shared" si="11"/>
        <v>-0.16342855031216744</v>
      </c>
      <c r="K207" s="2">
        <v>0.01</v>
      </c>
      <c r="L207" s="3">
        <f t="shared" si="9"/>
        <v>-3.8928550312169082E-2</v>
      </c>
    </row>
    <row r="208" spans="4:12" ht="14.4" customHeight="1">
      <c r="D208" s="7">
        <v>42298</v>
      </c>
      <c r="E208" s="8">
        <v>5.3860000000000001</v>
      </c>
      <c r="F208" s="8">
        <f t="shared" si="10"/>
        <v>-2.0402492470985695E-3</v>
      </c>
      <c r="G208" s="8" cm="1">
        <f t="array" ref="G208">SUMPRODUCT(IF(((H208-$F$4:$F$515)/$B$10)&lt;=-1,0,IF(((H208-$F$4:$F$515)/$B$10)&gt;=1,1,(15/16)*(((H208-$F$4:$F$515)/$B$10)-(2/3)*((H208-$F$4:$F$515)/$B$10)^3+(1/5)*((H208-$F$4:$F$515)/$B$10)^5+8/15))))/COUNT($F$4:$F$515)</f>
        <v>1.953125E-3</v>
      </c>
      <c r="H208" s="9">
        <f t="shared" si="11"/>
        <v>-0.16312855031216744</v>
      </c>
      <c r="K208" s="7">
        <v>0.01</v>
      </c>
      <c r="L208" s="8">
        <f t="shared" si="9"/>
        <v>-3.8928550312169082E-2</v>
      </c>
    </row>
    <row r="209" spans="4:12" ht="14.4" customHeight="1">
      <c r="D209" s="2">
        <v>42299</v>
      </c>
      <c r="E209" s="3">
        <v>5.4690000000000003</v>
      </c>
      <c r="F209" s="3">
        <f t="shared" si="10"/>
        <v>1.529278997522851E-2</v>
      </c>
      <c r="G209" s="3" cm="1">
        <f t="array" ref="G209">SUMPRODUCT(IF(((H209-$F$4:$F$515)/$B$10)&lt;=-1,0,IF(((H209-$F$4:$F$515)/$B$10)&gt;=1,1,(15/16)*(((H209-$F$4:$F$515)/$B$10)-(2/3)*((H209-$F$4:$F$515)/$B$10)^3+(1/5)*((H209-$F$4:$F$515)/$B$10)^5+8/15))))/COUNT($F$4:$F$515)</f>
        <v>1.953125E-3</v>
      </c>
      <c r="H209" s="1">
        <f t="shared" si="11"/>
        <v>-0.16282855031216745</v>
      </c>
      <c r="K209" s="2">
        <v>0.01</v>
      </c>
      <c r="L209" s="3">
        <f t="shared" si="9"/>
        <v>-3.8928550312169082E-2</v>
      </c>
    </row>
    <row r="210" spans="4:12" ht="14.4" customHeight="1">
      <c r="D210" s="7">
        <v>42300</v>
      </c>
      <c r="E210" s="8">
        <v>5.6379999999999999</v>
      </c>
      <c r="F210" s="8">
        <f t="shared" si="10"/>
        <v>3.0433608327284988E-2</v>
      </c>
      <c r="G210" s="8" cm="1">
        <f t="array" ref="G210">SUMPRODUCT(IF(((H210-$F$4:$F$515)/$B$10)&lt;=-1,0,IF(((H210-$F$4:$F$515)/$B$10)&gt;=1,1,(15/16)*(((H210-$F$4:$F$515)/$B$10)-(2/3)*((H210-$F$4:$F$515)/$B$10)^3+(1/5)*((H210-$F$4:$F$515)/$B$10)^5+8/15))))/COUNT($F$4:$F$515)</f>
        <v>1.953125E-3</v>
      </c>
      <c r="H210" s="9">
        <f t="shared" si="11"/>
        <v>-0.16252855031216745</v>
      </c>
      <c r="K210" s="7">
        <v>0.01</v>
      </c>
      <c r="L210" s="8">
        <f t="shared" si="9"/>
        <v>-3.8928550312169082E-2</v>
      </c>
    </row>
    <row r="211" spans="4:12" ht="14.4" customHeight="1">
      <c r="D211" s="2">
        <v>42303</v>
      </c>
      <c r="E211" s="3">
        <v>5.6070000000000002</v>
      </c>
      <c r="F211" s="3">
        <f t="shared" si="10"/>
        <v>-5.5135755503852987E-3</v>
      </c>
      <c r="G211" s="3" cm="1">
        <f t="array" ref="G211">SUMPRODUCT(IF(((H211-$F$4:$F$515)/$B$10)&lt;=-1,0,IF(((H211-$F$4:$F$515)/$B$10)&gt;=1,1,(15/16)*(((H211-$F$4:$F$515)/$B$10)-(2/3)*((H211-$F$4:$F$515)/$B$10)^3+(1/5)*((H211-$F$4:$F$515)/$B$10)^5+8/15))))/COUNT($F$4:$F$515)</f>
        <v>1.953125E-3</v>
      </c>
      <c r="H211" s="1">
        <f t="shared" si="11"/>
        <v>-0.16222855031216746</v>
      </c>
      <c r="K211" s="2">
        <v>0.01</v>
      </c>
      <c r="L211" s="3">
        <f t="shared" si="9"/>
        <v>-3.8928550312169082E-2</v>
      </c>
    </row>
    <row r="212" spans="4:12" ht="14.4" customHeight="1">
      <c r="D212" s="7">
        <v>42304</v>
      </c>
      <c r="E212" s="8">
        <v>5.5789999999999997</v>
      </c>
      <c r="F212" s="8">
        <f t="shared" si="10"/>
        <v>-5.0062682781443057E-3</v>
      </c>
      <c r="G212" s="8" cm="1">
        <f t="array" ref="G212">SUMPRODUCT(IF(((H212-$F$4:$F$515)/$B$10)&lt;=-1,0,IF(((H212-$F$4:$F$515)/$B$10)&gt;=1,1,(15/16)*(((H212-$F$4:$F$515)/$B$10)-(2/3)*((H212-$F$4:$F$515)/$B$10)^3+(1/5)*((H212-$F$4:$F$515)/$B$10)^5+8/15))))/COUNT($F$4:$F$515)</f>
        <v>1.953125E-3</v>
      </c>
      <c r="H212" s="9">
        <f t="shared" si="11"/>
        <v>-0.16192855031216746</v>
      </c>
      <c r="K212" s="7">
        <v>0.01</v>
      </c>
      <c r="L212" s="8">
        <f t="shared" si="9"/>
        <v>-3.8928550312169082E-2</v>
      </c>
    </row>
    <row r="213" spans="4:12" ht="14.4" customHeight="1">
      <c r="D213" s="2">
        <v>42305</v>
      </c>
      <c r="E213" s="3">
        <v>5.601</v>
      </c>
      <c r="F213" s="3">
        <f t="shared" si="10"/>
        <v>3.9356043643040397E-3</v>
      </c>
      <c r="G213" s="3" cm="1">
        <f t="array" ref="G213">SUMPRODUCT(IF(((H213-$F$4:$F$515)/$B$10)&lt;=-1,0,IF(((H213-$F$4:$F$515)/$B$10)&gt;=1,1,(15/16)*(((H213-$F$4:$F$515)/$B$10)-(2/3)*((H213-$F$4:$F$515)/$B$10)^3+(1/5)*((H213-$F$4:$F$515)/$B$10)^5+8/15))))/COUNT($F$4:$F$515)</f>
        <v>1.953125E-3</v>
      </c>
      <c r="H213" s="1">
        <f t="shared" si="11"/>
        <v>-0.16162855031216747</v>
      </c>
      <c r="K213" s="2">
        <v>0.01</v>
      </c>
      <c r="L213" s="3">
        <f t="shared" si="9"/>
        <v>-3.8928550312169082E-2</v>
      </c>
    </row>
    <row r="214" spans="4:12" ht="14.4" customHeight="1">
      <c r="D214" s="7">
        <v>42306</v>
      </c>
      <c r="E214" s="8">
        <v>5.508</v>
      </c>
      <c r="F214" s="8">
        <f t="shared" si="10"/>
        <v>-1.6743572361286884E-2</v>
      </c>
      <c r="G214" s="8" cm="1">
        <f t="array" ref="G214">SUMPRODUCT(IF(((H214-$F$4:$F$515)/$B$10)&lt;=-1,0,IF(((H214-$F$4:$F$515)/$B$10)&gt;=1,1,(15/16)*(((H214-$F$4:$F$515)/$B$10)-(2/3)*((H214-$F$4:$F$515)/$B$10)^3+(1/5)*((H214-$F$4:$F$515)/$B$10)^5+8/15))))/COUNT($F$4:$F$515)</f>
        <v>1.953125E-3</v>
      </c>
      <c r="H214" s="9">
        <f t="shared" si="11"/>
        <v>-0.16132855031216747</v>
      </c>
      <c r="K214" s="7">
        <v>0.01</v>
      </c>
      <c r="L214" s="8">
        <f t="shared" si="9"/>
        <v>-3.8928550312169082E-2</v>
      </c>
    </row>
    <row r="215" spans="4:12" ht="14.4" customHeight="1">
      <c r="D215" s="2">
        <v>42307</v>
      </c>
      <c r="E215" s="3">
        <v>5.58</v>
      </c>
      <c r="F215" s="3">
        <f t="shared" si="10"/>
        <v>1.2987195526811112E-2</v>
      </c>
      <c r="G215" s="3" cm="1">
        <f t="array" ref="G215">SUMPRODUCT(IF(((H215-$F$4:$F$515)/$B$10)&lt;=-1,0,IF(((H215-$F$4:$F$515)/$B$10)&gt;=1,1,(15/16)*(((H215-$F$4:$F$515)/$B$10)-(2/3)*((H215-$F$4:$F$515)/$B$10)^3+(1/5)*((H215-$F$4:$F$515)/$B$10)^5+8/15))))/COUNT($F$4:$F$515)</f>
        <v>1.953125E-3</v>
      </c>
      <c r="H215" s="1">
        <f t="shared" si="11"/>
        <v>-0.16102855031216748</v>
      </c>
      <c r="K215" s="2">
        <v>0.01</v>
      </c>
      <c r="L215" s="3">
        <f t="shared" si="9"/>
        <v>-3.8928550312169082E-2</v>
      </c>
    </row>
    <row r="216" spans="4:12" ht="14.4" customHeight="1">
      <c r="D216" s="7">
        <v>42310</v>
      </c>
      <c r="E216" s="8">
        <v>5.53</v>
      </c>
      <c r="F216" s="8">
        <f t="shared" si="10"/>
        <v>-9.0009608589760558E-3</v>
      </c>
      <c r="G216" s="8" cm="1">
        <f t="array" ref="G216">SUMPRODUCT(IF(((H216-$F$4:$F$515)/$B$10)&lt;=-1,0,IF(((H216-$F$4:$F$515)/$B$10)&gt;=1,1,(15/16)*(((H216-$F$4:$F$515)/$B$10)-(2/3)*((H216-$F$4:$F$515)/$B$10)^3+(1/5)*((H216-$F$4:$F$515)/$B$10)^5+8/15))))/COUNT($F$4:$F$515)</f>
        <v>1.953125E-3</v>
      </c>
      <c r="H216" s="9">
        <f t="shared" si="11"/>
        <v>-0.16072855031216748</v>
      </c>
      <c r="K216" s="7">
        <v>0.01</v>
      </c>
      <c r="L216" s="8">
        <f t="shared" si="9"/>
        <v>-3.8928550312169082E-2</v>
      </c>
    </row>
    <row r="217" spans="4:12" ht="14.4" customHeight="1">
      <c r="D217" s="2">
        <v>42311</v>
      </c>
      <c r="E217" s="3">
        <v>5.476</v>
      </c>
      <c r="F217" s="3">
        <f t="shared" si="10"/>
        <v>-9.8129081080410435E-3</v>
      </c>
      <c r="G217" s="3" cm="1">
        <f t="array" ref="G217">SUMPRODUCT(IF(((H217-$F$4:$F$515)/$B$10)&lt;=-1,0,IF(((H217-$F$4:$F$515)/$B$10)&gt;=1,1,(15/16)*(((H217-$F$4:$F$515)/$B$10)-(2/3)*((H217-$F$4:$F$515)/$B$10)^3+(1/5)*((H217-$F$4:$F$515)/$B$10)^5+8/15))))/COUNT($F$4:$F$515)</f>
        <v>1.953125E-3</v>
      </c>
      <c r="H217" s="1">
        <f t="shared" si="11"/>
        <v>-0.16042855031216749</v>
      </c>
      <c r="K217" s="2">
        <v>0.01</v>
      </c>
      <c r="L217" s="3">
        <f t="shared" si="9"/>
        <v>-3.8928550312169082E-2</v>
      </c>
    </row>
    <row r="218" spans="4:12" ht="14.4" customHeight="1">
      <c r="D218" s="7">
        <v>42312</v>
      </c>
      <c r="E218" s="8">
        <v>5.5090000000000003</v>
      </c>
      <c r="F218" s="8">
        <f t="shared" si="10"/>
        <v>6.0082110643770916E-3</v>
      </c>
      <c r="G218" s="8" cm="1">
        <f t="array" ref="G218">SUMPRODUCT(IF(((H218-$F$4:$F$515)/$B$10)&lt;=-1,0,IF(((H218-$F$4:$F$515)/$B$10)&gt;=1,1,(15/16)*(((H218-$F$4:$F$515)/$B$10)-(2/3)*((H218-$F$4:$F$515)/$B$10)^3+(1/5)*((H218-$F$4:$F$515)/$B$10)^5+8/15))))/COUNT($F$4:$F$515)</f>
        <v>1.953125E-3</v>
      </c>
      <c r="H218" s="9">
        <f t="shared" si="11"/>
        <v>-0.16012855031216749</v>
      </c>
      <c r="K218" s="7">
        <v>0.01</v>
      </c>
      <c r="L218" s="8">
        <f t="shared" si="9"/>
        <v>-3.8928550312169082E-2</v>
      </c>
    </row>
    <row r="219" spans="4:12" ht="14.4" customHeight="1">
      <c r="D219" s="2">
        <v>42313</v>
      </c>
      <c r="E219" s="3">
        <v>5.7930000000000001</v>
      </c>
      <c r="F219" s="3">
        <f t="shared" si="10"/>
        <v>5.0267173623907584E-2</v>
      </c>
      <c r="G219" s="3" cm="1">
        <f t="array" ref="G219">SUMPRODUCT(IF(((H219-$F$4:$F$515)/$B$10)&lt;=-1,0,IF(((H219-$F$4:$F$515)/$B$10)&gt;=1,1,(15/16)*(((H219-$F$4:$F$515)/$B$10)-(2/3)*((H219-$F$4:$F$515)/$B$10)^3+(1/5)*((H219-$F$4:$F$515)/$B$10)^5+8/15))))/COUNT($F$4:$F$515)</f>
        <v>1.953125E-3</v>
      </c>
      <c r="H219" s="1">
        <f t="shared" si="11"/>
        <v>-0.1598285503121675</v>
      </c>
      <c r="K219" s="2">
        <v>0.01</v>
      </c>
      <c r="L219" s="3">
        <f t="shared" si="9"/>
        <v>-3.8928550312169082E-2</v>
      </c>
    </row>
    <row r="220" spans="4:12" ht="14.4" customHeight="1">
      <c r="D220" s="7">
        <v>42314</v>
      </c>
      <c r="E220" s="8">
        <v>5.9370000000000003</v>
      </c>
      <c r="F220" s="8">
        <f t="shared" si="10"/>
        <v>2.4553663174051277E-2</v>
      </c>
      <c r="G220" s="8" cm="1">
        <f t="array" ref="G220">SUMPRODUCT(IF(((H220-$F$4:$F$515)/$B$10)&lt;=-1,0,IF(((H220-$F$4:$F$515)/$B$10)&gt;=1,1,(15/16)*(((H220-$F$4:$F$515)/$B$10)-(2/3)*((H220-$F$4:$F$515)/$B$10)^3+(1/5)*((H220-$F$4:$F$515)/$B$10)^5+8/15))))/COUNT($F$4:$F$515)</f>
        <v>1.953125E-3</v>
      </c>
      <c r="H220" s="9">
        <f t="shared" si="11"/>
        <v>-0.15952855031216751</v>
      </c>
      <c r="K220" s="7">
        <v>0.01</v>
      </c>
      <c r="L220" s="8">
        <f t="shared" si="9"/>
        <v>-3.8928550312169082E-2</v>
      </c>
    </row>
    <row r="221" spans="4:12" ht="14.4" customHeight="1">
      <c r="D221" s="2">
        <v>42317</v>
      </c>
      <c r="E221" s="3">
        <v>5.8120000000000003</v>
      </c>
      <c r="F221" s="3">
        <f t="shared" si="10"/>
        <v>-2.1279209580501939E-2</v>
      </c>
      <c r="G221" s="3" cm="1">
        <f t="array" ref="G221">SUMPRODUCT(IF(((H221-$F$4:$F$515)/$B$10)&lt;=-1,0,IF(((H221-$F$4:$F$515)/$B$10)&gt;=1,1,(15/16)*(((H221-$F$4:$F$515)/$B$10)-(2/3)*((H221-$F$4:$F$515)/$B$10)^3+(1/5)*((H221-$F$4:$F$515)/$B$10)^5+8/15))))/COUNT($F$4:$F$515)</f>
        <v>1.953125E-3</v>
      </c>
      <c r="H221" s="1">
        <f t="shared" si="11"/>
        <v>-0.15922855031216751</v>
      </c>
      <c r="K221" s="2">
        <v>0.01</v>
      </c>
      <c r="L221" s="3">
        <f t="shared" si="9"/>
        <v>-3.8928550312169082E-2</v>
      </c>
    </row>
    <row r="222" spans="4:12" ht="14.4" customHeight="1">
      <c r="D222" s="7">
        <v>42318</v>
      </c>
      <c r="E222" s="8">
        <v>5.7640000000000002</v>
      </c>
      <c r="F222" s="8">
        <f t="shared" si="10"/>
        <v>-8.2930675707608339E-3</v>
      </c>
      <c r="G222" s="8" cm="1">
        <f t="array" ref="G222">SUMPRODUCT(IF(((H222-$F$4:$F$515)/$B$10)&lt;=-1,0,IF(((H222-$F$4:$F$515)/$B$10)&gt;=1,1,(15/16)*(((H222-$F$4:$F$515)/$B$10)-(2/3)*((H222-$F$4:$F$515)/$B$10)^3+(1/5)*((H222-$F$4:$F$515)/$B$10)^5+8/15))))/COUNT($F$4:$F$515)</f>
        <v>1.953125E-3</v>
      </c>
      <c r="H222" s="9">
        <f t="shared" si="11"/>
        <v>-0.15892855031216752</v>
      </c>
      <c r="K222" s="7">
        <v>0.01</v>
      </c>
      <c r="L222" s="8">
        <f t="shared" si="9"/>
        <v>-3.8928550312169082E-2</v>
      </c>
    </row>
    <row r="223" spans="4:12" ht="14.4" customHeight="1">
      <c r="D223" s="2">
        <v>42319</v>
      </c>
      <c r="E223" s="3">
        <v>5.8609999999999998</v>
      </c>
      <c r="F223" s="3">
        <f t="shared" si="10"/>
        <v>1.6688559357016516E-2</v>
      </c>
      <c r="G223" s="3" cm="1">
        <f t="array" ref="G223">SUMPRODUCT(IF(((H223-$F$4:$F$515)/$B$10)&lt;=-1,0,IF(((H223-$F$4:$F$515)/$B$10)&gt;=1,1,(15/16)*(((H223-$F$4:$F$515)/$B$10)-(2/3)*((H223-$F$4:$F$515)/$B$10)^3+(1/5)*((H223-$F$4:$F$515)/$B$10)^5+8/15))))/COUNT($F$4:$F$515)</f>
        <v>1.953125E-3</v>
      </c>
      <c r="H223" s="1">
        <f t="shared" si="11"/>
        <v>-0.15862855031216752</v>
      </c>
      <c r="K223" s="2">
        <v>0.01</v>
      </c>
      <c r="L223" s="3">
        <f t="shared" si="9"/>
        <v>-3.8928550312169082E-2</v>
      </c>
    </row>
    <row r="224" spans="4:12" ht="14.4" customHeight="1">
      <c r="D224" s="7">
        <v>42320</v>
      </c>
      <c r="E224" s="8">
        <v>5.7039999999999997</v>
      </c>
      <c r="F224" s="8">
        <f t="shared" si="10"/>
        <v>-2.7152554382297425E-2</v>
      </c>
      <c r="G224" s="8" cm="1">
        <f t="array" ref="G224">SUMPRODUCT(IF(((H224-$F$4:$F$515)/$B$10)&lt;=-1,0,IF(((H224-$F$4:$F$515)/$B$10)&gt;=1,1,(15/16)*(((H224-$F$4:$F$515)/$B$10)-(2/3)*((H224-$F$4:$F$515)/$B$10)^3+(1/5)*((H224-$F$4:$F$515)/$B$10)^5+8/15))))/COUNT($F$4:$F$515)</f>
        <v>1.953125E-3</v>
      </c>
      <c r="H224" s="9">
        <f t="shared" si="11"/>
        <v>-0.15832855031216753</v>
      </c>
      <c r="K224" s="7">
        <v>0.01</v>
      </c>
      <c r="L224" s="8">
        <f t="shared" si="9"/>
        <v>-3.8928550312169082E-2</v>
      </c>
    </row>
    <row r="225" spans="4:12" ht="14.4" customHeight="1">
      <c r="D225" s="2">
        <v>42321</v>
      </c>
      <c r="E225" s="3">
        <v>5.6639999999999997</v>
      </c>
      <c r="F225" s="3">
        <f t="shared" si="10"/>
        <v>-7.0373267205762037E-3</v>
      </c>
      <c r="G225" s="3" cm="1">
        <f t="array" ref="G225">SUMPRODUCT(IF(((H225-$F$4:$F$515)/$B$10)&lt;=-1,0,IF(((H225-$F$4:$F$515)/$B$10)&gt;=1,1,(15/16)*(((H225-$F$4:$F$515)/$B$10)-(2/3)*((H225-$F$4:$F$515)/$B$10)^3+(1/5)*((H225-$F$4:$F$515)/$B$10)^5+8/15))))/COUNT($F$4:$F$515)</f>
        <v>1.953125E-3</v>
      </c>
      <c r="H225" s="1">
        <f t="shared" si="11"/>
        <v>-0.15802855031216753</v>
      </c>
      <c r="K225" s="2">
        <v>0.01</v>
      </c>
      <c r="L225" s="3">
        <f t="shared" si="9"/>
        <v>-3.8928550312169082E-2</v>
      </c>
    </row>
    <row r="226" spans="4:12" ht="14.4" customHeight="1">
      <c r="D226" s="7">
        <v>42324</v>
      </c>
      <c r="E226" s="8">
        <v>5.6050000000000004</v>
      </c>
      <c r="F226" s="8">
        <f t="shared" si="10"/>
        <v>-1.0471299867295255E-2</v>
      </c>
      <c r="G226" s="8" cm="1">
        <f t="array" ref="G226">SUMPRODUCT(IF(((H226-$F$4:$F$515)/$B$10)&lt;=-1,0,IF(((H226-$F$4:$F$515)/$B$10)&gt;=1,1,(15/16)*(((H226-$F$4:$F$515)/$B$10)-(2/3)*((H226-$F$4:$F$515)/$B$10)^3+(1/5)*((H226-$F$4:$F$515)/$B$10)^5+8/15))))/COUNT($F$4:$F$515)</f>
        <v>1.953125E-3</v>
      </c>
      <c r="H226" s="9">
        <f t="shared" si="11"/>
        <v>-0.15772855031216754</v>
      </c>
      <c r="K226" s="7">
        <v>0.01</v>
      </c>
      <c r="L226" s="8">
        <f t="shared" si="9"/>
        <v>-3.8928550312169082E-2</v>
      </c>
    </row>
    <row r="227" spans="4:12" ht="14.4" customHeight="1">
      <c r="D227" s="2">
        <v>42325</v>
      </c>
      <c r="E227" s="3">
        <v>5.6989999999999998</v>
      </c>
      <c r="F227" s="3">
        <f t="shared" si="10"/>
        <v>1.6631664328739245E-2</v>
      </c>
      <c r="G227" s="3" cm="1">
        <f t="array" ref="G227">SUMPRODUCT(IF(((H227-$F$4:$F$515)/$B$10)&lt;=-1,0,IF(((H227-$F$4:$F$515)/$B$10)&gt;=1,1,(15/16)*(((H227-$F$4:$F$515)/$B$10)-(2/3)*((H227-$F$4:$F$515)/$B$10)^3+(1/5)*((H227-$F$4:$F$515)/$B$10)^5+8/15))))/COUNT($F$4:$F$515)</f>
        <v>1.953125E-3</v>
      </c>
      <c r="H227" s="1">
        <f t="shared" si="11"/>
        <v>-0.15742855031216754</v>
      </c>
      <c r="K227" s="2">
        <v>0.01</v>
      </c>
      <c r="L227" s="3">
        <f t="shared" si="9"/>
        <v>-3.8928550312169082E-2</v>
      </c>
    </row>
    <row r="228" spans="4:12" ht="14.4" customHeight="1">
      <c r="D228" s="7">
        <v>42326</v>
      </c>
      <c r="E228" s="8">
        <v>5.6859999999999999</v>
      </c>
      <c r="F228" s="8">
        <f t="shared" si="10"/>
        <v>-2.2837076240544846E-3</v>
      </c>
      <c r="G228" s="8" cm="1">
        <f t="array" ref="G228">SUMPRODUCT(IF(((H228-$F$4:$F$515)/$B$10)&lt;=-1,0,IF(((H228-$F$4:$F$515)/$B$10)&gt;=1,1,(15/16)*(((H228-$F$4:$F$515)/$B$10)-(2/3)*((H228-$F$4:$F$515)/$B$10)^3+(1/5)*((H228-$F$4:$F$515)/$B$10)^5+8/15))))/COUNT($F$4:$F$515)</f>
        <v>1.953125E-3</v>
      </c>
      <c r="H228" s="9">
        <f t="shared" si="11"/>
        <v>-0.15712855031216755</v>
      </c>
      <c r="K228" s="7">
        <v>0.01</v>
      </c>
      <c r="L228" s="8">
        <f t="shared" si="9"/>
        <v>-3.8928550312169082E-2</v>
      </c>
    </row>
    <row r="229" spans="4:12" ht="14.4" customHeight="1">
      <c r="D229" s="2">
        <v>42327</v>
      </c>
      <c r="E229" s="3">
        <v>5.7640000000000002</v>
      </c>
      <c r="F229" s="3">
        <f t="shared" si="10"/>
        <v>1.3624664908467662E-2</v>
      </c>
      <c r="G229" s="3" cm="1">
        <f t="array" ref="G229">SUMPRODUCT(IF(((H229-$F$4:$F$515)/$B$10)&lt;=-1,0,IF(((H229-$F$4:$F$515)/$B$10)&gt;=1,1,(15/16)*(((H229-$F$4:$F$515)/$B$10)-(2/3)*((H229-$F$4:$F$515)/$B$10)^3+(1/5)*((H229-$F$4:$F$515)/$B$10)^5+8/15))))/COUNT($F$4:$F$515)</f>
        <v>1.953125E-3</v>
      </c>
      <c r="H229" s="1">
        <f t="shared" si="11"/>
        <v>-0.15682855031216755</v>
      </c>
      <c r="K229" s="2">
        <v>0.01</v>
      </c>
      <c r="L229" s="3">
        <f t="shared" si="9"/>
        <v>-3.8928550312169082E-2</v>
      </c>
    </row>
    <row r="230" spans="4:12" ht="14.4" customHeight="1">
      <c r="D230" s="7">
        <v>42328</v>
      </c>
      <c r="E230" s="8">
        <v>5.6</v>
      </c>
      <c r="F230" s="8">
        <f t="shared" si="10"/>
        <v>-2.8865080396172239E-2</v>
      </c>
      <c r="G230" s="8" cm="1">
        <f t="array" ref="G230">SUMPRODUCT(IF(((H230-$F$4:$F$515)/$B$10)&lt;=-1,0,IF(((H230-$F$4:$F$515)/$B$10)&gt;=1,1,(15/16)*(((H230-$F$4:$F$515)/$B$10)-(2/3)*((H230-$F$4:$F$515)/$B$10)^3+(1/5)*((H230-$F$4:$F$515)/$B$10)^5+8/15))))/COUNT($F$4:$F$515)</f>
        <v>1.953125E-3</v>
      </c>
      <c r="H230" s="9">
        <f t="shared" si="11"/>
        <v>-0.15652855031216756</v>
      </c>
      <c r="K230" s="7">
        <v>0.01</v>
      </c>
      <c r="L230" s="8">
        <f t="shared" si="9"/>
        <v>-3.8928550312169082E-2</v>
      </c>
    </row>
    <row r="231" spans="4:12" ht="14.4" customHeight="1">
      <c r="D231" s="2">
        <v>42331</v>
      </c>
      <c r="E231" s="3">
        <v>5.6159999999999997</v>
      </c>
      <c r="F231" s="3">
        <f t="shared" si="10"/>
        <v>2.8530689824064807E-3</v>
      </c>
      <c r="G231" s="3" cm="1">
        <f t="array" ref="G231">SUMPRODUCT(IF(((H231-$F$4:$F$515)/$B$10)&lt;=-1,0,IF(((H231-$F$4:$F$515)/$B$10)&gt;=1,1,(15/16)*(((H231-$F$4:$F$515)/$B$10)-(2/3)*((H231-$F$4:$F$515)/$B$10)^3+(1/5)*((H231-$F$4:$F$515)/$B$10)^5+8/15))))/COUNT($F$4:$F$515)</f>
        <v>1.953125E-3</v>
      </c>
      <c r="H231" s="1">
        <f t="shared" si="11"/>
        <v>-0.15622855031216756</v>
      </c>
      <c r="K231" s="2">
        <v>0.01</v>
      </c>
      <c r="L231" s="3">
        <f t="shared" si="9"/>
        <v>-3.8928550312169082E-2</v>
      </c>
    </row>
    <row r="232" spans="4:12" ht="14.4" customHeight="1">
      <c r="D232" s="7">
        <v>42332</v>
      </c>
      <c r="E232" s="8">
        <v>5.569</v>
      </c>
      <c r="F232" s="8">
        <f t="shared" si="10"/>
        <v>-8.4041621159783378E-3</v>
      </c>
      <c r="G232" s="8" cm="1">
        <f t="array" ref="G232">SUMPRODUCT(IF(((H232-$F$4:$F$515)/$B$10)&lt;=-1,0,IF(((H232-$F$4:$F$515)/$B$10)&gt;=1,1,(15/16)*(((H232-$F$4:$F$515)/$B$10)-(2/3)*((H232-$F$4:$F$515)/$B$10)^3+(1/5)*((H232-$F$4:$F$515)/$B$10)^5+8/15))))/COUNT($F$4:$F$515)</f>
        <v>1.953125E-3</v>
      </c>
      <c r="H232" s="9">
        <f t="shared" si="11"/>
        <v>-0.15592855031216757</v>
      </c>
      <c r="K232" s="7">
        <v>0.01</v>
      </c>
      <c r="L232" s="8">
        <f t="shared" si="9"/>
        <v>-3.8928550312169082E-2</v>
      </c>
    </row>
    <row r="233" spans="4:12" ht="14.4" customHeight="1">
      <c r="D233" s="2">
        <v>42333</v>
      </c>
      <c r="E233" s="3">
        <v>5.5810000000000004</v>
      </c>
      <c r="F233" s="3">
        <f t="shared" si="10"/>
        <v>2.1524671987650126E-3</v>
      </c>
      <c r="G233" s="3" cm="1">
        <f t="array" ref="G233">SUMPRODUCT(IF(((H233-$F$4:$F$515)/$B$10)&lt;=-1,0,IF(((H233-$F$4:$F$515)/$B$10)&gt;=1,1,(15/16)*(((H233-$F$4:$F$515)/$B$10)-(2/3)*((H233-$F$4:$F$515)/$B$10)^3+(1/5)*((H233-$F$4:$F$515)/$B$10)^5+8/15))))/COUNT($F$4:$F$515)</f>
        <v>1.953125E-3</v>
      </c>
      <c r="H233" s="1">
        <f t="shared" si="11"/>
        <v>-0.15562855031216757</v>
      </c>
      <c r="K233" s="2">
        <v>0.01</v>
      </c>
      <c r="L233" s="3">
        <f t="shared" si="9"/>
        <v>-3.8928550312169082E-2</v>
      </c>
    </row>
    <row r="234" spans="4:12" ht="14.4" customHeight="1">
      <c r="D234" s="7">
        <v>42334</v>
      </c>
      <c r="E234" s="8">
        <v>5.7190000000000003</v>
      </c>
      <c r="F234" s="8">
        <f t="shared" si="10"/>
        <v>2.4425993126882581E-2</v>
      </c>
      <c r="G234" s="8" cm="1">
        <f t="array" ref="G234">SUMPRODUCT(IF(((H234-$F$4:$F$515)/$B$10)&lt;=-1,0,IF(((H234-$F$4:$F$515)/$B$10)&gt;=1,1,(15/16)*(((H234-$F$4:$F$515)/$B$10)-(2/3)*((H234-$F$4:$F$515)/$B$10)^3+(1/5)*((H234-$F$4:$F$515)/$B$10)^5+8/15))))/COUNT($F$4:$F$515)</f>
        <v>1.953125E-3</v>
      </c>
      <c r="H234" s="9">
        <f t="shared" si="11"/>
        <v>-0.15532855031216758</v>
      </c>
      <c r="K234" s="7">
        <v>0.01</v>
      </c>
      <c r="L234" s="8">
        <f t="shared" si="9"/>
        <v>-3.8928550312169082E-2</v>
      </c>
    </row>
    <row r="235" spans="4:12" ht="14.4" customHeight="1">
      <c r="D235" s="2">
        <v>42335</v>
      </c>
      <c r="E235" s="3">
        <v>5.6619999999999999</v>
      </c>
      <c r="F235" s="3">
        <f t="shared" si="10"/>
        <v>-1.0016778243471344E-2</v>
      </c>
      <c r="G235" s="3" cm="1">
        <f t="array" ref="G235">SUMPRODUCT(IF(((H235-$F$4:$F$515)/$B$10)&lt;=-1,0,IF(((H235-$F$4:$F$515)/$B$10)&gt;=1,1,(15/16)*(((H235-$F$4:$F$515)/$B$10)-(2/3)*((H235-$F$4:$F$515)/$B$10)^3+(1/5)*((H235-$F$4:$F$515)/$B$10)^5+8/15))))/COUNT($F$4:$F$515)</f>
        <v>1.953125E-3</v>
      </c>
      <c r="H235" s="1">
        <f t="shared" si="11"/>
        <v>-0.15502855031216758</v>
      </c>
      <c r="K235" s="2">
        <v>0.01</v>
      </c>
      <c r="L235" s="3">
        <f t="shared" si="9"/>
        <v>-3.8928550312169082E-2</v>
      </c>
    </row>
    <row r="236" spans="4:12" ht="14.4" customHeight="1">
      <c r="D236" s="7">
        <v>42338</v>
      </c>
      <c r="E236" s="8">
        <v>5.74</v>
      </c>
      <c r="F236" s="8">
        <f t="shared" si="10"/>
        <v>1.3682023641767167E-2</v>
      </c>
      <c r="G236" s="8" cm="1">
        <f t="array" ref="G236">SUMPRODUCT(IF(((H236-$F$4:$F$515)/$B$10)&lt;=-1,0,IF(((H236-$F$4:$F$515)/$B$10)&gt;=1,1,(15/16)*(((H236-$F$4:$F$515)/$B$10)-(2/3)*((H236-$F$4:$F$515)/$B$10)^3+(1/5)*((H236-$F$4:$F$515)/$B$10)^5+8/15))))/COUNT($F$4:$F$515)</f>
        <v>1.953125E-3</v>
      </c>
      <c r="H236" s="9">
        <f t="shared" si="11"/>
        <v>-0.15472855031216759</v>
      </c>
      <c r="K236" s="7">
        <v>0.01</v>
      </c>
      <c r="L236" s="8">
        <f t="shared" si="9"/>
        <v>-3.8928550312169082E-2</v>
      </c>
    </row>
    <row r="237" spans="4:12" ht="14.4" customHeight="1">
      <c r="D237" s="2">
        <v>42339</v>
      </c>
      <c r="E237" s="3">
        <v>5.7549999999999999</v>
      </c>
      <c r="F237" s="3">
        <f t="shared" si="10"/>
        <v>2.6098318423709499E-3</v>
      </c>
      <c r="G237" s="3" cm="1">
        <f t="array" ref="G237">SUMPRODUCT(IF(((H237-$F$4:$F$515)/$B$10)&lt;=-1,0,IF(((H237-$F$4:$F$515)/$B$10)&gt;=1,1,(15/16)*(((H237-$F$4:$F$515)/$B$10)-(2/3)*((H237-$F$4:$F$515)/$B$10)^3+(1/5)*((H237-$F$4:$F$515)/$B$10)^5+8/15))))/COUNT($F$4:$F$515)</f>
        <v>1.953125E-3</v>
      </c>
      <c r="H237" s="1">
        <f t="shared" si="11"/>
        <v>-0.1544285503121676</v>
      </c>
      <c r="K237" s="2">
        <v>0.01</v>
      </c>
      <c r="L237" s="3">
        <f t="shared" si="9"/>
        <v>-3.8928550312169082E-2</v>
      </c>
    </row>
    <row r="238" spans="4:12" ht="14.4" customHeight="1">
      <c r="D238" s="7">
        <v>42340</v>
      </c>
      <c r="E238" s="8">
        <v>5.6310000000000002</v>
      </c>
      <c r="F238" s="8">
        <f t="shared" si="10"/>
        <v>-2.1781995901364499E-2</v>
      </c>
      <c r="G238" s="8" cm="1">
        <f t="array" ref="G238">SUMPRODUCT(IF(((H238-$F$4:$F$515)/$B$10)&lt;=-1,0,IF(((H238-$F$4:$F$515)/$B$10)&gt;=1,1,(15/16)*(((H238-$F$4:$F$515)/$B$10)-(2/3)*((H238-$F$4:$F$515)/$B$10)^3+(1/5)*((H238-$F$4:$F$515)/$B$10)^5+8/15))))/COUNT($F$4:$F$515)</f>
        <v>1.953125E-3</v>
      </c>
      <c r="H238" s="9">
        <f t="shared" si="11"/>
        <v>-0.1541285503121676</v>
      </c>
      <c r="K238" s="7">
        <v>0.01</v>
      </c>
      <c r="L238" s="8">
        <f t="shared" si="9"/>
        <v>-3.8928550312169082E-2</v>
      </c>
    </row>
    <row r="239" spans="4:12" ht="14.4" customHeight="1">
      <c r="D239" s="2">
        <v>42341</v>
      </c>
      <c r="E239" s="3">
        <v>5.6059999999999999</v>
      </c>
      <c r="F239" s="3">
        <f t="shared" si="10"/>
        <v>-4.449593529884944E-3</v>
      </c>
      <c r="G239" s="3" cm="1">
        <f t="array" ref="G239">SUMPRODUCT(IF(((H239-$F$4:$F$515)/$B$10)&lt;=-1,0,IF(((H239-$F$4:$F$515)/$B$10)&gt;=1,1,(15/16)*(((H239-$F$4:$F$515)/$B$10)-(2/3)*((H239-$F$4:$F$515)/$B$10)^3+(1/5)*((H239-$F$4:$F$515)/$B$10)^5+8/15))))/COUNT($F$4:$F$515)</f>
        <v>1.953125E-3</v>
      </c>
      <c r="H239" s="1">
        <f t="shared" si="11"/>
        <v>-0.15382855031216761</v>
      </c>
      <c r="K239" s="2">
        <v>0.01</v>
      </c>
      <c r="L239" s="3">
        <f t="shared" si="9"/>
        <v>-3.8928550312169082E-2</v>
      </c>
    </row>
    <row r="240" spans="4:12" ht="14.4" customHeight="1">
      <c r="D240" s="7">
        <v>42342</v>
      </c>
      <c r="E240" s="8">
        <v>5.4480000000000004</v>
      </c>
      <c r="F240" s="8">
        <f t="shared" si="10"/>
        <v>-2.858888389538523E-2</v>
      </c>
      <c r="G240" s="8" cm="1">
        <f t="array" ref="G240">SUMPRODUCT(IF(((H240-$F$4:$F$515)/$B$10)&lt;=-1,0,IF(((H240-$F$4:$F$515)/$B$10)&gt;=1,1,(15/16)*(((H240-$F$4:$F$515)/$B$10)-(2/3)*((H240-$F$4:$F$515)/$B$10)^3+(1/5)*((H240-$F$4:$F$515)/$B$10)^5+8/15))))/COUNT($F$4:$F$515)</f>
        <v>1.953125E-3</v>
      </c>
      <c r="H240" s="9">
        <f t="shared" si="11"/>
        <v>-0.15352855031216761</v>
      </c>
      <c r="K240" s="7">
        <v>0.01</v>
      </c>
      <c r="L240" s="8">
        <f t="shared" si="9"/>
        <v>-3.8928550312169082E-2</v>
      </c>
    </row>
    <row r="241" spans="4:12" ht="14.4" customHeight="1">
      <c r="D241" s="2">
        <v>42345</v>
      </c>
      <c r="E241" s="3">
        <v>5.4530000000000003</v>
      </c>
      <c r="F241" s="3">
        <f t="shared" si="10"/>
        <v>9.1734709671330913E-4</v>
      </c>
      <c r="G241" s="3" cm="1">
        <f t="array" ref="G241">SUMPRODUCT(IF(((H241-$F$4:$F$515)/$B$10)&lt;=-1,0,IF(((H241-$F$4:$F$515)/$B$10)&gt;=1,1,(15/16)*(((H241-$F$4:$F$515)/$B$10)-(2/3)*((H241-$F$4:$F$515)/$B$10)^3+(1/5)*((H241-$F$4:$F$515)/$B$10)^5+8/15))))/COUNT($F$4:$F$515)</f>
        <v>1.953125E-3</v>
      </c>
      <c r="H241" s="1">
        <f t="shared" si="11"/>
        <v>-0.15322855031216762</v>
      </c>
      <c r="K241" s="2">
        <v>0.01</v>
      </c>
      <c r="L241" s="3">
        <f t="shared" si="9"/>
        <v>-3.8928550312169082E-2</v>
      </c>
    </row>
    <row r="242" spans="4:12" ht="14.4" customHeight="1">
      <c r="D242" s="7">
        <v>42346</v>
      </c>
      <c r="E242" s="8">
        <v>5.21</v>
      </c>
      <c r="F242" s="8">
        <f t="shared" si="10"/>
        <v>-4.5586060178649079E-2</v>
      </c>
      <c r="G242" s="8" cm="1">
        <f t="array" ref="G242">SUMPRODUCT(IF(((H242-$F$4:$F$515)/$B$10)&lt;=-1,0,IF(((H242-$F$4:$F$515)/$B$10)&gt;=1,1,(15/16)*(((H242-$F$4:$F$515)/$B$10)-(2/3)*((H242-$F$4:$F$515)/$B$10)^3+(1/5)*((H242-$F$4:$F$515)/$B$10)^5+8/15))))/COUNT($F$4:$F$515)</f>
        <v>1.953125E-3</v>
      </c>
      <c r="H242" s="9">
        <f t="shared" si="11"/>
        <v>-0.15292855031216762</v>
      </c>
      <c r="K242" s="7">
        <v>0.01</v>
      </c>
      <c r="L242" s="8">
        <f t="shared" si="9"/>
        <v>-3.8928550312169082E-2</v>
      </c>
    </row>
    <row r="243" spans="4:12" ht="14.4" customHeight="1">
      <c r="D243" s="2">
        <v>42347</v>
      </c>
      <c r="E243" s="3">
        <v>5.21</v>
      </c>
      <c r="F243" s="3">
        <f t="shared" si="10"/>
        <v>0</v>
      </c>
      <c r="G243" s="3" cm="1">
        <f t="array" ref="G243">SUMPRODUCT(IF(((H243-$F$4:$F$515)/$B$10)&lt;=-1,0,IF(((H243-$F$4:$F$515)/$B$10)&gt;=1,1,(15/16)*(((H243-$F$4:$F$515)/$B$10)-(2/3)*((H243-$F$4:$F$515)/$B$10)^3+(1/5)*((H243-$F$4:$F$515)/$B$10)^5+8/15))))/COUNT($F$4:$F$515)</f>
        <v>1.953125E-3</v>
      </c>
      <c r="H243" s="1">
        <f t="shared" si="11"/>
        <v>-0.15262855031216763</v>
      </c>
      <c r="K243" s="2">
        <v>0.01</v>
      </c>
      <c r="L243" s="3">
        <f t="shared" si="9"/>
        <v>-3.8928550312169082E-2</v>
      </c>
    </row>
    <row r="244" spans="4:12" ht="14.4" customHeight="1">
      <c r="D244" s="7">
        <v>42348</v>
      </c>
      <c r="E244" s="8">
        <v>5.0880000000000001</v>
      </c>
      <c r="F244" s="8">
        <f t="shared" si="10"/>
        <v>-2.3695029727454468E-2</v>
      </c>
      <c r="G244" s="8" cm="1">
        <f t="array" ref="G244">SUMPRODUCT(IF(((H244-$F$4:$F$515)/$B$10)&lt;=-1,0,IF(((H244-$F$4:$F$515)/$B$10)&gt;=1,1,(15/16)*(((H244-$F$4:$F$515)/$B$10)-(2/3)*((H244-$F$4:$F$515)/$B$10)^3+(1/5)*((H244-$F$4:$F$515)/$B$10)^5+8/15))))/COUNT($F$4:$F$515)</f>
        <v>1.953125E-3</v>
      </c>
      <c r="H244" s="9">
        <f t="shared" si="11"/>
        <v>-0.15232855031216763</v>
      </c>
      <c r="K244" s="7">
        <v>0.01</v>
      </c>
      <c r="L244" s="8">
        <f t="shared" si="9"/>
        <v>-3.8928550312169082E-2</v>
      </c>
    </row>
    <row r="245" spans="4:12" ht="14.4" customHeight="1">
      <c r="D245" s="2">
        <v>42349</v>
      </c>
      <c r="E245" s="3">
        <v>5.0019999999999998</v>
      </c>
      <c r="F245" s="3">
        <f t="shared" si="10"/>
        <v>-1.7046993582393779E-2</v>
      </c>
      <c r="G245" s="3" cm="1">
        <f t="array" ref="G245">SUMPRODUCT(IF(((H245-$F$4:$F$515)/$B$10)&lt;=-1,0,IF(((H245-$F$4:$F$515)/$B$10)&gt;=1,1,(15/16)*(((H245-$F$4:$F$515)/$B$10)-(2/3)*((H245-$F$4:$F$515)/$B$10)^3+(1/5)*((H245-$F$4:$F$515)/$B$10)^5+8/15))))/COUNT($F$4:$F$515)</f>
        <v>1.953125E-3</v>
      </c>
      <c r="H245" s="1">
        <f t="shared" si="11"/>
        <v>-0.15202855031216764</v>
      </c>
      <c r="K245" s="2">
        <v>0.01</v>
      </c>
      <c r="L245" s="3">
        <f t="shared" si="9"/>
        <v>-3.8928550312169082E-2</v>
      </c>
    </row>
    <row r="246" spans="4:12" ht="14.4" customHeight="1">
      <c r="D246" s="7">
        <v>42352</v>
      </c>
      <c r="E246" s="8">
        <v>4.8280000000000003</v>
      </c>
      <c r="F246" s="8">
        <f t="shared" si="10"/>
        <v>-3.5405529220142111E-2</v>
      </c>
      <c r="G246" s="8" cm="1">
        <f t="array" ref="G246">SUMPRODUCT(IF(((H246-$F$4:$F$515)/$B$10)&lt;=-1,0,IF(((H246-$F$4:$F$515)/$B$10)&gt;=1,1,(15/16)*(((H246-$F$4:$F$515)/$B$10)-(2/3)*((H246-$F$4:$F$515)/$B$10)^3+(1/5)*((H246-$F$4:$F$515)/$B$10)^5+8/15))))/COUNT($F$4:$F$515)</f>
        <v>1.953125E-3</v>
      </c>
      <c r="H246" s="9">
        <f t="shared" si="11"/>
        <v>-0.15172855031216764</v>
      </c>
      <c r="K246" s="7">
        <v>0.01</v>
      </c>
      <c r="L246" s="8">
        <f t="shared" si="9"/>
        <v>-3.8928550312169082E-2</v>
      </c>
    </row>
    <row r="247" spans="4:12" ht="14.4" customHeight="1">
      <c r="D247" s="2">
        <v>42353</v>
      </c>
      <c r="E247" s="3">
        <v>5.0339999999999998</v>
      </c>
      <c r="F247" s="3">
        <f t="shared" si="10"/>
        <v>4.1782593477839053E-2</v>
      </c>
      <c r="G247" s="3" cm="1">
        <f t="array" ref="G247">SUMPRODUCT(IF(((H247-$F$4:$F$515)/$B$10)&lt;=-1,0,IF(((H247-$F$4:$F$515)/$B$10)&gt;=1,1,(15/16)*(((H247-$F$4:$F$515)/$B$10)-(2/3)*((H247-$F$4:$F$515)/$B$10)^3+(1/5)*((H247-$F$4:$F$515)/$B$10)^5+8/15))))/COUNT($F$4:$F$515)</f>
        <v>1.953125E-3</v>
      </c>
      <c r="H247" s="1">
        <f t="shared" si="11"/>
        <v>-0.15142855031216765</v>
      </c>
      <c r="K247" s="2">
        <v>0.01</v>
      </c>
      <c r="L247" s="3">
        <f t="shared" si="9"/>
        <v>-3.8928550312169082E-2</v>
      </c>
    </row>
    <row r="248" spans="4:12" ht="14.4" customHeight="1">
      <c r="D248" s="7">
        <v>42354</v>
      </c>
      <c r="E248" s="8">
        <v>5.048</v>
      </c>
      <c r="F248" s="8">
        <f t="shared" si="10"/>
        <v>2.7772285257879423E-3</v>
      </c>
      <c r="G248" s="8" cm="1">
        <f t="array" ref="G248">SUMPRODUCT(IF(((H248-$F$4:$F$515)/$B$10)&lt;=-1,0,IF(((H248-$F$4:$F$515)/$B$10)&gt;=1,1,(15/16)*(((H248-$F$4:$F$515)/$B$10)-(2/3)*((H248-$F$4:$F$515)/$B$10)^3+(1/5)*((H248-$F$4:$F$515)/$B$10)^5+8/15))))/COUNT($F$4:$F$515)</f>
        <v>1.953125E-3</v>
      </c>
      <c r="H248" s="9">
        <f t="shared" si="11"/>
        <v>-0.15112855031216765</v>
      </c>
      <c r="K248" s="7">
        <v>0.01</v>
      </c>
      <c r="L248" s="8">
        <f t="shared" si="9"/>
        <v>-3.8928550312169082E-2</v>
      </c>
    </row>
    <row r="249" spans="4:12" ht="14.4" customHeight="1">
      <c r="D249" s="2">
        <v>42355</v>
      </c>
      <c r="E249" s="3">
        <v>5.2530000000000001</v>
      </c>
      <c r="F249" s="3">
        <f t="shared" si="10"/>
        <v>3.9807216732912418E-2</v>
      </c>
      <c r="G249" s="3" cm="1">
        <f t="array" ref="G249">SUMPRODUCT(IF(((H249-$F$4:$F$515)/$B$10)&lt;=-1,0,IF(((H249-$F$4:$F$515)/$B$10)&gt;=1,1,(15/16)*(((H249-$F$4:$F$515)/$B$10)-(2/3)*((H249-$F$4:$F$515)/$B$10)^3+(1/5)*((H249-$F$4:$F$515)/$B$10)^5+8/15))))/COUNT($F$4:$F$515)</f>
        <v>1.953125E-3</v>
      </c>
      <c r="H249" s="1">
        <f t="shared" si="11"/>
        <v>-0.15082855031216766</v>
      </c>
      <c r="K249" s="2">
        <v>0.01</v>
      </c>
      <c r="L249" s="3">
        <f t="shared" si="9"/>
        <v>-3.8928550312169082E-2</v>
      </c>
    </row>
    <row r="250" spans="4:12" ht="14.4" customHeight="1">
      <c r="D250" s="7">
        <v>42356</v>
      </c>
      <c r="E250" s="8">
        <v>5.1660000000000004</v>
      </c>
      <c r="F250" s="8">
        <f t="shared" si="10"/>
        <v>-1.6700647298175646E-2</v>
      </c>
      <c r="G250" s="8" cm="1">
        <f t="array" ref="G250">SUMPRODUCT(IF(((H250-$F$4:$F$515)/$B$10)&lt;=-1,0,IF(((H250-$F$4:$F$515)/$B$10)&gt;=1,1,(15/16)*(((H250-$F$4:$F$515)/$B$10)-(2/3)*((H250-$F$4:$F$515)/$B$10)^3+(1/5)*((H250-$F$4:$F$515)/$B$10)^5+8/15))))/COUNT($F$4:$F$515)</f>
        <v>1.953125E-3</v>
      </c>
      <c r="H250" s="9">
        <f t="shared" si="11"/>
        <v>-0.15052855031216766</v>
      </c>
      <c r="K250" s="7">
        <v>0.01</v>
      </c>
      <c r="L250" s="8">
        <f t="shared" si="9"/>
        <v>-3.8928550312169082E-2</v>
      </c>
    </row>
    <row r="251" spans="4:12" ht="14.4" customHeight="1">
      <c r="D251" s="2">
        <v>42359</v>
      </c>
      <c r="E251" s="3">
        <v>5.04</v>
      </c>
      <c r="F251" s="3">
        <f t="shared" si="10"/>
        <v>-2.4692612590371522E-2</v>
      </c>
      <c r="G251" s="3" cm="1">
        <f t="array" ref="G251">SUMPRODUCT(IF(((H251-$F$4:$F$515)/$B$10)&lt;=-1,0,IF(((H251-$F$4:$F$515)/$B$10)&gt;=1,1,(15/16)*(((H251-$F$4:$F$515)/$B$10)-(2/3)*((H251-$F$4:$F$515)/$B$10)^3+(1/5)*((H251-$F$4:$F$515)/$B$10)^5+8/15))))/COUNT($F$4:$F$515)</f>
        <v>1.953125E-3</v>
      </c>
      <c r="H251" s="1">
        <f t="shared" si="11"/>
        <v>-0.15022855031216767</v>
      </c>
      <c r="K251" s="2">
        <v>0.01</v>
      </c>
      <c r="L251" s="3">
        <f t="shared" si="9"/>
        <v>-3.8928550312169082E-2</v>
      </c>
    </row>
    <row r="252" spans="4:12" ht="14.4" customHeight="1">
      <c r="D252" s="7">
        <v>42360</v>
      </c>
      <c r="E252" s="8">
        <v>5.133</v>
      </c>
      <c r="F252" s="8">
        <f t="shared" si="10"/>
        <v>1.8284201494888803E-2</v>
      </c>
      <c r="G252" s="8" cm="1">
        <f t="array" ref="G252">SUMPRODUCT(IF(((H252-$F$4:$F$515)/$B$10)&lt;=-1,0,IF(((H252-$F$4:$F$515)/$B$10)&gt;=1,1,(15/16)*(((H252-$F$4:$F$515)/$B$10)-(2/3)*((H252-$F$4:$F$515)/$B$10)^3+(1/5)*((H252-$F$4:$F$515)/$B$10)^5+8/15))))/COUNT($F$4:$F$515)</f>
        <v>1.953125E-3</v>
      </c>
      <c r="H252" s="9">
        <f t="shared" si="11"/>
        <v>-0.14992855031216767</v>
      </c>
      <c r="K252" s="7">
        <v>0.01</v>
      </c>
      <c r="L252" s="8">
        <f t="shared" si="9"/>
        <v>-3.8928550312169082E-2</v>
      </c>
    </row>
    <row r="253" spans="4:12" ht="14.4" customHeight="1">
      <c r="D253" s="2">
        <v>42361</v>
      </c>
      <c r="E253" s="3">
        <v>5.2569999999999997</v>
      </c>
      <c r="F253" s="3">
        <f t="shared" si="10"/>
        <v>2.3870238259144728E-2</v>
      </c>
      <c r="G253" s="3" cm="1">
        <f t="array" ref="G253">SUMPRODUCT(IF(((H253-$F$4:$F$515)/$B$10)&lt;=-1,0,IF(((H253-$F$4:$F$515)/$B$10)&gt;=1,1,(15/16)*(((H253-$F$4:$F$515)/$B$10)-(2/3)*((H253-$F$4:$F$515)/$B$10)^3+(1/5)*((H253-$F$4:$F$515)/$B$10)^5+8/15))))/COUNT($F$4:$F$515)</f>
        <v>1.953125E-3</v>
      </c>
      <c r="H253" s="1">
        <f t="shared" si="11"/>
        <v>-0.14962855031216768</v>
      </c>
      <c r="K253" s="2">
        <v>0.01</v>
      </c>
      <c r="L253" s="3">
        <f t="shared" si="9"/>
        <v>-3.8928550312169082E-2</v>
      </c>
    </row>
    <row r="254" spans="4:12" ht="14.4" customHeight="1">
      <c r="D254" s="7">
        <v>42362</v>
      </c>
      <c r="E254" s="8">
        <v>5.2910000000000004</v>
      </c>
      <c r="F254" s="8">
        <f t="shared" si="10"/>
        <v>6.446742084683774E-3</v>
      </c>
      <c r="G254" s="8" cm="1">
        <f t="array" ref="G254">SUMPRODUCT(IF(((H254-$F$4:$F$515)/$B$10)&lt;=-1,0,IF(((H254-$F$4:$F$515)/$B$10)&gt;=1,1,(15/16)*(((H254-$F$4:$F$515)/$B$10)-(2/3)*((H254-$F$4:$F$515)/$B$10)^3+(1/5)*((H254-$F$4:$F$515)/$B$10)^5+8/15))))/COUNT($F$4:$F$515)</f>
        <v>1.953125E-3</v>
      </c>
      <c r="H254" s="9">
        <f t="shared" si="11"/>
        <v>-0.14932855031216768</v>
      </c>
      <c r="K254" s="7">
        <v>0.01</v>
      </c>
      <c r="L254" s="8">
        <f t="shared" si="9"/>
        <v>-3.8928550312169082E-2</v>
      </c>
    </row>
    <row r="255" spans="4:12" ht="14.4" customHeight="1">
      <c r="D255" s="2">
        <v>42366</v>
      </c>
      <c r="E255" s="3">
        <v>5.24</v>
      </c>
      <c r="F255" s="3">
        <f t="shared" si="10"/>
        <v>-9.6857655890438925E-3</v>
      </c>
      <c r="G255" s="3" cm="1">
        <f t="array" ref="G255">SUMPRODUCT(IF(((H255-$F$4:$F$515)/$B$10)&lt;=-1,0,IF(((H255-$F$4:$F$515)/$B$10)&gt;=1,1,(15/16)*(((H255-$F$4:$F$515)/$B$10)-(2/3)*((H255-$F$4:$F$515)/$B$10)^3+(1/5)*((H255-$F$4:$F$515)/$B$10)^5+8/15))))/COUNT($F$4:$F$515)</f>
        <v>1.953125E-3</v>
      </c>
      <c r="H255" s="1">
        <f t="shared" si="11"/>
        <v>-0.14902855031216769</v>
      </c>
      <c r="K255" s="2">
        <v>0.01</v>
      </c>
      <c r="L255" s="3">
        <f t="shared" si="9"/>
        <v>-3.8928550312169082E-2</v>
      </c>
    </row>
    <row r="256" spans="4:12" ht="14.4" customHeight="1">
      <c r="D256" s="7">
        <v>42367</v>
      </c>
      <c r="E256" s="8">
        <v>5.2649999999999997</v>
      </c>
      <c r="F256" s="8">
        <f t="shared" si="10"/>
        <v>4.7596472529879133E-3</v>
      </c>
      <c r="G256" s="8" cm="1">
        <f t="array" ref="G256">SUMPRODUCT(IF(((H256-$F$4:$F$515)/$B$10)&lt;=-1,0,IF(((H256-$F$4:$F$515)/$B$10)&gt;=1,1,(15/16)*(((H256-$F$4:$F$515)/$B$10)-(2/3)*((H256-$F$4:$F$515)/$B$10)^3+(1/5)*((H256-$F$4:$F$515)/$B$10)^5+8/15))))/COUNT($F$4:$F$515)</f>
        <v>1.953125E-3</v>
      </c>
      <c r="H256" s="9">
        <f t="shared" si="11"/>
        <v>-0.1487285503121677</v>
      </c>
      <c r="K256" s="7">
        <v>0.01</v>
      </c>
      <c r="L256" s="8">
        <f t="shared" si="9"/>
        <v>-3.8928550312169082E-2</v>
      </c>
    </row>
    <row r="257" spans="4:12" ht="14.4" customHeight="1">
      <c r="D257" s="2">
        <v>42368</v>
      </c>
      <c r="E257" s="3">
        <v>5.2039999999999997</v>
      </c>
      <c r="F257" s="3">
        <f t="shared" si="10"/>
        <v>-1.1653584935679953E-2</v>
      </c>
      <c r="G257" s="3" cm="1">
        <f t="array" ref="G257">SUMPRODUCT(IF(((H257-$F$4:$F$515)/$B$10)&lt;=-1,0,IF(((H257-$F$4:$F$515)/$B$10)&gt;=1,1,(15/16)*(((H257-$F$4:$F$515)/$B$10)-(2/3)*((H257-$F$4:$F$515)/$B$10)^3+(1/5)*((H257-$F$4:$F$515)/$B$10)^5+8/15))))/COUNT($F$4:$F$515)</f>
        <v>1.953125E-3</v>
      </c>
      <c r="H257" s="1">
        <f t="shared" si="11"/>
        <v>-0.1484285503121677</v>
      </c>
      <c r="K257" s="2">
        <v>0.01</v>
      </c>
      <c r="L257" s="3">
        <f t="shared" si="9"/>
        <v>-3.8928550312169082E-2</v>
      </c>
    </row>
    <row r="258" spans="4:12" ht="14.4" customHeight="1">
      <c r="D258" s="7">
        <v>42369</v>
      </c>
      <c r="E258" s="8">
        <v>5.2169999999999996</v>
      </c>
      <c r="F258" s="8">
        <f t="shared" si="10"/>
        <v>2.4949633899968475E-3</v>
      </c>
      <c r="G258" s="8" cm="1">
        <f t="array" ref="G258">SUMPRODUCT(IF(((H258-$F$4:$F$515)/$B$10)&lt;=-1,0,IF(((H258-$F$4:$F$515)/$B$10)&gt;=1,1,(15/16)*(((H258-$F$4:$F$515)/$B$10)-(2/3)*((H258-$F$4:$F$515)/$B$10)^3+(1/5)*((H258-$F$4:$F$515)/$B$10)^5+8/15))))/COUNT($F$4:$F$515)</f>
        <v>1.953125E-3</v>
      </c>
      <c r="H258" s="9">
        <f t="shared" si="11"/>
        <v>-0.14812855031216771</v>
      </c>
      <c r="K258" s="7">
        <v>0.01</v>
      </c>
      <c r="L258" s="8">
        <f t="shared" si="9"/>
        <v>-3.8928550312169082E-2</v>
      </c>
    </row>
    <row r="259" spans="4:12" ht="14.4" customHeight="1">
      <c r="D259" s="2">
        <v>42373</v>
      </c>
      <c r="E259" s="3">
        <v>4.984</v>
      </c>
      <c r="F259" s="3">
        <f t="shared" si="10"/>
        <v>-4.5689742555103538E-2</v>
      </c>
      <c r="G259" s="3" cm="1">
        <f t="array" ref="G259">SUMPRODUCT(IF(((H259-$F$4:$F$515)/$B$10)&lt;=-1,0,IF(((H259-$F$4:$F$515)/$B$10)&gt;=1,1,(15/16)*(((H259-$F$4:$F$515)/$B$10)-(2/3)*((H259-$F$4:$F$515)/$B$10)^3+(1/5)*((H259-$F$4:$F$515)/$B$10)^5+8/15))))/COUNT($F$4:$F$515)</f>
        <v>1.953125E-3</v>
      </c>
      <c r="H259" s="1">
        <f t="shared" si="11"/>
        <v>-0.14782855031216771</v>
      </c>
      <c r="K259" s="2">
        <v>0.01</v>
      </c>
      <c r="L259" s="3">
        <f t="shared" si="9"/>
        <v>-3.8928550312169082E-2</v>
      </c>
    </row>
    <row r="260" spans="4:12" ht="14.4" customHeight="1">
      <c r="D260" s="7">
        <v>42374</v>
      </c>
      <c r="E260" s="8">
        <v>5.0119999999999996</v>
      </c>
      <c r="F260" s="8">
        <f t="shared" si="10"/>
        <v>5.6022555486697516E-3</v>
      </c>
      <c r="G260" s="8" cm="1">
        <f t="array" ref="G260">SUMPRODUCT(IF(((H260-$F$4:$F$515)/$B$10)&lt;=-1,0,IF(((H260-$F$4:$F$515)/$B$10)&gt;=1,1,(15/16)*(((H260-$F$4:$F$515)/$B$10)-(2/3)*((H260-$F$4:$F$515)/$B$10)^3+(1/5)*((H260-$F$4:$F$515)/$B$10)^5+8/15))))/COUNT($F$4:$F$515)</f>
        <v>1.953125E-3</v>
      </c>
      <c r="H260" s="9">
        <f t="shared" si="11"/>
        <v>-0.14752855031216772</v>
      </c>
      <c r="K260" s="7">
        <v>0.01</v>
      </c>
      <c r="L260" s="8">
        <f t="shared" ref="L260:L323" si="12">$B$7</f>
        <v>-3.8928550312169082E-2</v>
      </c>
    </row>
    <row r="261" spans="4:12" ht="14.4" customHeight="1">
      <c r="D261" s="2">
        <v>42375</v>
      </c>
      <c r="E261" s="3">
        <v>4.8520000000000003</v>
      </c>
      <c r="F261" s="3">
        <f t="shared" ref="F261:F324" si="13">LN(E261/E260)</f>
        <v>-3.2444045952018004E-2</v>
      </c>
      <c r="G261" s="3" cm="1">
        <f t="array" ref="G261">SUMPRODUCT(IF(((H261-$F$4:$F$515)/$B$10)&lt;=-1,0,IF(((H261-$F$4:$F$515)/$B$10)&gt;=1,1,(15/16)*(((H261-$F$4:$F$515)/$B$10)-(2/3)*((H261-$F$4:$F$515)/$B$10)^3+(1/5)*((H261-$F$4:$F$515)/$B$10)^5+8/15))))/COUNT($F$4:$F$515)</f>
        <v>1.953125E-3</v>
      </c>
      <c r="H261" s="1">
        <f t="shared" ref="H261:H324" si="14">H260+0.0003</f>
        <v>-0.14722855031216772</v>
      </c>
      <c r="K261" s="2">
        <v>0.01</v>
      </c>
      <c r="L261" s="3">
        <f t="shared" si="12"/>
        <v>-3.8928550312169082E-2</v>
      </c>
    </row>
    <row r="262" spans="4:12" ht="14.4" customHeight="1">
      <c r="D262" s="7">
        <v>42376</v>
      </c>
      <c r="E262" s="8">
        <v>4.6909999999999998</v>
      </c>
      <c r="F262" s="8">
        <f t="shared" si="13"/>
        <v>-3.3745211735482818E-2</v>
      </c>
      <c r="G262" s="8" cm="1">
        <f t="array" ref="G262">SUMPRODUCT(IF(((H262-$F$4:$F$515)/$B$10)&lt;=-1,0,IF(((H262-$F$4:$F$515)/$B$10)&gt;=1,1,(15/16)*(((H262-$F$4:$F$515)/$B$10)-(2/3)*((H262-$F$4:$F$515)/$B$10)^3+(1/5)*((H262-$F$4:$F$515)/$B$10)^5+8/15))))/COUNT($F$4:$F$515)</f>
        <v>1.953125E-3</v>
      </c>
      <c r="H262" s="9">
        <f t="shared" si="14"/>
        <v>-0.14692855031216773</v>
      </c>
      <c r="K262" s="7">
        <v>0.01</v>
      </c>
      <c r="L262" s="8">
        <f t="shared" si="12"/>
        <v>-3.8928550312169082E-2</v>
      </c>
    </row>
    <row r="263" spans="4:12" ht="14.4" customHeight="1">
      <c r="D263" s="2">
        <v>42377</v>
      </c>
      <c r="E263" s="3">
        <v>4.59</v>
      </c>
      <c r="F263" s="3">
        <f t="shared" si="13"/>
        <v>-2.1765755273867208E-2</v>
      </c>
      <c r="G263" s="3" cm="1">
        <f t="array" ref="G263">SUMPRODUCT(IF(((H263-$F$4:$F$515)/$B$10)&lt;=-1,0,IF(((H263-$F$4:$F$515)/$B$10)&gt;=1,1,(15/16)*(((H263-$F$4:$F$515)/$B$10)-(2/3)*((H263-$F$4:$F$515)/$B$10)^3+(1/5)*((H263-$F$4:$F$515)/$B$10)^5+8/15))))/COUNT($F$4:$F$515)</f>
        <v>1.953125E-3</v>
      </c>
      <c r="H263" s="1">
        <f t="shared" si="14"/>
        <v>-0.14662855031216773</v>
      </c>
      <c r="K263" s="2">
        <v>0.01</v>
      </c>
      <c r="L263" s="3">
        <f t="shared" si="12"/>
        <v>-3.8928550312169082E-2</v>
      </c>
    </row>
    <row r="264" spans="4:12" ht="14.4" customHeight="1">
      <c r="D264" s="7">
        <v>42380</v>
      </c>
      <c r="E264" s="8">
        <v>4.5170000000000003</v>
      </c>
      <c r="F264" s="8">
        <f t="shared" si="13"/>
        <v>-1.6031967399986545E-2</v>
      </c>
      <c r="G264" s="8" cm="1">
        <f t="array" ref="G264">SUMPRODUCT(IF(((H264-$F$4:$F$515)/$B$10)&lt;=-1,0,IF(((H264-$F$4:$F$515)/$B$10)&gt;=1,1,(15/16)*(((H264-$F$4:$F$515)/$B$10)-(2/3)*((H264-$F$4:$F$515)/$B$10)^3+(1/5)*((H264-$F$4:$F$515)/$B$10)^5+8/15))))/COUNT($F$4:$F$515)</f>
        <v>1.953125E-3</v>
      </c>
      <c r="H264" s="9">
        <f t="shared" si="14"/>
        <v>-0.14632855031216774</v>
      </c>
      <c r="K264" s="7">
        <v>0.01</v>
      </c>
      <c r="L264" s="8">
        <f t="shared" si="12"/>
        <v>-3.8928550312169082E-2</v>
      </c>
    </row>
    <row r="265" spans="4:12" ht="14.4" customHeight="1">
      <c r="D265" s="2">
        <v>42381</v>
      </c>
      <c r="E265" s="3">
        <v>4.5709999999999997</v>
      </c>
      <c r="F265" s="3">
        <f t="shared" si="13"/>
        <v>1.1883942677140116E-2</v>
      </c>
      <c r="G265" s="3" cm="1">
        <f t="array" ref="G265">SUMPRODUCT(IF(((H265-$F$4:$F$515)/$B$10)&lt;=-1,0,IF(((H265-$F$4:$F$515)/$B$10)&gt;=1,1,(15/16)*(((H265-$F$4:$F$515)/$B$10)-(2/3)*((H265-$F$4:$F$515)/$B$10)^3+(1/5)*((H265-$F$4:$F$515)/$B$10)^5+8/15))))/COUNT($F$4:$F$515)</f>
        <v>1.953125E-3</v>
      </c>
      <c r="H265" s="1">
        <f t="shared" si="14"/>
        <v>-0.14602855031216774</v>
      </c>
      <c r="K265" s="2">
        <v>0.01</v>
      </c>
      <c r="L265" s="3">
        <f t="shared" si="12"/>
        <v>-3.8928550312169082E-2</v>
      </c>
    </row>
    <row r="266" spans="4:12" ht="14.4" customHeight="1">
      <c r="D266" s="7">
        <v>42382</v>
      </c>
      <c r="E266" s="8">
        <v>4.577</v>
      </c>
      <c r="F266" s="8">
        <f t="shared" si="13"/>
        <v>1.3117623218977263E-3</v>
      </c>
      <c r="G266" s="8" cm="1">
        <f t="array" ref="G266">SUMPRODUCT(IF(((H266-$F$4:$F$515)/$B$10)&lt;=-1,0,IF(((H266-$F$4:$F$515)/$B$10)&gt;=1,1,(15/16)*(((H266-$F$4:$F$515)/$B$10)-(2/3)*((H266-$F$4:$F$515)/$B$10)^3+(1/5)*((H266-$F$4:$F$515)/$B$10)^5+8/15))))/COUNT($F$4:$F$515)</f>
        <v>1.953125E-3</v>
      </c>
      <c r="H266" s="9">
        <f t="shared" si="14"/>
        <v>-0.14572855031216775</v>
      </c>
      <c r="K266" s="7">
        <v>0.01</v>
      </c>
      <c r="L266" s="8">
        <f t="shared" si="12"/>
        <v>-3.8928550312169082E-2</v>
      </c>
    </row>
    <row r="267" spans="4:12" ht="14.4" customHeight="1">
      <c r="D267" s="2">
        <v>42383</v>
      </c>
      <c r="E267" s="3">
        <v>4.4630000000000001</v>
      </c>
      <c r="F267" s="3">
        <f t="shared" si="13"/>
        <v>-2.5222576024372192E-2</v>
      </c>
      <c r="G267" s="3" cm="1">
        <f t="array" ref="G267">SUMPRODUCT(IF(((H267-$F$4:$F$515)/$B$10)&lt;=-1,0,IF(((H267-$F$4:$F$515)/$B$10)&gt;=1,1,(15/16)*(((H267-$F$4:$F$515)/$B$10)-(2/3)*((H267-$F$4:$F$515)/$B$10)^3+(1/5)*((H267-$F$4:$F$515)/$B$10)^5+8/15))))/COUNT($F$4:$F$515)</f>
        <v>1.953125E-3</v>
      </c>
      <c r="H267" s="1">
        <f t="shared" si="14"/>
        <v>-0.14542855031216775</v>
      </c>
      <c r="K267" s="2">
        <v>0.01</v>
      </c>
      <c r="L267" s="3">
        <f t="shared" si="12"/>
        <v>-3.8928550312169082E-2</v>
      </c>
    </row>
    <row r="268" spans="4:12" ht="14.4" customHeight="1">
      <c r="D268" s="7">
        <v>42384</v>
      </c>
      <c r="E268" s="8">
        <v>4.26</v>
      </c>
      <c r="F268" s="8">
        <f t="shared" si="13"/>
        <v>-4.6552025365853865E-2</v>
      </c>
      <c r="G268" s="8" cm="1">
        <f t="array" ref="G268">SUMPRODUCT(IF(((H268-$F$4:$F$515)/$B$10)&lt;=-1,0,IF(((H268-$F$4:$F$515)/$B$10)&gt;=1,1,(15/16)*(((H268-$F$4:$F$515)/$B$10)-(2/3)*((H268-$F$4:$F$515)/$B$10)^3+(1/5)*((H268-$F$4:$F$515)/$B$10)^5+8/15))))/COUNT($F$4:$F$515)</f>
        <v>1.953125E-3</v>
      </c>
      <c r="H268" s="9">
        <f t="shared" si="14"/>
        <v>-0.14512855031216776</v>
      </c>
      <c r="K268" s="7">
        <v>0.01</v>
      </c>
      <c r="L268" s="8">
        <f t="shared" si="12"/>
        <v>-3.8928550312169082E-2</v>
      </c>
    </row>
    <row r="269" spans="4:12" ht="14.4" customHeight="1">
      <c r="D269" s="2">
        <v>42387</v>
      </c>
      <c r="E269" s="3">
        <v>4.0170000000000003</v>
      </c>
      <c r="F269" s="3">
        <f t="shared" si="13"/>
        <v>-5.8733804904133824E-2</v>
      </c>
      <c r="G269" s="3" cm="1">
        <f t="array" ref="G269">SUMPRODUCT(IF(((H269-$F$4:$F$515)/$B$10)&lt;=-1,0,IF(((H269-$F$4:$F$515)/$B$10)&gt;=1,1,(15/16)*(((H269-$F$4:$F$515)/$B$10)-(2/3)*((H269-$F$4:$F$515)/$B$10)^3+(1/5)*((H269-$F$4:$F$515)/$B$10)^5+8/15))))/COUNT($F$4:$F$515)</f>
        <v>1.953125E-3</v>
      </c>
      <c r="H269" s="1">
        <f t="shared" si="14"/>
        <v>-0.14482855031216776</v>
      </c>
      <c r="K269" s="2">
        <v>0.01</v>
      </c>
      <c r="L269" s="3">
        <f t="shared" si="12"/>
        <v>-3.8928550312169082E-2</v>
      </c>
    </row>
    <row r="270" spans="4:12" ht="14.4" customHeight="1">
      <c r="D270" s="7">
        <v>42388</v>
      </c>
      <c r="E270" s="8">
        <v>4.1630000000000003</v>
      </c>
      <c r="F270" s="8">
        <f t="shared" si="13"/>
        <v>3.5700612835693167E-2</v>
      </c>
      <c r="G270" s="8" cm="1">
        <f t="array" ref="G270">SUMPRODUCT(IF(((H270-$F$4:$F$515)/$B$10)&lt;=-1,0,IF(((H270-$F$4:$F$515)/$B$10)&gt;=1,1,(15/16)*(((H270-$F$4:$F$515)/$B$10)-(2/3)*((H270-$F$4:$F$515)/$B$10)^3+(1/5)*((H270-$F$4:$F$515)/$B$10)^5+8/15))))/COUNT($F$4:$F$515)</f>
        <v>1.953125E-3</v>
      </c>
      <c r="H270" s="9">
        <f t="shared" si="14"/>
        <v>-0.14452855031216777</v>
      </c>
      <c r="K270" s="7">
        <v>0.01</v>
      </c>
      <c r="L270" s="8">
        <f t="shared" si="12"/>
        <v>-3.8928550312169082E-2</v>
      </c>
    </row>
    <row r="271" spans="4:12" ht="14.4" customHeight="1">
      <c r="D271" s="2">
        <v>42389</v>
      </c>
      <c r="E271" s="3">
        <v>3.9849999999999999</v>
      </c>
      <c r="F271" s="3">
        <f t="shared" si="13"/>
        <v>-4.3698655970660083E-2</v>
      </c>
      <c r="G271" s="3" cm="1">
        <f t="array" ref="G271">SUMPRODUCT(IF(((H271-$F$4:$F$515)/$B$10)&lt;=-1,0,IF(((H271-$F$4:$F$515)/$B$10)&gt;=1,1,(15/16)*(((H271-$F$4:$F$515)/$B$10)-(2/3)*((H271-$F$4:$F$515)/$B$10)^3+(1/5)*((H271-$F$4:$F$515)/$B$10)^5+8/15))))/COUNT($F$4:$F$515)</f>
        <v>1.953125E-3</v>
      </c>
      <c r="H271" s="1">
        <f t="shared" si="14"/>
        <v>-0.14422855031216777</v>
      </c>
      <c r="K271" s="2">
        <v>0.01</v>
      </c>
      <c r="L271" s="3">
        <f t="shared" si="12"/>
        <v>-3.8928550312169082E-2</v>
      </c>
    </row>
    <row r="272" spans="4:12" ht="14.4" customHeight="1">
      <c r="D272" s="7">
        <v>42390</v>
      </c>
      <c r="E272" s="8">
        <v>4.16</v>
      </c>
      <c r="F272" s="8">
        <f t="shared" si="13"/>
        <v>4.2977762030993523E-2</v>
      </c>
      <c r="G272" s="8" cm="1">
        <f t="array" ref="G272">SUMPRODUCT(IF(((H272-$F$4:$F$515)/$B$10)&lt;=-1,0,IF(((H272-$F$4:$F$515)/$B$10)&gt;=1,1,(15/16)*(((H272-$F$4:$F$515)/$B$10)-(2/3)*((H272-$F$4:$F$515)/$B$10)^3+(1/5)*((H272-$F$4:$F$515)/$B$10)^5+8/15))))/COUNT($F$4:$F$515)</f>
        <v>1.953125E-3</v>
      </c>
      <c r="H272" s="9">
        <f t="shared" si="14"/>
        <v>-0.14392855031216778</v>
      </c>
      <c r="K272" s="7">
        <v>0.01</v>
      </c>
      <c r="L272" s="8">
        <f t="shared" si="12"/>
        <v>-3.8928550312169082E-2</v>
      </c>
    </row>
    <row r="273" spans="4:12" ht="14.4" customHeight="1">
      <c r="D273" s="2">
        <v>42391</v>
      </c>
      <c r="E273" s="3">
        <v>4.375</v>
      </c>
      <c r="F273" s="3">
        <f t="shared" si="13"/>
        <v>5.0391445536405823E-2</v>
      </c>
      <c r="G273" s="3" cm="1">
        <f t="array" ref="G273">SUMPRODUCT(IF(((H273-$F$4:$F$515)/$B$10)&lt;=-1,0,IF(((H273-$F$4:$F$515)/$B$10)&gt;=1,1,(15/16)*(((H273-$F$4:$F$515)/$B$10)-(2/3)*((H273-$F$4:$F$515)/$B$10)^3+(1/5)*((H273-$F$4:$F$515)/$B$10)^5+8/15))))/COUNT($F$4:$F$515)</f>
        <v>1.953125E-3</v>
      </c>
      <c r="H273" s="1">
        <f t="shared" si="14"/>
        <v>-0.14362855031216779</v>
      </c>
      <c r="K273" s="2">
        <v>0.01</v>
      </c>
      <c r="L273" s="3">
        <f t="shared" si="12"/>
        <v>-3.8928550312169082E-2</v>
      </c>
    </row>
    <row r="274" spans="4:12" ht="14.4" customHeight="1">
      <c r="D274" s="7">
        <v>42394</v>
      </c>
      <c r="E274" s="8">
        <v>4.26</v>
      </c>
      <c r="F274" s="8">
        <f t="shared" si="13"/>
        <v>-2.6637359528298769E-2</v>
      </c>
      <c r="G274" s="8" cm="1">
        <f t="array" ref="G274">SUMPRODUCT(IF(((H274-$F$4:$F$515)/$B$10)&lt;=-1,0,IF(((H274-$F$4:$F$515)/$B$10)&gt;=1,1,(15/16)*(((H274-$F$4:$F$515)/$B$10)-(2/3)*((H274-$F$4:$F$515)/$B$10)^3+(1/5)*((H274-$F$4:$F$515)/$B$10)^5+8/15))))/COUNT($F$4:$F$515)</f>
        <v>1.953125E-3</v>
      </c>
      <c r="H274" s="9">
        <f t="shared" si="14"/>
        <v>-0.14332855031216779</v>
      </c>
      <c r="K274" s="7">
        <v>0.01</v>
      </c>
      <c r="L274" s="8">
        <f t="shared" si="12"/>
        <v>-3.8928550312169082E-2</v>
      </c>
    </row>
    <row r="275" spans="4:12" ht="14.4" customHeight="1">
      <c r="D275" s="2">
        <v>42395</v>
      </c>
      <c r="E275" s="3">
        <v>4.367</v>
      </c>
      <c r="F275" s="3">
        <f t="shared" si="13"/>
        <v>2.4807114222144998E-2</v>
      </c>
      <c r="G275" s="3" cm="1">
        <f t="array" ref="G275">SUMPRODUCT(IF(((H275-$F$4:$F$515)/$B$10)&lt;=-1,0,IF(((H275-$F$4:$F$515)/$B$10)&gt;=1,1,(15/16)*(((H275-$F$4:$F$515)/$B$10)-(2/3)*((H275-$F$4:$F$515)/$B$10)^3+(1/5)*((H275-$F$4:$F$515)/$B$10)^5+8/15))))/COUNT($F$4:$F$515)</f>
        <v>1.953125E-3</v>
      </c>
      <c r="H275" s="1">
        <f t="shared" si="14"/>
        <v>-0.1430285503121678</v>
      </c>
      <c r="K275" s="2">
        <v>0.01</v>
      </c>
      <c r="L275" s="3">
        <f t="shared" si="12"/>
        <v>-3.8928550312169082E-2</v>
      </c>
    </row>
    <row r="276" spans="4:12" ht="14.4" customHeight="1">
      <c r="D276" s="7">
        <v>42396</v>
      </c>
      <c r="E276" s="8">
        <v>4.3079999999999998</v>
      </c>
      <c r="F276" s="8">
        <f t="shared" si="13"/>
        <v>-1.3602515209281813E-2</v>
      </c>
      <c r="G276" s="8" cm="1">
        <f t="array" ref="G276">SUMPRODUCT(IF(((H276-$F$4:$F$515)/$B$10)&lt;=-1,0,IF(((H276-$F$4:$F$515)/$B$10)&gt;=1,1,(15/16)*(((H276-$F$4:$F$515)/$B$10)-(2/3)*((H276-$F$4:$F$515)/$B$10)^3+(1/5)*((H276-$F$4:$F$515)/$B$10)^5+8/15))))/COUNT($F$4:$F$515)</f>
        <v>1.953125E-3</v>
      </c>
      <c r="H276" s="9">
        <f t="shared" si="14"/>
        <v>-0.1427285503121678</v>
      </c>
      <c r="K276" s="7">
        <v>0.01</v>
      </c>
      <c r="L276" s="8">
        <f t="shared" si="12"/>
        <v>-3.8928550312169082E-2</v>
      </c>
    </row>
    <row r="277" spans="4:12" ht="14.4" customHeight="1">
      <c r="D277" s="2">
        <v>42397</v>
      </c>
      <c r="E277" s="3">
        <v>4.4370000000000003</v>
      </c>
      <c r="F277" s="3">
        <f t="shared" si="13"/>
        <v>2.9504713102630514E-2</v>
      </c>
      <c r="G277" s="3" cm="1">
        <f t="array" ref="G277">SUMPRODUCT(IF(((H277-$F$4:$F$515)/$B$10)&lt;=-1,0,IF(((H277-$F$4:$F$515)/$B$10)&gt;=1,1,(15/16)*(((H277-$F$4:$F$515)/$B$10)-(2/3)*((H277-$F$4:$F$515)/$B$10)^3+(1/5)*((H277-$F$4:$F$515)/$B$10)^5+8/15))))/COUNT($F$4:$F$515)</f>
        <v>1.953125E-3</v>
      </c>
      <c r="H277" s="1">
        <f t="shared" si="14"/>
        <v>-0.14242855031216781</v>
      </c>
      <c r="K277" s="2">
        <v>0.01</v>
      </c>
      <c r="L277" s="3">
        <f t="shared" si="12"/>
        <v>-3.8928550312169082E-2</v>
      </c>
    </row>
    <row r="278" spans="4:12" ht="14.4" customHeight="1">
      <c r="D278" s="7">
        <v>42398</v>
      </c>
      <c r="E278" s="8">
        <v>4.5149999999999997</v>
      </c>
      <c r="F278" s="8">
        <f t="shared" si="13"/>
        <v>1.7426714472176169E-2</v>
      </c>
      <c r="G278" s="8" cm="1">
        <f t="array" ref="G278">SUMPRODUCT(IF(((H278-$F$4:$F$515)/$B$10)&lt;=-1,0,IF(((H278-$F$4:$F$515)/$B$10)&gt;=1,1,(15/16)*(((H278-$F$4:$F$515)/$B$10)-(2/3)*((H278-$F$4:$F$515)/$B$10)^3+(1/5)*((H278-$F$4:$F$515)/$B$10)^5+8/15))))/COUNT($F$4:$F$515)</f>
        <v>1.953125E-3</v>
      </c>
      <c r="H278" s="9">
        <f t="shared" si="14"/>
        <v>-0.14212855031216781</v>
      </c>
      <c r="K278" s="7">
        <v>0.01</v>
      </c>
      <c r="L278" s="8">
        <f t="shared" si="12"/>
        <v>-3.8928550312169082E-2</v>
      </c>
    </row>
    <row r="279" spans="4:12" ht="14.4" customHeight="1">
      <c r="D279" s="2">
        <v>42401</v>
      </c>
      <c r="E279" s="3">
        <v>4.47</v>
      </c>
      <c r="F279" s="3">
        <f t="shared" si="13"/>
        <v>-1.0016778243471232E-2</v>
      </c>
      <c r="G279" s="3" cm="1">
        <f t="array" ref="G279">SUMPRODUCT(IF(((H279-$F$4:$F$515)/$B$10)&lt;=-1,0,IF(((H279-$F$4:$F$515)/$B$10)&gt;=1,1,(15/16)*(((H279-$F$4:$F$515)/$B$10)-(2/3)*((H279-$F$4:$F$515)/$B$10)^3+(1/5)*((H279-$F$4:$F$515)/$B$10)^5+8/15))))/COUNT($F$4:$F$515)</f>
        <v>1.953125E-3</v>
      </c>
      <c r="H279" s="1">
        <f t="shared" si="14"/>
        <v>-0.14182855031216782</v>
      </c>
      <c r="K279" s="2">
        <v>0.01</v>
      </c>
      <c r="L279" s="3">
        <f t="shared" si="12"/>
        <v>-3.8928550312169082E-2</v>
      </c>
    </row>
    <row r="280" spans="4:12" ht="14.4" customHeight="1">
      <c r="D280" s="7">
        <v>42402</v>
      </c>
      <c r="E280" s="8">
        <v>4.2080000000000002</v>
      </c>
      <c r="F280" s="8">
        <f t="shared" si="13"/>
        <v>-6.0400933190068631E-2</v>
      </c>
      <c r="G280" s="8" cm="1">
        <f t="array" ref="G280">SUMPRODUCT(IF(((H280-$F$4:$F$515)/$B$10)&lt;=-1,0,IF(((H280-$F$4:$F$515)/$B$10)&gt;=1,1,(15/16)*(((H280-$F$4:$F$515)/$B$10)-(2/3)*((H280-$F$4:$F$515)/$B$10)^3+(1/5)*((H280-$F$4:$F$515)/$B$10)^5+8/15))))/COUNT($F$4:$F$515)</f>
        <v>1.953125E-3</v>
      </c>
      <c r="H280" s="9">
        <f t="shared" si="14"/>
        <v>-0.14152855031216782</v>
      </c>
      <c r="K280" s="7">
        <v>0.01</v>
      </c>
      <c r="L280" s="8">
        <f t="shared" si="12"/>
        <v>-3.8928550312169082E-2</v>
      </c>
    </row>
    <row r="281" spans="4:12" ht="14.4" customHeight="1">
      <c r="D281" s="2">
        <v>42403</v>
      </c>
      <c r="E281" s="3">
        <v>4.0250000000000004</v>
      </c>
      <c r="F281" s="3">
        <f t="shared" si="13"/>
        <v>-4.4462564564881991E-2</v>
      </c>
      <c r="G281" s="3" cm="1">
        <f t="array" ref="G281">SUMPRODUCT(IF(((H281-$F$4:$F$515)/$B$10)&lt;=-1,0,IF(((H281-$F$4:$F$515)/$B$10)&gt;=1,1,(15/16)*(((H281-$F$4:$F$515)/$B$10)-(2/3)*((H281-$F$4:$F$515)/$B$10)^3+(1/5)*((H281-$F$4:$F$515)/$B$10)^5+8/15))))/COUNT($F$4:$F$515)</f>
        <v>1.953125E-3</v>
      </c>
      <c r="H281" s="1">
        <f t="shared" si="14"/>
        <v>-0.14122855031216783</v>
      </c>
      <c r="K281" s="2">
        <v>0.01</v>
      </c>
      <c r="L281" s="3">
        <f t="shared" si="12"/>
        <v>-3.8928550312169082E-2</v>
      </c>
    </row>
    <row r="282" spans="4:12" ht="14.4" customHeight="1">
      <c r="D282" s="7">
        <v>42404</v>
      </c>
      <c r="E282" s="8">
        <v>4.1619999999999999</v>
      </c>
      <c r="F282" s="8">
        <f t="shared" si="13"/>
        <v>3.3470817100915824E-2</v>
      </c>
      <c r="G282" s="8" cm="1">
        <f t="array" ref="G282">SUMPRODUCT(IF(((H282-$F$4:$F$515)/$B$10)&lt;=-1,0,IF(((H282-$F$4:$F$515)/$B$10)&gt;=1,1,(15/16)*(((H282-$F$4:$F$515)/$B$10)-(2/3)*((H282-$F$4:$F$515)/$B$10)^3+(1/5)*((H282-$F$4:$F$515)/$B$10)^5+8/15))))/COUNT($F$4:$F$515)</f>
        <v>1.953125E-3</v>
      </c>
      <c r="H282" s="9">
        <f t="shared" si="14"/>
        <v>-0.14092855031216783</v>
      </c>
      <c r="K282" s="7">
        <v>0.01</v>
      </c>
      <c r="L282" s="8">
        <f t="shared" si="12"/>
        <v>-3.8928550312169082E-2</v>
      </c>
    </row>
    <row r="283" spans="4:12" ht="14.4" customHeight="1">
      <c r="D283" s="2">
        <v>42405</v>
      </c>
      <c r="E283" s="3">
        <v>4.2770000000000001</v>
      </c>
      <c r="F283" s="3">
        <f t="shared" si="13"/>
        <v>2.7256101273328961E-2</v>
      </c>
      <c r="G283" s="3" cm="1">
        <f t="array" ref="G283">SUMPRODUCT(IF(((H283-$F$4:$F$515)/$B$10)&lt;=-1,0,IF(((H283-$F$4:$F$515)/$B$10)&gt;=1,1,(15/16)*(((H283-$F$4:$F$515)/$B$10)-(2/3)*((H283-$F$4:$F$515)/$B$10)^3+(1/5)*((H283-$F$4:$F$515)/$B$10)^5+8/15))))/COUNT($F$4:$F$515)</f>
        <v>1.953125E-3</v>
      </c>
      <c r="H283" s="1">
        <f t="shared" si="14"/>
        <v>-0.14062855031216784</v>
      </c>
      <c r="K283" s="2">
        <v>0.01</v>
      </c>
      <c r="L283" s="3">
        <f t="shared" si="12"/>
        <v>-3.8928550312169082E-2</v>
      </c>
    </row>
    <row r="284" spans="4:12" ht="14.4" customHeight="1">
      <c r="D284" s="7">
        <v>42408</v>
      </c>
      <c r="E284" s="8">
        <v>4.0830000000000002</v>
      </c>
      <c r="F284" s="8">
        <f t="shared" si="13"/>
        <v>-4.6419816907332823E-2</v>
      </c>
      <c r="G284" s="8" cm="1">
        <f t="array" ref="G284">SUMPRODUCT(IF(((H284-$F$4:$F$515)/$B$10)&lt;=-1,0,IF(((H284-$F$4:$F$515)/$B$10)&gt;=1,1,(15/16)*(((H284-$F$4:$F$515)/$B$10)-(2/3)*((H284-$F$4:$F$515)/$B$10)^3+(1/5)*((H284-$F$4:$F$515)/$B$10)^5+8/15))))/COUNT($F$4:$F$515)</f>
        <v>1.953125E-3</v>
      </c>
      <c r="H284" s="9">
        <f t="shared" si="14"/>
        <v>-0.14032855031216784</v>
      </c>
      <c r="K284" s="7">
        <v>0.01</v>
      </c>
      <c r="L284" s="8">
        <f t="shared" si="12"/>
        <v>-3.8928550312169082E-2</v>
      </c>
    </row>
    <row r="285" spans="4:12" ht="14.4" customHeight="1">
      <c r="D285" s="2">
        <v>42409</v>
      </c>
      <c r="E285" s="3">
        <v>3.86</v>
      </c>
      <c r="F285" s="3">
        <f t="shared" si="13"/>
        <v>-5.6164828860699331E-2</v>
      </c>
      <c r="G285" s="3" cm="1">
        <f t="array" ref="G285">SUMPRODUCT(IF(((H285-$F$4:$F$515)/$B$10)&lt;=-1,0,IF(((H285-$F$4:$F$515)/$B$10)&gt;=1,1,(15/16)*(((H285-$F$4:$F$515)/$B$10)-(2/3)*((H285-$F$4:$F$515)/$B$10)^3+(1/5)*((H285-$F$4:$F$515)/$B$10)^5+8/15))))/COUNT($F$4:$F$515)</f>
        <v>1.953125E-3</v>
      </c>
      <c r="H285" s="1">
        <f t="shared" si="14"/>
        <v>-0.14002855031216785</v>
      </c>
      <c r="K285" s="2">
        <v>0.01</v>
      </c>
      <c r="L285" s="3">
        <f t="shared" si="12"/>
        <v>-3.8928550312169082E-2</v>
      </c>
    </row>
    <row r="286" spans="4:12" ht="14.4" customHeight="1">
      <c r="D286" s="7">
        <v>42410</v>
      </c>
      <c r="E286" s="8">
        <v>4.101</v>
      </c>
      <c r="F286" s="8">
        <f t="shared" si="13"/>
        <v>6.0563662933182667E-2</v>
      </c>
      <c r="G286" s="8" cm="1">
        <f t="array" ref="G286">SUMPRODUCT(IF(((H286-$F$4:$F$515)/$B$10)&lt;=-1,0,IF(((H286-$F$4:$F$515)/$B$10)&gt;=1,1,(15/16)*(((H286-$F$4:$F$515)/$B$10)-(2/3)*((H286-$F$4:$F$515)/$B$10)^3+(1/5)*((H286-$F$4:$F$515)/$B$10)^5+8/15))))/COUNT($F$4:$F$515)</f>
        <v>1.953125E-3</v>
      </c>
      <c r="H286" s="9">
        <f t="shared" si="14"/>
        <v>-0.13972855031216785</v>
      </c>
      <c r="K286" s="7">
        <v>0.01</v>
      </c>
      <c r="L286" s="8">
        <f t="shared" si="12"/>
        <v>-3.8928550312169082E-2</v>
      </c>
    </row>
    <row r="287" spans="4:12" ht="14.4" customHeight="1">
      <c r="D287" s="2">
        <v>42411</v>
      </c>
      <c r="E287" s="3">
        <v>4.3289999999999997</v>
      </c>
      <c r="F287" s="3">
        <f t="shared" si="13"/>
        <v>5.4105722049921319E-2</v>
      </c>
      <c r="G287" s="3" cm="1">
        <f t="array" ref="G287">SUMPRODUCT(IF(((H287-$F$4:$F$515)/$B$10)&lt;=-1,0,IF(((H287-$F$4:$F$515)/$B$10)&gt;=1,1,(15/16)*(((H287-$F$4:$F$515)/$B$10)-(2/3)*((H287-$F$4:$F$515)/$B$10)^3+(1/5)*((H287-$F$4:$F$515)/$B$10)^5+8/15))))/COUNT($F$4:$F$515)</f>
        <v>1.953125E-3</v>
      </c>
      <c r="H287" s="1">
        <f t="shared" si="14"/>
        <v>-0.13942855031216786</v>
      </c>
      <c r="K287" s="2">
        <v>0.01</v>
      </c>
      <c r="L287" s="3">
        <f t="shared" si="12"/>
        <v>-3.8928550312169082E-2</v>
      </c>
    </row>
    <row r="288" spans="4:12" ht="14.4" customHeight="1">
      <c r="D288" s="7">
        <v>42412</v>
      </c>
      <c r="E288" s="8">
        <v>4.4089999999999998</v>
      </c>
      <c r="F288" s="8">
        <f t="shared" si="13"/>
        <v>1.831133791595704E-2</v>
      </c>
      <c r="G288" s="8" cm="1">
        <f t="array" ref="G288">SUMPRODUCT(IF(((H288-$F$4:$F$515)/$B$10)&lt;=-1,0,IF(((H288-$F$4:$F$515)/$B$10)&gt;=1,1,(15/16)*(((H288-$F$4:$F$515)/$B$10)-(2/3)*((H288-$F$4:$F$515)/$B$10)^3+(1/5)*((H288-$F$4:$F$515)/$B$10)^5+8/15))))/COUNT($F$4:$F$515)</f>
        <v>1.953125E-3</v>
      </c>
      <c r="H288" s="9">
        <f t="shared" si="14"/>
        <v>-0.13912855031216786</v>
      </c>
      <c r="K288" s="7">
        <v>0.01</v>
      </c>
      <c r="L288" s="8">
        <f t="shared" si="12"/>
        <v>-3.8928550312169082E-2</v>
      </c>
    </row>
    <row r="289" spans="4:12" ht="14.4" customHeight="1">
      <c r="D289" s="2">
        <v>42415</v>
      </c>
      <c r="E289" s="3">
        <v>4.6520000000000001</v>
      </c>
      <c r="F289" s="3">
        <f t="shared" si="13"/>
        <v>5.3649328280617428E-2</v>
      </c>
      <c r="G289" s="3" cm="1">
        <f t="array" ref="G289">SUMPRODUCT(IF(((H289-$F$4:$F$515)/$B$10)&lt;=-1,0,IF(((H289-$F$4:$F$515)/$B$10)&gt;=1,1,(15/16)*(((H289-$F$4:$F$515)/$B$10)-(2/3)*((H289-$F$4:$F$515)/$B$10)^3+(1/5)*((H289-$F$4:$F$515)/$B$10)^5+8/15))))/COUNT($F$4:$F$515)</f>
        <v>1.953125E-3</v>
      </c>
      <c r="H289" s="1">
        <f t="shared" si="14"/>
        <v>-0.13882855031216787</v>
      </c>
      <c r="K289" s="2">
        <v>0.01</v>
      </c>
      <c r="L289" s="3">
        <f t="shared" si="12"/>
        <v>-3.8928550312169082E-2</v>
      </c>
    </row>
    <row r="290" spans="4:12" ht="14.4" customHeight="1">
      <c r="D290" s="7">
        <v>42416</v>
      </c>
      <c r="E290" s="8">
        <v>4.7089999999999996</v>
      </c>
      <c r="F290" s="8">
        <f t="shared" si="13"/>
        <v>1.2178336604999345E-2</v>
      </c>
      <c r="G290" s="8" cm="1">
        <f t="array" ref="G290">SUMPRODUCT(IF(((H290-$F$4:$F$515)/$B$10)&lt;=-1,0,IF(((H290-$F$4:$F$515)/$B$10)&gt;=1,1,(15/16)*(((H290-$F$4:$F$515)/$B$10)-(2/3)*((H290-$F$4:$F$515)/$B$10)^3+(1/5)*((H290-$F$4:$F$515)/$B$10)^5+8/15))))/COUNT($F$4:$F$515)</f>
        <v>1.953125E-3</v>
      </c>
      <c r="H290" s="9">
        <f t="shared" si="14"/>
        <v>-0.13852855031216788</v>
      </c>
      <c r="K290" s="7">
        <v>0.01</v>
      </c>
      <c r="L290" s="8">
        <f t="shared" si="12"/>
        <v>-3.8928550312169082E-2</v>
      </c>
    </row>
    <row r="291" spans="4:12" ht="14.4" customHeight="1">
      <c r="D291" s="2">
        <v>42417</v>
      </c>
      <c r="E291" s="3">
        <v>4.7320000000000002</v>
      </c>
      <c r="F291" s="3">
        <f t="shared" si="13"/>
        <v>4.872374854722963E-3</v>
      </c>
      <c r="G291" s="3" cm="1">
        <f t="array" ref="G291">SUMPRODUCT(IF(((H291-$F$4:$F$515)/$B$10)&lt;=-1,0,IF(((H291-$F$4:$F$515)/$B$10)&gt;=1,1,(15/16)*(((H291-$F$4:$F$515)/$B$10)-(2/3)*((H291-$F$4:$F$515)/$B$10)^3+(1/5)*((H291-$F$4:$F$515)/$B$10)^5+8/15))))/COUNT($F$4:$F$515)</f>
        <v>1.953125E-3</v>
      </c>
      <c r="H291" s="1">
        <f t="shared" si="14"/>
        <v>-0.13822855031216788</v>
      </c>
      <c r="K291" s="2">
        <v>0.01</v>
      </c>
      <c r="L291" s="3">
        <f t="shared" si="12"/>
        <v>-3.8928550312169082E-2</v>
      </c>
    </row>
    <row r="292" spans="4:12" ht="14.4" customHeight="1">
      <c r="D292" s="7">
        <v>42418</v>
      </c>
      <c r="E292" s="8">
        <v>4.6319999999999997</v>
      </c>
      <c r="F292" s="8">
        <f t="shared" si="13"/>
        <v>-2.1359205845446382E-2</v>
      </c>
      <c r="G292" s="8" cm="1">
        <f t="array" ref="G292">SUMPRODUCT(IF(((H292-$F$4:$F$515)/$B$10)&lt;=-1,0,IF(((H292-$F$4:$F$515)/$B$10)&gt;=1,1,(15/16)*(((H292-$F$4:$F$515)/$B$10)-(2/3)*((H292-$F$4:$F$515)/$B$10)^3+(1/5)*((H292-$F$4:$F$515)/$B$10)^5+8/15))))/COUNT($F$4:$F$515)</f>
        <v>1.953125E-3</v>
      </c>
      <c r="H292" s="9">
        <f t="shared" si="14"/>
        <v>-0.13792855031216789</v>
      </c>
      <c r="K292" s="7">
        <v>0.01</v>
      </c>
      <c r="L292" s="8">
        <f t="shared" si="12"/>
        <v>-3.8928550312169082E-2</v>
      </c>
    </row>
    <row r="293" spans="4:12" ht="14.4" customHeight="1">
      <c r="D293" s="2">
        <v>42419</v>
      </c>
      <c r="E293" s="3">
        <v>4.54</v>
      </c>
      <c r="F293" s="3">
        <f t="shared" si="13"/>
        <v>-2.0061728217437423E-2</v>
      </c>
      <c r="G293" s="3" cm="1">
        <f t="array" ref="G293">SUMPRODUCT(IF(((H293-$F$4:$F$515)/$B$10)&lt;=-1,0,IF(((H293-$F$4:$F$515)/$B$10)&gt;=1,1,(15/16)*(((H293-$F$4:$F$515)/$B$10)-(2/3)*((H293-$F$4:$F$515)/$B$10)^3+(1/5)*((H293-$F$4:$F$515)/$B$10)^5+8/15))))/COUNT($F$4:$F$515)</f>
        <v>1.953125E-3</v>
      </c>
      <c r="H293" s="1">
        <f t="shared" si="14"/>
        <v>-0.13762855031216789</v>
      </c>
      <c r="K293" s="2">
        <v>0.01</v>
      </c>
      <c r="L293" s="3">
        <f t="shared" si="12"/>
        <v>-3.8928550312169082E-2</v>
      </c>
    </row>
    <row r="294" spans="4:12" ht="14.4" customHeight="1">
      <c r="D294" s="7">
        <v>42422</v>
      </c>
      <c r="E294" s="8">
        <v>4.7389999999999999</v>
      </c>
      <c r="F294" s="8">
        <f t="shared" si="13"/>
        <v>4.2899130932194669E-2</v>
      </c>
      <c r="G294" s="8" cm="1">
        <f t="array" ref="G294">SUMPRODUCT(IF(((H294-$F$4:$F$515)/$B$10)&lt;=-1,0,IF(((H294-$F$4:$F$515)/$B$10)&gt;=1,1,(15/16)*(((H294-$F$4:$F$515)/$B$10)-(2/3)*((H294-$F$4:$F$515)/$B$10)^3+(1/5)*((H294-$F$4:$F$515)/$B$10)^5+8/15))))/COUNT($F$4:$F$515)</f>
        <v>1.953125E-3</v>
      </c>
      <c r="H294" s="9">
        <f t="shared" si="14"/>
        <v>-0.1373285503121679</v>
      </c>
      <c r="K294" s="7">
        <v>0.01</v>
      </c>
      <c r="L294" s="8">
        <f t="shared" si="12"/>
        <v>-3.8928550312169082E-2</v>
      </c>
    </row>
    <row r="295" spans="4:12" ht="14.4" customHeight="1">
      <c r="D295" s="2">
        <v>42423</v>
      </c>
      <c r="E295" s="3">
        <v>4.6429999999999998</v>
      </c>
      <c r="F295" s="3">
        <f t="shared" si="13"/>
        <v>-2.0465433947666613E-2</v>
      </c>
      <c r="G295" s="3" cm="1">
        <f t="array" ref="G295">SUMPRODUCT(IF(((H295-$F$4:$F$515)/$B$10)&lt;=-1,0,IF(((H295-$F$4:$F$515)/$B$10)&gt;=1,1,(15/16)*(((H295-$F$4:$F$515)/$B$10)-(2/3)*((H295-$F$4:$F$515)/$B$10)^3+(1/5)*((H295-$F$4:$F$515)/$B$10)^5+8/15))))/COUNT($F$4:$F$515)</f>
        <v>1.953125E-3</v>
      </c>
      <c r="H295" s="1">
        <f t="shared" si="14"/>
        <v>-0.1370285503121679</v>
      </c>
      <c r="K295" s="2">
        <v>0.01</v>
      </c>
      <c r="L295" s="3">
        <f t="shared" si="12"/>
        <v>-3.8928550312169082E-2</v>
      </c>
    </row>
    <row r="296" spans="4:12" ht="14.4" customHeight="1">
      <c r="D296" s="7">
        <v>42424</v>
      </c>
      <c r="E296" s="8">
        <v>4.5209999999999999</v>
      </c>
      <c r="F296" s="8">
        <f t="shared" si="13"/>
        <v>-2.6627500725316548E-2</v>
      </c>
      <c r="G296" s="8" cm="1">
        <f t="array" ref="G296">SUMPRODUCT(IF(((H296-$F$4:$F$515)/$B$10)&lt;=-1,0,IF(((H296-$F$4:$F$515)/$B$10)&gt;=1,1,(15/16)*(((H296-$F$4:$F$515)/$B$10)-(2/3)*((H296-$F$4:$F$515)/$B$10)^3+(1/5)*((H296-$F$4:$F$515)/$B$10)^5+8/15))))/COUNT($F$4:$F$515)</f>
        <v>1.953125E-3</v>
      </c>
      <c r="H296" s="9">
        <f t="shared" si="14"/>
        <v>-0.13672855031216791</v>
      </c>
      <c r="K296" s="7">
        <v>0.01</v>
      </c>
      <c r="L296" s="8">
        <f t="shared" si="12"/>
        <v>-3.8928550312169082E-2</v>
      </c>
    </row>
    <row r="297" spans="4:12" ht="14.4" customHeight="1">
      <c r="D297" s="2">
        <v>42425</v>
      </c>
      <c r="E297" s="3">
        <v>4.6500000000000004</v>
      </c>
      <c r="F297" s="3">
        <f t="shared" si="13"/>
        <v>2.8134011286796979E-2</v>
      </c>
      <c r="G297" s="3" cm="1">
        <f t="array" ref="G297">SUMPRODUCT(IF(((H297-$F$4:$F$515)/$B$10)&lt;=-1,0,IF(((H297-$F$4:$F$515)/$B$10)&gt;=1,1,(15/16)*(((H297-$F$4:$F$515)/$B$10)-(2/3)*((H297-$F$4:$F$515)/$B$10)^3+(1/5)*((H297-$F$4:$F$515)/$B$10)^5+8/15))))/COUNT($F$4:$F$515)</f>
        <v>1.953125E-3</v>
      </c>
      <c r="H297" s="1">
        <f t="shared" si="14"/>
        <v>-0.13642855031216791</v>
      </c>
      <c r="K297" s="2">
        <v>0.01</v>
      </c>
      <c r="L297" s="3">
        <f t="shared" si="12"/>
        <v>-3.8928550312169082E-2</v>
      </c>
    </row>
    <row r="298" spans="4:12" ht="14.4" customHeight="1">
      <c r="D298" s="7">
        <v>42426</v>
      </c>
      <c r="E298" s="8">
        <v>4.8689999999999998</v>
      </c>
      <c r="F298" s="8">
        <f t="shared" si="13"/>
        <v>4.6021357601298718E-2</v>
      </c>
      <c r="G298" s="8" cm="1">
        <f t="array" ref="G298">SUMPRODUCT(IF(((H298-$F$4:$F$515)/$B$10)&lt;=-1,0,IF(((H298-$F$4:$F$515)/$B$10)&gt;=1,1,(15/16)*(((H298-$F$4:$F$515)/$B$10)-(2/3)*((H298-$F$4:$F$515)/$B$10)^3+(1/5)*((H298-$F$4:$F$515)/$B$10)^5+8/15))))/COUNT($F$4:$F$515)</f>
        <v>1.953125E-3</v>
      </c>
      <c r="H298" s="9">
        <f t="shared" si="14"/>
        <v>-0.13612855031216792</v>
      </c>
      <c r="K298" s="7">
        <v>0.01</v>
      </c>
      <c r="L298" s="8">
        <f t="shared" si="12"/>
        <v>-3.8928550312169082E-2</v>
      </c>
    </row>
    <row r="299" spans="4:12" ht="14.4" customHeight="1">
      <c r="D299" s="2">
        <v>42429</v>
      </c>
      <c r="E299" s="3">
        <v>4.9359999999999999</v>
      </c>
      <c r="F299" s="3">
        <f t="shared" si="13"/>
        <v>1.3666709402522912E-2</v>
      </c>
      <c r="G299" s="3" cm="1">
        <f t="array" ref="G299">SUMPRODUCT(IF(((H299-$F$4:$F$515)/$B$10)&lt;=-1,0,IF(((H299-$F$4:$F$515)/$B$10)&gt;=1,1,(15/16)*(((H299-$F$4:$F$515)/$B$10)-(2/3)*((H299-$F$4:$F$515)/$B$10)^3+(1/5)*((H299-$F$4:$F$515)/$B$10)^5+8/15))))/COUNT($F$4:$F$515)</f>
        <v>1.953125E-3</v>
      </c>
      <c r="H299" s="1">
        <f t="shared" si="14"/>
        <v>-0.13582855031216792</v>
      </c>
      <c r="K299" s="2">
        <v>0.01</v>
      </c>
      <c r="L299" s="3">
        <f t="shared" si="12"/>
        <v>-3.8928550312169082E-2</v>
      </c>
    </row>
    <row r="300" spans="4:12" ht="14.4" customHeight="1">
      <c r="D300" s="7">
        <v>42430</v>
      </c>
      <c r="E300" s="8">
        <v>5.0599999999999996</v>
      </c>
      <c r="F300" s="8">
        <f t="shared" si="13"/>
        <v>2.4811196696287438E-2</v>
      </c>
      <c r="G300" s="8" cm="1">
        <f t="array" ref="G300">SUMPRODUCT(IF(((H300-$F$4:$F$515)/$B$10)&lt;=-1,0,IF(((H300-$F$4:$F$515)/$B$10)&gt;=1,1,(15/16)*(((H300-$F$4:$F$515)/$B$10)-(2/3)*((H300-$F$4:$F$515)/$B$10)^3+(1/5)*((H300-$F$4:$F$515)/$B$10)^5+8/15))))/COUNT($F$4:$F$515)</f>
        <v>1.953125E-3</v>
      </c>
      <c r="H300" s="9">
        <f t="shared" si="14"/>
        <v>-0.13552855031216793</v>
      </c>
      <c r="K300" s="7">
        <v>0.01</v>
      </c>
      <c r="L300" s="8">
        <f t="shared" si="12"/>
        <v>-3.8928550312169082E-2</v>
      </c>
    </row>
    <row r="301" spans="4:12" ht="14.4" customHeight="1">
      <c r="D301" s="2">
        <v>42431</v>
      </c>
      <c r="E301" s="3">
        <v>5.1449999999999996</v>
      </c>
      <c r="F301" s="3">
        <f t="shared" si="13"/>
        <v>1.6658885986638765E-2</v>
      </c>
      <c r="G301" s="3" cm="1">
        <f t="array" ref="G301">SUMPRODUCT(IF(((H301-$F$4:$F$515)/$B$10)&lt;=-1,0,IF(((H301-$F$4:$F$515)/$B$10)&gt;=1,1,(15/16)*(((H301-$F$4:$F$515)/$B$10)-(2/3)*((H301-$F$4:$F$515)/$B$10)^3+(1/5)*((H301-$F$4:$F$515)/$B$10)^5+8/15))))/COUNT($F$4:$F$515)</f>
        <v>1.953125E-3</v>
      </c>
      <c r="H301" s="1">
        <f t="shared" si="14"/>
        <v>-0.13522855031216793</v>
      </c>
      <c r="K301" s="2">
        <v>0.01</v>
      </c>
      <c r="L301" s="3">
        <f t="shared" si="12"/>
        <v>-3.8928550312169082E-2</v>
      </c>
    </row>
    <row r="302" spans="4:12" ht="14.4" customHeight="1">
      <c r="D302" s="7">
        <v>42432</v>
      </c>
      <c r="E302" s="8">
        <v>5.202</v>
      </c>
      <c r="F302" s="8">
        <f t="shared" si="13"/>
        <v>1.1017797740446846E-2</v>
      </c>
      <c r="G302" s="8" cm="1">
        <f t="array" ref="G302">SUMPRODUCT(IF(((H302-$F$4:$F$515)/$B$10)&lt;=-1,0,IF(((H302-$F$4:$F$515)/$B$10)&gt;=1,1,(15/16)*(((H302-$F$4:$F$515)/$B$10)-(2/3)*((H302-$F$4:$F$515)/$B$10)^3+(1/5)*((H302-$F$4:$F$515)/$B$10)^5+8/15))))/COUNT($F$4:$F$515)</f>
        <v>1.953125E-3</v>
      </c>
      <c r="H302" s="9">
        <f t="shared" si="14"/>
        <v>-0.13492855031216794</v>
      </c>
      <c r="K302" s="7">
        <v>0.01</v>
      </c>
      <c r="L302" s="8">
        <f t="shared" si="12"/>
        <v>-3.8928550312169082E-2</v>
      </c>
    </row>
    <row r="303" spans="4:12" ht="14.4" customHeight="1">
      <c r="D303" s="2">
        <v>42433</v>
      </c>
      <c r="E303" s="3">
        <v>5.1689999999999996</v>
      </c>
      <c r="F303" s="3">
        <f t="shared" si="13"/>
        <v>-6.3639208125575632E-3</v>
      </c>
      <c r="G303" s="3" cm="1">
        <f t="array" ref="G303">SUMPRODUCT(IF(((H303-$F$4:$F$515)/$B$10)&lt;=-1,0,IF(((H303-$F$4:$F$515)/$B$10)&gt;=1,1,(15/16)*(((H303-$F$4:$F$515)/$B$10)-(2/3)*((H303-$F$4:$F$515)/$B$10)^3+(1/5)*((H303-$F$4:$F$515)/$B$10)^5+8/15))))/COUNT($F$4:$F$515)</f>
        <v>1.953125E-3</v>
      </c>
      <c r="H303" s="1">
        <f t="shared" si="14"/>
        <v>-0.13462855031216794</v>
      </c>
      <c r="K303" s="2">
        <v>0.01</v>
      </c>
      <c r="L303" s="3">
        <f t="shared" si="12"/>
        <v>-3.8928550312169082E-2</v>
      </c>
    </row>
    <row r="304" spans="4:12" ht="14.4" customHeight="1">
      <c r="D304" s="7">
        <v>42436</v>
      </c>
      <c r="E304" s="8">
        <v>5.0110000000000001</v>
      </c>
      <c r="F304" s="8">
        <f t="shared" si="13"/>
        <v>-3.1043750236314602E-2</v>
      </c>
      <c r="G304" s="8" cm="1">
        <f t="array" ref="G304">SUMPRODUCT(IF(((H304-$F$4:$F$515)/$B$10)&lt;=-1,0,IF(((H304-$F$4:$F$515)/$B$10)&gt;=1,1,(15/16)*(((H304-$F$4:$F$515)/$B$10)-(2/3)*((H304-$F$4:$F$515)/$B$10)^3+(1/5)*((H304-$F$4:$F$515)/$B$10)^5+8/15))))/COUNT($F$4:$F$515)</f>
        <v>1.953125E-3</v>
      </c>
      <c r="H304" s="9">
        <f t="shared" si="14"/>
        <v>-0.13432855031216795</v>
      </c>
      <c r="K304" s="7">
        <v>0.01</v>
      </c>
      <c r="L304" s="8">
        <f t="shared" si="12"/>
        <v>-3.8928550312169082E-2</v>
      </c>
    </row>
    <row r="305" spans="4:12" ht="14.4" customHeight="1">
      <c r="D305" s="2">
        <v>42437</v>
      </c>
      <c r="E305" s="3">
        <v>4.93</v>
      </c>
      <c r="F305" s="3">
        <f t="shared" si="13"/>
        <v>-1.6296507922988892E-2</v>
      </c>
      <c r="G305" s="3" cm="1">
        <f t="array" ref="G305">SUMPRODUCT(IF(((H305-$F$4:$F$515)/$B$10)&lt;=-1,0,IF(((H305-$F$4:$F$515)/$B$10)&gt;=1,1,(15/16)*(((H305-$F$4:$F$515)/$B$10)-(2/3)*((H305-$F$4:$F$515)/$B$10)^3+(1/5)*((H305-$F$4:$F$515)/$B$10)^5+8/15))))/COUNT($F$4:$F$515)</f>
        <v>1.953125E-3</v>
      </c>
      <c r="H305" s="1">
        <f t="shared" si="14"/>
        <v>-0.13402855031216795</v>
      </c>
      <c r="K305" s="2">
        <v>0.01</v>
      </c>
      <c r="L305" s="3">
        <f t="shared" si="12"/>
        <v>-3.8928550312169082E-2</v>
      </c>
    </row>
    <row r="306" spans="4:12" ht="14.4" customHeight="1">
      <c r="D306" s="7">
        <v>42438</v>
      </c>
      <c r="E306" s="8">
        <v>4.9000000000000004</v>
      </c>
      <c r="F306" s="8">
        <f t="shared" si="13"/>
        <v>-6.1037829380176873E-3</v>
      </c>
      <c r="G306" s="8" cm="1">
        <f t="array" ref="G306">SUMPRODUCT(IF(((H306-$F$4:$F$515)/$B$10)&lt;=-1,0,IF(((H306-$F$4:$F$515)/$B$10)&gt;=1,1,(15/16)*(((H306-$F$4:$F$515)/$B$10)-(2/3)*((H306-$F$4:$F$515)/$B$10)^3+(1/5)*((H306-$F$4:$F$515)/$B$10)^5+8/15))))/COUNT($F$4:$F$515)</f>
        <v>1.953125E-3</v>
      </c>
      <c r="H306" s="9">
        <f t="shared" si="14"/>
        <v>-0.13372855031216796</v>
      </c>
      <c r="K306" s="7">
        <v>0.01</v>
      </c>
      <c r="L306" s="8">
        <f t="shared" si="12"/>
        <v>-3.8928550312169082E-2</v>
      </c>
    </row>
    <row r="307" spans="4:12" ht="14.4" customHeight="1">
      <c r="D307" s="2">
        <v>42439</v>
      </c>
      <c r="E307" s="3">
        <v>4.78</v>
      </c>
      <c r="F307" s="3">
        <f t="shared" si="13"/>
        <v>-2.4794658613216392E-2</v>
      </c>
      <c r="G307" s="3" cm="1">
        <f t="array" ref="G307">SUMPRODUCT(IF(((H307-$F$4:$F$515)/$B$10)&lt;=-1,0,IF(((H307-$F$4:$F$515)/$B$10)&gt;=1,1,(15/16)*(((H307-$F$4:$F$515)/$B$10)-(2/3)*((H307-$F$4:$F$515)/$B$10)^3+(1/5)*((H307-$F$4:$F$515)/$B$10)^5+8/15))))/COUNT($F$4:$F$515)</f>
        <v>1.953125E-3</v>
      </c>
      <c r="H307" s="1">
        <f t="shared" si="14"/>
        <v>-0.13342855031216797</v>
      </c>
      <c r="K307" s="2">
        <v>0.01</v>
      </c>
      <c r="L307" s="3">
        <f t="shared" si="12"/>
        <v>-3.8928550312169082E-2</v>
      </c>
    </row>
    <row r="308" spans="4:12" ht="14.4" customHeight="1">
      <c r="D308" s="7">
        <v>42440</v>
      </c>
      <c r="E308" s="8">
        <v>5.0830000000000002</v>
      </c>
      <c r="F308" s="8">
        <f t="shared" si="13"/>
        <v>6.1461091961400878E-2</v>
      </c>
      <c r="G308" s="8" cm="1">
        <f t="array" ref="G308">SUMPRODUCT(IF(((H308-$F$4:$F$515)/$B$10)&lt;=-1,0,IF(((H308-$F$4:$F$515)/$B$10)&gt;=1,1,(15/16)*(((H308-$F$4:$F$515)/$B$10)-(2/3)*((H308-$F$4:$F$515)/$B$10)^3+(1/5)*((H308-$F$4:$F$515)/$B$10)^5+8/15))))/COUNT($F$4:$F$515)</f>
        <v>1.953125E-3</v>
      </c>
      <c r="H308" s="9">
        <f t="shared" si="14"/>
        <v>-0.13312855031216797</v>
      </c>
      <c r="K308" s="7">
        <v>0.01</v>
      </c>
      <c r="L308" s="8">
        <f t="shared" si="12"/>
        <v>-3.8928550312169082E-2</v>
      </c>
    </row>
    <row r="309" spans="4:12" ht="14.4" customHeight="1">
      <c r="D309" s="2">
        <v>42443</v>
      </c>
      <c r="E309" s="3">
        <v>5.024</v>
      </c>
      <c r="F309" s="3">
        <f t="shared" si="13"/>
        <v>-1.1675209298867915E-2</v>
      </c>
      <c r="G309" s="3" cm="1">
        <f t="array" ref="G309">SUMPRODUCT(IF(((H309-$F$4:$F$515)/$B$10)&lt;=-1,0,IF(((H309-$F$4:$F$515)/$B$10)&gt;=1,1,(15/16)*(((H309-$F$4:$F$515)/$B$10)-(2/3)*((H309-$F$4:$F$515)/$B$10)^3+(1/5)*((H309-$F$4:$F$515)/$B$10)^5+8/15))))/COUNT($F$4:$F$515)</f>
        <v>1.953125E-3</v>
      </c>
      <c r="H309" s="1">
        <f t="shared" si="14"/>
        <v>-0.13282855031216798</v>
      </c>
      <c r="K309" s="2">
        <v>0.01</v>
      </c>
      <c r="L309" s="3">
        <f t="shared" si="12"/>
        <v>-3.8928550312169082E-2</v>
      </c>
    </row>
    <row r="310" spans="4:12" ht="14.4" customHeight="1">
      <c r="D310" s="7">
        <v>42444</v>
      </c>
      <c r="E310" s="8">
        <v>4.9029999999999996</v>
      </c>
      <c r="F310" s="8">
        <f t="shared" si="13"/>
        <v>-2.4379166496801441E-2</v>
      </c>
      <c r="G310" s="8" cm="1">
        <f t="array" ref="G310">SUMPRODUCT(IF(((H310-$F$4:$F$515)/$B$10)&lt;=-1,0,IF(((H310-$F$4:$F$515)/$B$10)&gt;=1,1,(15/16)*(((H310-$F$4:$F$515)/$B$10)-(2/3)*((H310-$F$4:$F$515)/$B$10)^3+(1/5)*((H310-$F$4:$F$515)/$B$10)^5+8/15))))/COUNT($F$4:$F$515)</f>
        <v>1.953125E-3</v>
      </c>
      <c r="H310" s="9">
        <f t="shared" si="14"/>
        <v>-0.13252855031216798</v>
      </c>
      <c r="K310" s="7">
        <v>0.01</v>
      </c>
      <c r="L310" s="8">
        <f t="shared" si="12"/>
        <v>-3.8928550312169082E-2</v>
      </c>
    </row>
    <row r="311" spans="4:12" ht="14.4" customHeight="1">
      <c r="D311" s="2">
        <v>42445</v>
      </c>
      <c r="E311" s="3">
        <v>4.8630000000000004</v>
      </c>
      <c r="F311" s="3">
        <f t="shared" si="13"/>
        <v>-8.191731247447322E-3</v>
      </c>
      <c r="G311" s="3" cm="1">
        <f t="array" ref="G311">SUMPRODUCT(IF(((H311-$F$4:$F$515)/$B$10)&lt;=-1,0,IF(((H311-$F$4:$F$515)/$B$10)&gt;=1,1,(15/16)*(((H311-$F$4:$F$515)/$B$10)-(2/3)*((H311-$F$4:$F$515)/$B$10)^3+(1/5)*((H311-$F$4:$F$515)/$B$10)^5+8/15))))/COUNT($F$4:$F$515)</f>
        <v>1.953125E-3</v>
      </c>
      <c r="H311" s="1">
        <f t="shared" si="14"/>
        <v>-0.13222855031216799</v>
      </c>
      <c r="K311" s="2">
        <v>0.01</v>
      </c>
      <c r="L311" s="3">
        <f t="shared" si="12"/>
        <v>-3.8928550312169082E-2</v>
      </c>
    </row>
    <row r="312" spans="4:12" ht="14.4" customHeight="1">
      <c r="D312" s="7">
        <v>42446</v>
      </c>
      <c r="E312" s="8">
        <v>4.7519999999999998</v>
      </c>
      <c r="F312" s="8">
        <f t="shared" si="13"/>
        <v>-2.3089949361305016E-2</v>
      </c>
      <c r="G312" s="8" cm="1">
        <f t="array" ref="G312">SUMPRODUCT(IF(((H312-$F$4:$F$515)/$B$10)&lt;=-1,0,IF(((H312-$F$4:$F$515)/$B$10)&gt;=1,1,(15/16)*(((H312-$F$4:$F$515)/$B$10)-(2/3)*((H312-$F$4:$F$515)/$B$10)^3+(1/5)*((H312-$F$4:$F$515)/$B$10)^5+8/15))))/COUNT($F$4:$F$515)</f>
        <v>1.953125E-3</v>
      </c>
      <c r="H312" s="9">
        <f t="shared" si="14"/>
        <v>-0.13192855031216799</v>
      </c>
      <c r="K312" s="7">
        <v>0.01</v>
      </c>
      <c r="L312" s="8">
        <f t="shared" si="12"/>
        <v>-3.8928550312169082E-2</v>
      </c>
    </row>
    <row r="313" spans="4:12" ht="14.4" customHeight="1">
      <c r="D313" s="2">
        <v>42447</v>
      </c>
      <c r="E313" s="3">
        <v>4.7380000000000004</v>
      </c>
      <c r="F313" s="3">
        <f t="shared" si="13"/>
        <v>-2.9504763237499462E-3</v>
      </c>
      <c r="G313" s="3" cm="1">
        <f t="array" ref="G313">SUMPRODUCT(IF(((H313-$F$4:$F$515)/$B$10)&lt;=-1,0,IF(((H313-$F$4:$F$515)/$B$10)&gt;=1,1,(15/16)*(((H313-$F$4:$F$515)/$B$10)-(2/3)*((H313-$F$4:$F$515)/$B$10)^3+(1/5)*((H313-$F$4:$F$515)/$B$10)^5+8/15))))/COUNT($F$4:$F$515)</f>
        <v>1.953125E-3</v>
      </c>
      <c r="H313" s="1">
        <f t="shared" si="14"/>
        <v>-0.131628550312168</v>
      </c>
      <c r="K313" s="2">
        <v>0.01</v>
      </c>
      <c r="L313" s="3">
        <f t="shared" si="12"/>
        <v>-3.8928550312169082E-2</v>
      </c>
    </row>
    <row r="314" spans="4:12" ht="14.4" customHeight="1">
      <c r="D314" s="7">
        <v>42450</v>
      </c>
      <c r="E314" s="8">
        <v>4.7160000000000002</v>
      </c>
      <c r="F314" s="8">
        <f t="shared" si="13"/>
        <v>-4.6541230614693249E-3</v>
      </c>
      <c r="G314" s="8" cm="1">
        <f t="array" ref="G314">SUMPRODUCT(IF(((H314-$F$4:$F$515)/$B$10)&lt;=-1,0,IF(((H314-$F$4:$F$515)/$B$10)&gt;=1,1,(15/16)*(((H314-$F$4:$F$515)/$B$10)-(2/3)*((H314-$F$4:$F$515)/$B$10)^3+(1/5)*((H314-$F$4:$F$515)/$B$10)^5+8/15))))/COUNT($F$4:$F$515)</f>
        <v>1.953125E-3</v>
      </c>
      <c r="H314" s="9">
        <f t="shared" si="14"/>
        <v>-0.131328550312168</v>
      </c>
      <c r="K314" s="7">
        <v>0.01</v>
      </c>
      <c r="L314" s="8">
        <f t="shared" si="12"/>
        <v>-3.8928550312169082E-2</v>
      </c>
    </row>
    <row r="315" spans="4:12" ht="14.4" customHeight="1">
      <c r="D315" s="2">
        <v>42451</v>
      </c>
      <c r="E315" s="3">
        <v>4.6790000000000003</v>
      </c>
      <c r="F315" s="3">
        <f t="shared" si="13"/>
        <v>-7.8765707910452305E-3</v>
      </c>
      <c r="G315" s="3" cm="1">
        <f t="array" ref="G315">SUMPRODUCT(IF(((H315-$F$4:$F$515)/$B$10)&lt;=-1,0,IF(((H315-$F$4:$F$515)/$B$10)&gt;=1,1,(15/16)*(((H315-$F$4:$F$515)/$B$10)-(2/3)*((H315-$F$4:$F$515)/$B$10)^3+(1/5)*((H315-$F$4:$F$515)/$B$10)^5+8/15))))/COUNT($F$4:$F$515)</f>
        <v>1.953125E-3</v>
      </c>
      <c r="H315" s="1">
        <f t="shared" si="14"/>
        <v>-0.13102855031216801</v>
      </c>
      <c r="K315" s="2">
        <v>0.01</v>
      </c>
      <c r="L315" s="3">
        <f t="shared" si="12"/>
        <v>-3.8928550312169082E-2</v>
      </c>
    </row>
    <row r="316" spans="4:12" ht="14.4" customHeight="1">
      <c r="D316" s="7">
        <v>42452</v>
      </c>
      <c r="E316" s="8">
        <v>4.5739999999999998</v>
      </c>
      <c r="F316" s="8">
        <f t="shared" si="13"/>
        <v>-2.2696316283489979E-2</v>
      </c>
      <c r="G316" s="8" cm="1">
        <f t="array" ref="G316">SUMPRODUCT(IF(((H316-$F$4:$F$515)/$B$10)&lt;=-1,0,IF(((H316-$F$4:$F$515)/$B$10)&gt;=1,1,(15/16)*(((H316-$F$4:$F$515)/$B$10)-(2/3)*((H316-$F$4:$F$515)/$B$10)^3+(1/5)*((H316-$F$4:$F$515)/$B$10)^5+8/15))))/COUNT($F$4:$F$515)</f>
        <v>1.953125E-3</v>
      </c>
      <c r="H316" s="9">
        <f t="shared" si="14"/>
        <v>-0.13072855031216801</v>
      </c>
      <c r="K316" s="7">
        <v>0.01</v>
      </c>
      <c r="L316" s="8">
        <f t="shared" si="12"/>
        <v>-3.8928550312169082E-2</v>
      </c>
    </row>
    <row r="317" spans="4:12" ht="14.4" customHeight="1">
      <c r="D317" s="2">
        <v>42453</v>
      </c>
      <c r="E317" s="3">
        <v>4.4260000000000002</v>
      </c>
      <c r="F317" s="3">
        <f t="shared" si="13"/>
        <v>-3.289185397173143E-2</v>
      </c>
      <c r="G317" s="3" cm="1">
        <f t="array" ref="G317">SUMPRODUCT(IF(((H317-$F$4:$F$515)/$B$10)&lt;=-1,0,IF(((H317-$F$4:$F$515)/$B$10)&gt;=1,1,(15/16)*(((H317-$F$4:$F$515)/$B$10)-(2/3)*((H317-$F$4:$F$515)/$B$10)^3+(1/5)*((H317-$F$4:$F$515)/$B$10)^5+8/15))))/COUNT($F$4:$F$515)</f>
        <v>1.953125E-3</v>
      </c>
      <c r="H317" s="1">
        <f t="shared" si="14"/>
        <v>-0.13042855031216802</v>
      </c>
      <c r="K317" s="2">
        <v>0.01</v>
      </c>
      <c r="L317" s="3">
        <f t="shared" si="12"/>
        <v>-3.8928550312169082E-2</v>
      </c>
    </row>
    <row r="318" spans="4:12" ht="14.4" customHeight="1">
      <c r="D318" s="7">
        <v>42458</v>
      </c>
      <c r="E318" s="8">
        <v>4.3769999999999998</v>
      </c>
      <c r="F318" s="8">
        <f t="shared" si="13"/>
        <v>-1.113268342009968E-2</v>
      </c>
      <c r="G318" s="8" cm="1">
        <f t="array" ref="G318">SUMPRODUCT(IF(((H318-$F$4:$F$515)/$B$10)&lt;=-1,0,IF(((H318-$F$4:$F$515)/$B$10)&gt;=1,1,(15/16)*(((H318-$F$4:$F$515)/$B$10)-(2/3)*((H318-$F$4:$F$515)/$B$10)^3+(1/5)*((H318-$F$4:$F$515)/$B$10)^5+8/15))))/COUNT($F$4:$F$515)</f>
        <v>1.953125E-3</v>
      </c>
      <c r="H318" s="9">
        <f t="shared" si="14"/>
        <v>-0.13012855031216802</v>
      </c>
      <c r="K318" s="7">
        <v>0.01</v>
      </c>
      <c r="L318" s="8">
        <f t="shared" si="12"/>
        <v>-3.8928550312169082E-2</v>
      </c>
    </row>
    <row r="319" spans="4:12" ht="14.4" customHeight="1">
      <c r="D319" s="2">
        <v>42459</v>
      </c>
      <c r="E319" s="3">
        <v>4.3650000000000002</v>
      </c>
      <c r="F319" s="3">
        <f t="shared" si="13"/>
        <v>-2.7453689171926718E-3</v>
      </c>
      <c r="G319" s="3" cm="1">
        <f t="array" ref="G319">SUMPRODUCT(IF(((H319-$F$4:$F$515)/$B$10)&lt;=-1,0,IF(((H319-$F$4:$F$515)/$B$10)&gt;=1,1,(15/16)*(((H319-$F$4:$F$515)/$B$10)-(2/3)*((H319-$F$4:$F$515)/$B$10)^3+(1/5)*((H319-$F$4:$F$515)/$B$10)^5+8/15))))/COUNT($F$4:$F$515)</f>
        <v>1.953125E-3</v>
      </c>
      <c r="H319" s="1">
        <f t="shared" si="14"/>
        <v>-0.12982855031216803</v>
      </c>
      <c r="K319" s="2">
        <v>0.01</v>
      </c>
      <c r="L319" s="3">
        <f t="shared" si="12"/>
        <v>-3.8928550312169082E-2</v>
      </c>
    </row>
    <row r="320" spans="4:12" ht="14.4" customHeight="1">
      <c r="D320" s="7">
        <v>42460</v>
      </c>
      <c r="E320" s="8">
        <v>4.327</v>
      </c>
      <c r="F320" s="8">
        <f t="shared" si="13"/>
        <v>-8.7437280488178726E-3</v>
      </c>
      <c r="G320" s="8" cm="1">
        <f t="array" ref="G320">SUMPRODUCT(IF(((H320-$F$4:$F$515)/$B$10)&lt;=-1,0,IF(((H320-$F$4:$F$515)/$B$10)&gt;=1,1,(15/16)*(((H320-$F$4:$F$515)/$B$10)-(2/3)*((H320-$F$4:$F$515)/$B$10)^3+(1/5)*((H320-$F$4:$F$515)/$B$10)^5+8/15))))/COUNT($F$4:$F$515)</f>
        <v>1.953125E-3</v>
      </c>
      <c r="H320" s="9">
        <f t="shared" si="14"/>
        <v>-0.12952855031216803</v>
      </c>
      <c r="K320" s="7">
        <v>0.01</v>
      </c>
      <c r="L320" s="8">
        <f t="shared" si="12"/>
        <v>-3.8928550312169082E-2</v>
      </c>
    </row>
    <row r="321" spans="4:12" ht="14.4" customHeight="1">
      <c r="D321" s="2">
        <v>42461</v>
      </c>
      <c r="E321" s="3">
        <v>4.3259999999999996</v>
      </c>
      <c r="F321" s="3">
        <f t="shared" si="13"/>
        <v>-2.311337118807871E-4</v>
      </c>
      <c r="G321" s="3" cm="1">
        <f t="array" ref="G321">SUMPRODUCT(IF(((H321-$F$4:$F$515)/$B$10)&lt;=-1,0,IF(((H321-$F$4:$F$515)/$B$10)&gt;=1,1,(15/16)*(((H321-$F$4:$F$515)/$B$10)-(2/3)*((H321-$F$4:$F$515)/$B$10)^3+(1/5)*((H321-$F$4:$F$515)/$B$10)^5+8/15))))/COUNT($F$4:$F$515)</f>
        <v>1.953125E-3</v>
      </c>
      <c r="H321" s="1">
        <f t="shared" si="14"/>
        <v>-0.12922855031216804</v>
      </c>
      <c r="K321" s="2">
        <v>0.01</v>
      </c>
      <c r="L321" s="3">
        <f t="shared" si="12"/>
        <v>-3.8928550312169082E-2</v>
      </c>
    </row>
    <row r="322" spans="4:12" ht="14.4" customHeight="1">
      <c r="D322" s="7">
        <v>42464</v>
      </c>
      <c r="E322" s="8">
        <v>4.3220000000000001</v>
      </c>
      <c r="F322" s="8">
        <f t="shared" si="13"/>
        <v>-9.2506944617271828E-4</v>
      </c>
      <c r="G322" s="8" cm="1">
        <f t="array" ref="G322">SUMPRODUCT(IF(((H322-$F$4:$F$515)/$B$10)&lt;=-1,0,IF(((H322-$F$4:$F$515)/$B$10)&gt;=1,1,(15/16)*(((H322-$F$4:$F$515)/$B$10)-(2/3)*((H322-$F$4:$F$515)/$B$10)^3+(1/5)*((H322-$F$4:$F$515)/$B$10)^5+8/15))))/COUNT($F$4:$F$515)</f>
        <v>1.953125E-3</v>
      </c>
      <c r="H322" s="9">
        <f t="shared" si="14"/>
        <v>-0.12892855031216804</v>
      </c>
      <c r="K322" s="7">
        <v>0.01</v>
      </c>
      <c r="L322" s="8">
        <f t="shared" si="12"/>
        <v>-3.8928550312169082E-2</v>
      </c>
    </row>
    <row r="323" spans="4:12" ht="14.4" customHeight="1">
      <c r="D323" s="2">
        <v>42465</v>
      </c>
      <c r="E323" s="3">
        <v>4.1909999999999998</v>
      </c>
      <c r="F323" s="3">
        <f t="shared" si="13"/>
        <v>-3.0778889141759795E-2</v>
      </c>
      <c r="G323" s="3" cm="1">
        <f t="array" ref="G323">SUMPRODUCT(IF(((H323-$F$4:$F$515)/$B$10)&lt;=-1,0,IF(((H323-$F$4:$F$515)/$B$10)&gt;=1,1,(15/16)*(((H323-$F$4:$F$515)/$B$10)-(2/3)*((H323-$F$4:$F$515)/$B$10)^3+(1/5)*((H323-$F$4:$F$515)/$B$10)^5+8/15))))/COUNT($F$4:$F$515)</f>
        <v>1.953125E-3</v>
      </c>
      <c r="H323" s="1">
        <f t="shared" si="14"/>
        <v>-0.12862855031216805</v>
      </c>
      <c r="K323" s="2">
        <v>0.01</v>
      </c>
      <c r="L323" s="3">
        <f t="shared" si="12"/>
        <v>-3.8928550312169082E-2</v>
      </c>
    </row>
    <row r="324" spans="4:12" ht="14.4" customHeight="1">
      <c r="D324" s="7">
        <v>42466</v>
      </c>
      <c r="E324" s="8">
        <v>4.24</v>
      </c>
      <c r="F324" s="8">
        <f t="shared" si="13"/>
        <v>1.1623900300931965E-2</v>
      </c>
      <c r="G324" s="8" cm="1">
        <f t="array" ref="G324">SUMPRODUCT(IF(((H324-$F$4:$F$515)/$B$10)&lt;=-1,0,IF(((H324-$F$4:$F$515)/$B$10)&gt;=1,1,(15/16)*(((H324-$F$4:$F$515)/$B$10)-(2/3)*((H324-$F$4:$F$515)/$B$10)^3+(1/5)*((H324-$F$4:$F$515)/$B$10)^5+8/15))))/COUNT($F$4:$F$515)</f>
        <v>1.953125E-3</v>
      </c>
      <c r="H324" s="9">
        <f t="shared" si="14"/>
        <v>-0.12832855031216805</v>
      </c>
      <c r="K324" s="7">
        <v>0.01</v>
      </c>
      <c r="L324" s="8">
        <f t="shared" ref="L324:L387" si="15">$B$7</f>
        <v>-3.8928550312169082E-2</v>
      </c>
    </row>
    <row r="325" spans="4:12" ht="14.4" customHeight="1">
      <c r="D325" s="2">
        <v>42467</v>
      </c>
      <c r="E325" s="3">
        <v>4.1630000000000003</v>
      </c>
      <c r="F325" s="3">
        <f t="shared" ref="F325:F388" si="16">LN(E325/E324)</f>
        <v>-1.8327301031027962E-2</v>
      </c>
      <c r="G325" s="3" cm="1">
        <f t="array" ref="G325">SUMPRODUCT(IF(((H325-$F$4:$F$515)/$B$10)&lt;=-1,0,IF(((H325-$F$4:$F$515)/$B$10)&gt;=1,1,(15/16)*(((H325-$F$4:$F$515)/$B$10)-(2/3)*((H325-$F$4:$F$515)/$B$10)^3+(1/5)*((H325-$F$4:$F$515)/$B$10)^5+8/15))))/COUNT($F$4:$F$515)</f>
        <v>1.953125E-3</v>
      </c>
      <c r="H325" s="1">
        <f t="shared" ref="H325:H388" si="17">H324+0.0003</f>
        <v>-0.12802855031216806</v>
      </c>
      <c r="K325" s="2">
        <v>0.01</v>
      </c>
      <c r="L325" s="3">
        <f t="shared" si="15"/>
        <v>-3.8928550312169082E-2</v>
      </c>
    </row>
    <row r="326" spans="4:12" ht="14.4" customHeight="1">
      <c r="D326" s="7">
        <v>42468</v>
      </c>
      <c r="E326" s="8">
        <v>4.2889999999999997</v>
      </c>
      <c r="F326" s="8">
        <f t="shared" si="16"/>
        <v>2.9817637321904834E-2</v>
      </c>
      <c r="G326" s="8" cm="1">
        <f t="array" ref="G326">SUMPRODUCT(IF(((H326-$F$4:$F$515)/$B$10)&lt;=-1,0,IF(((H326-$F$4:$F$515)/$B$10)&gt;=1,1,(15/16)*(((H326-$F$4:$F$515)/$B$10)-(2/3)*((H326-$F$4:$F$515)/$B$10)^3+(1/5)*((H326-$F$4:$F$515)/$B$10)^5+8/15))))/COUNT($F$4:$F$515)</f>
        <v>1.953125E-3</v>
      </c>
      <c r="H326" s="9">
        <f t="shared" si="17"/>
        <v>-0.12772855031216807</v>
      </c>
      <c r="K326" s="7">
        <v>0.01</v>
      </c>
      <c r="L326" s="8">
        <f t="shared" si="15"/>
        <v>-3.8928550312169082E-2</v>
      </c>
    </row>
    <row r="327" spans="4:12" ht="14.4" customHeight="1">
      <c r="D327" s="2">
        <v>42471</v>
      </c>
      <c r="E327" s="3">
        <v>4.3739999999999997</v>
      </c>
      <c r="F327" s="3">
        <f t="shared" si="16"/>
        <v>1.9624316719832582E-2</v>
      </c>
      <c r="G327" s="3" cm="1">
        <f t="array" ref="G327">SUMPRODUCT(IF(((H327-$F$4:$F$515)/$B$10)&lt;=-1,0,IF(((H327-$F$4:$F$515)/$B$10)&gt;=1,1,(15/16)*(((H327-$F$4:$F$515)/$B$10)-(2/3)*((H327-$F$4:$F$515)/$B$10)^3+(1/5)*((H327-$F$4:$F$515)/$B$10)^5+8/15))))/COUNT($F$4:$F$515)</f>
        <v>1.953125E-3</v>
      </c>
      <c r="H327" s="1">
        <f t="shared" si="17"/>
        <v>-0.12742855031216807</v>
      </c>
      <c r="K327" s="2">
        <v>0.01</v>
      </c>
      <c r="L327" s="3">
        <f t="shared" si="15"/>
        <v>-3.8928550312169082E-2</v>
      </c>
    </row>
    <row r="328" spans="4:12" ht="14.4" customHeight="1">
      <c r="D328" s="7">
        <v>42472</v>
      </c>
      <c r="E328" s="8">
        <v>4.4370000000000003</v>
      </c>
      <c r="F328" s="8">
        <f t="shared" si="16"/>
        <v>1.430055014219655E-2</v>
      </c>
      <c r="G328" s="8" cm="1">
        <f t="array" ref="G328">SUMPRODUCT(IF(((H328-$F$4:$F$515)/$B$10)&lt;=-1,0,IF(((H328-$F$4:$F$515)/$B$10)&gt;=1,1,(15/16)*(((H328-$F$4:$F$515)/$B$10)-(2/3)*((H328-$F$4:$F$515)/$B$10)^3+(1/5)*((H328-$F$4:$F$515)/$B$10)^5+8/15))))/COUNT($F$4:$F$515)</f>
        <v>1.953125E-3</v>
      </c>
      <c r="H328" s="9">
        <f t="shared" si="17"/>
        <v>-0.12712855031216808</v>
      </c>
      <c r="K328" s="7">
        <v>0.01</v>
      </c>
      <c r="L328" s="8">
        <f t="shared" si="15"/>
        <v>-3.8928550312169082E-2</v>
      </c>
    </row>
    <row r="329" spans="4:12" ht="14.4" customHeight="1">
      <c r="D329" s="2">
        <v>42473</v>
      </c>
      <c r="E329" s="3">
        <v>4.7850000000000001</v>
      </c>
      <c r="F329" s="3">
        <f t="shared" si="16"/>
        <v>7.5507552508145101E-2</v>
      </c>
      <c r="G329" s="3" cm="1">
        <f t="array" ref="G329">SUMPRODUCT(IF(((H329-$F$4:$F$515)/$B$10)&lt;=-1,0,IF(((H329-$F$4:$F$515)/$B$10)&gt;=1,1,(15/16)*(((H329-$F$4:$F$515)/$B$10)-(2/3)*((H329-$F$4:$F$515)/$B$10)^3+(1/5)*((H329-$F$4:$F$515)/$B$10)^5+8/15))))/COUNT($F$4:$F$515)</f>
        <v>1.953125E-3</v>
      </c>
      <c r="H329" s="1">
        <f t="shared" si="17"/>
        <v>-0.12682855031216808</v>
      </c>
      <c r="K329" s="2">
        <v>0.01</v>
      </c>
      <c r="L329" s="3">
        <f t="shared" si="15"/>
        <v>-3.8928550312169082E-2</v>
      </c>
    </row>
    <row r="330" spans="4:12" ht="14.4" customHeight="1">
      <c r="D330" s="7">
        <v>42474</v>
      </c>
      <c r="E330" s="8">
        <v>4.7709999999999999</v>
      </c>
      <c r="F330" s="8">
        <f t="shared" si="16"/>
        <v>-2.9300983709476523E-3</v>
      </c>
      <c r="G330" s="8" cm="1">
        <f t="array" ref="G330">SUMPRODUCT(IF(((H330-$F$4:$F$515)/$B$10)&lt;=-1,0,IF(((H330-$F$4:$F$515)/$B$10)&gt;=1,1,(15/16)*(((H330-$F$4:$F$515)/$B$10)-(2/3)*((H330-$F$4:$F$515)/$B$10)^3+(1/5)*((H330-$F$4:$F$515)/$B$10)^5+8/15))))/COUNT($F$4:$F$515)</f>
        <v>1.953125E-3</v>
      </c>
      <c r="H330" s="9">
        <f t="shared" si="17"/>
        <v>-0.12652855031216809</v>
      </c>
      <c r="K330" s="7">
        <v>0.01</v>
      </c>
      <c r="L330" s="8">
        <f t="shared" si="15"/>
        <v>-3.8928550312169082E-2</v>
      </c>
    </row>
    <row r="331" spans="4:12" ht="14.4" customHeight="1">
      <c r="D331" s="2">
        <v>42475</v>
      </c>
      <c r="E331" s="3">
        <v>4.68</v>
      </c>
      <c r="F331" s="3">
        <f t="shared" si="16"/>
        <v>-1.9257816604414647E-2</v>
      </c>
      <c r="G331" s="3" cm="1">
        <f t="array" ref="G331">SUMPRODUCT(IF(((H331-$F$4:$F$515)/$B$10)&lt;=-1,0,IF(((H331-$F$4:$F$515)/$B$10)&gt;=1,1,(15/16)*(((H331-$F$4:$F$515)/$B$10)-(2/3)*((H331-$F$4:$F$515)/$B$10)^3+(1/5)*((H331-$F$4:$F$515)/$B$10)^5+8/15))))/COUNT($F$4:$F$515)</f>
        <v>1.953125E-3</v>
      </c>
      <c r="H331" s="1">
        <f t="shared" si="17"/>
        <v>-0.12622855031216809</v>
      </c>
      <c r="K331" s="2">
        <v>0.01</v>
      </c>
      <c r="L331" s="3">
        <f t="shared" si="15"/>
        <v>-3.8928550312169082E-2</v>
      </c>
    </row>
    <row r="332" spans="4:12" ht="14.4" customHeight="1">
      <c r="D332" s="7">
        <v>42478</v>
      </c>
      <c r="E332" s="8">
        <v>4.6719999999999997</v>
      </c>
      <c r="F332" s="8">
        <f t="shared" si="16"/>
        <v>-1.7108644036294301E-3</v>
      </c>
      <c r="G332" s="8" cm="1">
        <f t="array" ref="G332">SUMPRODUCT(IF(((H332-$F$4:$F$515)/$B$10)&lt;=-1,0,IF(((H332-$F$4:$F$515)/$B$10)&gt;=1,1,(15/16)*(((H332-$F$4:$F$515)/$B$10)-(2/3)*((H332-$F$4:$F$515)/$B$10)^3+(1/5)*((H332-$F$4:$F$515)/$B$10)^5+8/15))))/COUNT($F$4:$F$515)</f>
        <v>1.953125E-3</v>
      </c>
      <c r="H332" s="9">
        <f t="shared" si="17"/>
        <v>-0.1259285503121681</v>
      </c>
      <c r="K332" s="7">
        <v>0.01</v>
      </c>
      <c r="L332" s="8">
        <f t="shared" si="15"/>
        <v>-3.8928550312169082E-2</v>
      </c>
    </row>
    <row r="333" spans="4:12" ht="14.4" customHeight="1">
      <c r="D333" s="2">
        <v>42479</v>
      </c>
      <c r="E333" s="3">
        <v>4.7240000000000002</v>
      </c>
      <c r="F333" s="3">
        <f t="shared" si="16"/>
        <v>1.1068652809190064E-2</v>
      </c>
      <c r="G333" s="3" cm="1">
        <f t="array" ref="G333">SUMPRODUCT(IF(((H333-$F$4:$F$515)/$B$10)&lt;=-1,0,IF(((H333-$F$4:$F$515)/$B$10)&gt;=1,1,(15/16)*(((H333-$F$4:$F$515)/$B$10)-(2/3)*((H333-$F$4:$F$515)/$B$10)^3+(1/5)*((H333-$F$4:$F$515)/$B$10)^5+8/15))))/COUNT($F$4:$F$515)</f>
        <v>1.953125E-3</v>
      </c>
      <c r="H333" s="1">
        <f t="shared" si="17"/>
        <v>-0.1256285503121681</v>
      </c>
      <c r="K333" s="2">
        <v>0.01</v>
      </c>
      <c r="L333" s="3">
        <f t="shared" si="15"/>
        <v>-3.8928550312169082E-2</v>
      </c>
    </row>
    <row r="334" spans="4:12" ht="14.4" customHeight="1">
      <c r="D334" s="7">
        <v>42480</v>
      </c>
      <c r="E334" s="8">
        <v>4.8710000000000004</v>
      </c>
      <c r="F334" s="8">
        <f t="shared" si="16"/>
        <v>3.0643356489289817E-2</v>
      </c>
      <c r="G334" s="8" cm="1">
        <f t="array" ref="G334">SUMPRODUCT(IF(((H334-$F$4:$F$515)/$B$10)&lt;=-1,0,IF(((H334-$F$4:$F$515)/$B$10)&gt;=1,1,(15/16)*(((H334-$F$4:$F$515)/$B$10)-(2/3)*((H334-$F$4:$F$515)/$B$10)^3+(1/5)*((H334-$F$4:$F$515)/$B$10)^5+8/15))))/COUNT($F$4:$F$515)</f>
        <v>1.953125E-3</v>
      </c>
      <c r="H334" s="9">
        <f t="shared" si="17"/>
        <v>-0.12532855031216811</v>
      </c>
      <c r="K334" s="7">
        <v>0.01</v>
      </c>
      <c r="L334" s="8">
        <f t="shared" si="15"/>
        <v>-3.8928550312169082E-2</v>
      </c>
    </row>
    <row r="335" spans="4:12" ht="14.4" customHeight="1">
      <c r="D335" s="2">
        <v>42481</v>
      </c>
      <c r="E335" s="3">
        <v>4.8559999999999999</v>
      </c>
      <c r="F335" s="3">
        <f t="shared" si="16"/>
        <v>-3.0842010672086175E-3</v>
      </c>
      <c r="G335" s="3" cm="1">
        <f t="array" ref="G335">SUMPRODUCT(IF(((H335-$F$4:$F$515)/$B$10)&lt;=-1,0,IF(((H335-$F$4:$F$515)/$B$10)&gt;=1,1,(15/16)*(((H335-$F$4:$F$515)/$B$10)-(2/3)*((H335-$F$4:$F$515)/$B$10)^3+(1/5)*((H335-$F$4:$F$515)/$B$10)^5+8/15))))/COUNT($F$4:$F$515)</f>
        <v>1.953125E-3</v>
      </c>
      <c r="H335" s="1">
        <f t="shared" si="17"/>
        <v>-0.12502855031216811</v>
      </c>
      <c r="K335" s="2">
        <v>0.01</v>
      </c>
      <c r="L335" s="3">
        <f t="shared" si="15"/>
        <v>-3.8928550312169082E-2</v>
      </c>
    </row>
    <row r="336" spans="4:12" ht="14.4" customHeight="1">
      <c r="D336" s="7">
        <v>42482</v>
      </c>
      <c r="E336" s="8">
        <v>4.8979999999999997</v>
      </c>
      <c r="F336" s="8">
        <f t="shared" si="16"/>
        <v>8.6119047727788774E-3</v>
      </c>
      <c r="G336" s="8" cm="1">
        <f t="array" ref="G336">SUMPRODUCT(IF(((H336-$F$4:$F$515)/$B$10)&lt;=-1,0,IF(((H336-$F$4:$F$515)/$B$10)&gt;=1,1,(15/16)*(((H336-$F$4:$F$515)/$B$10)-(2/3)*((H336-$F$4:$F$515)/$B$10)^3+(1/5)*((H336-$F$4:$F$515)/$B$10)^5+8/15))))/COUNT($F$4:$F$515)</f>
        <v>1.953125E-3</v>
      </c>
      <c r="H336" s="9">
        <f t="shared" si="17"/>
        <v>-0.12472855031216812</v>
      </c>
      <c r="K336" s="7">
        <v>0.01</v>
      </c>
      <c r="L336" s="8">
        <f t="shared" si="15"/>
        <v>-3.8928550312169082E-2</v>
      </c>
    </row>
    <row r="337" spans="4:12" ht="14.4" customHeight="1">
      <c r="D337" s="2">
        <v>42485</v>
      </c>
      <c r="E337" s="3">
        <v>4.7380000000000004</v>
      </c>
      <c r="F337" s="3">
        <f t="shared" si="16"/>
        <v>-3.3211852793382152E-2</v>
      </c>
      <c r="G337" s="3" cm="1">
        <f t="array" ref="G337">SUMPRODUCT(IF(((H337-$F$4:$F$515)/$B$10)&lt;=-1,0,IF(((H337-$F$4:$F$515)/$B$10)&gt;=1,1,(15/16)*(((H337-$F$4:$F$515)/$B$10)-(2/3)*((H337-$F$4:$F$515)/$B$10)^3+(1/5)*((H337-$F$4:$F$515)/$B$10)^5+8/15))))/COUNT($F$4:$F$515)</f>
        <v>1.953125E-3</v>
      </c>
      <c r="H337" s="1">
        <f t="shared" si="17"/>
        <v>-0.12442855031216812</v>
      </c>
      <c r="K337" s="2">
        <v>0.01</v>
      </c>
      <c r="L337" s="3">
        <f t="shared" si="15"/>
        <v>-3.8928550312169082E-2</v>
      </c>
    </row>
    <row r="338" spans="4:12" ht="14.4" customHeight="1">
      <c r="D338" s="7">
        <v>42486</v>
      </c>
      <c r="E338" s="8">
        <v>4.8929999999999998</v>
      </c>
      <c r="F338" s="8">
        <f t="shared" si="16"/>
        <v>3.219050657039272E-2</v>
      </c>
      <c r="G338" s="8" cm="1">
        <f t="array" ref="G338">SUMPRODUCT(IF(((H338-$F$4:$F$515)/$B$10)&lt;=-1,0,IF(((H338-$F$4:$F$515)/$B$10)&gt;=1,1,(15/16)*(((H338-$F$4:$F$515)/$B$10)-(2/3)*((H338-$F$4:$F$515)/$B$10)^3+(1/5)*((H338-$F$4:$F$515)/$B$10)^5+8/15))))/COUNT($F$4:$F$515)</f>
        <v>1.953125E-3</v>
      </c>
      <c r="H338" s="9">
        <f t="shared" si="17"/>
        <v>-0.12412855031216813</v>
      </c>
      <c r="K338" s="7">
        <v>0.01</v>
      </c>
      <c r="L338" s="8">
        <f t="shared" si="15"/>
        <v>-3.8928550312169082E-2</v>
      </c>
    </row>
    <row r="339" spans="4:12" ht="14.4" customHeight="1">
      <c r="D339" s="2">
        <v>42487</v>
      </c>
      <c r="E339" s="3">
        <v>4.8470000000000004</v>
      </c>
      <c r="F339" s="3">
        <f t="shared" si="16"/>
        <v>-9.4456554437474978E-3</v>
      </c>
      <c r="G339" s="3" cm="1">
        <f t="array" ref="G339">SUMPRODUCT(IF(((H339-$F$4:$F$515)/$B$10)&lt;=-1,0,IF(((H339-$F$4:$F$515)/$B$10)&gt;=1,1,(15/16)*(((H339-$F$4:$F$515)/$B$10)-(2/3)*((H339-$F$4:$F$515)/$B$10)^3+(1/5)*((H339-$F$4:$F$515)/$B$10)^5+8/15))))/COUNT($F$4:$F$515)</f>
        <v>1.953125E-3</v>
      </c>
      <c r="H339" s="1">
        <f t="shared" si="17"/>
        <v>-0.12382855031216813</v>
      </c>
      <c r="K339" s="2">
        <v>0.01</v>
      </c>
      <c r="L339" s="3">
        <f t="shared" si="15"/>
        <v>-3.8928550312169082E-2</v>
      </c>
    </row>
    <row r="340" spans="4:12" ht="14.4" customHeight="1">
      <c r="D340" s="7">
        <v>42488</v>
      </c>
      <c r="E340" s="8">
        <v>4.9080000000000004</v>
      </c>
      <c r="F340" s="8">
        <f t="shared" si="16"/>
        <v>1.250656998542595E-2</v>
      </c>
      <c r="G340" s="8" cm="1">
        <f t="array" ref="G340">SUMPRODUCT(IF(((H340-$F$4:$F$515)/$B$10)&lt;=-1,0,IF(((H340-$F$4:$F$515)/$B$10)&gt;=1,1,(15/16)*(((H340-$F$4:$F$515)/$B$10)-(2/3)*((H340-$F$4:$F$515)/$B$10)^3+(1/5)*((H340-$F$4:$F$515)/$B$10)^5+8/15))))/COUNT($F$4:$F$515)</f>
        <v>1.953125E-3</v>
      </c>
      <c r="H340" s="9">
        <f t="shared" si="17"/>
        <v>-0.12352855031216814</v>
      </c>
      <c r="K340" s="7">
        <v>0.01</v>
      </c>
      <c r="L340" s="8">
        <f t="shared" si="15"/>
        <v>-3.8928550312169082E-2</v>
      </c>
    </row>
    <row r="341" spans="4:12" ht="14.4" customHeight="1">
      <c r="D341" s="2">
        <v>42489</v>
      </c>
      <c r="E341" s="3">
        <v>4.8170000000000002</v>
      </c>
      <c r="F341" s="3">
        <f t="shared" si="16"/>
        <v>-1.871519920058131E-2</v>
      </c>
      <c r="G341" s="3" cm="1">
        <f t="array" ref="G341">SUMPRODUCT(IF(((H341-$F$4:$F$515)/$B$10)&lt;=-1,0,IF(((H341-$F$4:$F$515)/$B$10)&gt;=1,1,(15/16)*(((H341-$F$4:$F$515)/$B$10)-(2/3)*((H341-$F$4:$F$515)/$B$10)^3+(1/5)*((H341-$F$4:$F$515)/$B$10)^5+8/15))))/COUNT($F$4:$F$515)</f>
        <v>1.953125E-3</v>
      </c>
      <c r="H341" s="1">
        <f t="shared" si="17"/>
        <v>-0.12322855031216814</v>
      </c>
      <c r="K341" s="2">
        <v>0.01</v>
      </c>
      <c r="L341" s="3">
        <f t="shared" si="15"/>
        <v>-3.8928550312169082E-2</v>
      </c>
    </row>
    <row r="342" spans="4:12" ht="14.4" customHeight="1">
      <c r="D342" s="7">
        <v>42492</v>
      </c>
      <c r="E342" s="8">
        <v>4.726</v>
      </c>
      <c r="F342" s="8">
        <f t="shared" si="16"/>
        <v>-1.907214888336763E-2</v>
      </c>
      <c r="G342" s="8" cm="1">
        <f t="array" ref="G342">SUMPRODUCT(IF(((H342-$F$4:$F$515)/$B$10)&lt;=-1,0,IF(((H342-$F$4:$F$515)/$B$10)&gt;=1,1,(15/16)*(((H342-$F$4:$F$515)/$B$10)-(2/3)*((H342-$F$4:$F$515)/$B$10)^3+(1/5)*((H342-$F$4:$F$515)/$B$10)^5+8/15))))/COUNT($F$4:$F$515)</f>
        <v>1.953125E-3</v>
      </c>
      <c r="H342" s="9">
        <f t="shared" si="17"/>
        <v>-0.12292855031216815</v>
      </c>
      <c r="K342" s="7">
        <v>0.01</v>
      </c>
      <c r="L342" s="8">
        <f t="shared" si="15"/>
        <v>-3.8928550312169082E-2</v>
      </c>
    </row>
    <row r="343" spans="4:12" ht="14.4" customHeight="1">
      <c r="D343" s="2">
        <v>42493</v>
      </c>
      <c r="E343" s="3">
        <v>4.5419999999999998</v>
      </c>
      <c r="F343" s="3">
        <f t="shared" si="16"/>
        <v>-3.9711735081349384E-2</v>
      </c>
      <c r="G343" s="3" cm="1">
        <f t="array" ref="G343">SUMPRODUCT(IF(((H343-$F$4:$F$515)/$B$10)&lt;=-1,0,IF(((H343-$F$4:$F$515)/$B$10)&gt;=1,1,(15/16)*(((H343-$F$4:$F$515)/$B$10)-(2/3)*((H343-$F$4:$F$515)/$B$10)^3+(1/5)*((H343-$F$4:$F$515)/$B$10)^5+8/15))))/COUNT($F$4:$F$515)</f>
        <v>1.953125E-3</v>
      </c>
      <c r="H343" s="1">
        <f t="shared" si="17"/>
        <v>-0.12262855031216816</v>
      </c>
      <c r="K343" s="2">
        <v>0.01</v>
      </c>
      <c r="L343" s="3">
        <f t="shared" si="15"/>
        <v>-3.8928550312169082E-2</v>
      </c>
    </row>
    <row r="344" spans="4:12" ht="14.4" customHeight="1">
      <c r="D344" s="7">
        <v>42494</v>
      </c>
      <c r="E344" s="8">
        <v>4.4020000000000001</v>
      </c>
      <c r="F344" s="8">
        <f t="shared" si="16"/>
        <v>-3.1308460579096691E-2</v>
      </c>
      <c r="G344" s="8" cm="1">
        <f t="array" ref="G344">SUMPRODUCT(IF(((H344-$F$4:$F$515)/$B$10)&lt;=-1,0,IF(((H344-$F$4:$F$515)/$B$10)&gt;=1,1,(15/16)*(((H344-$F$4:$F$515)/$B$10)-(2/3)*((H344-$F$4:$F$515)/$B$10)^3+(1/5)*((H344-$F$4:$F$515)/$B$10)^5+8/15))))/COUNT($F$4:$F$515)</f>
        <v>1.953125E-3</v>
      </c>
      <c r="H344" s="9">
        <f t="shared" si="17"/>
        <v>-0.12232855031216816</v>
      </c>
      <c r="K344" s="7">
        <v>0.01</v>
      </c>
      <c r="L344" s="8">
        <f t="shared" si="15"/>
        <v>-3.8928550312169082E-2</v>
      </c>
    </row>
    <row r="345" spans="4:12" ht="14.4" customHeight="1">
      <c r="D345" s="2">
        <v>42495</v>
      </c>
      <c r="E345" s="3">
        <v>4.3339999999999996</v>
      </c>
      <c r="F345" s="3">
        <f t="shared" si="16"/>
        <v>-1.5568079990102788E-2</v>
      </c>
      <c r="G345" s="3" cm="1">
        <f t="array" ref="G345">SUMPRODUCT(IF(((H345-$F$4:$F$515)/$B$10)&lt;=-1,0,IF(((H345-$F$4:$F$515)/$B$10)&gt;=1,1,(15/16)*(((H345-$F$4:$F$515)/$B$10)-(2/3)*((H345-$F$4:$F$515)/$B$10)^3+(1/5)*((H345-$F$4:$F$515)/$B$10)^5+8/15))))/COUNT($F$4:$F$515)</f>
        <v>1.953125E-3</v>
      </c>
      <c r="H345" s="1">
        <f t="shared" si="17"/>
        <v>-0.12202855031216817</v>
      </c>
      <c r="K345" s="2">
        <v>0.01</v>
      </c>
      <c r="L345" s="3">
        <f t="shared" si="15"/>
        <v>-3.8928550312169082E-2</v>
      </c>
    </row>
    <row r="346" spans="4:12" ht="14.4" customHeight="1">
      <c r="D346" s="7">
        <v>42496</v>
      </c>
      <c r="E346" s="8">
        <v>4.3609999999999998</v>
      </c>
      <c r="F346" s="8">
        <f t="shared" si="16"/>
        <v>6.2104857464621022E-3</v>
      </c>
      <c r="G346" s="8" cm="1">
        <f t="array" ref="G346">SUMPRODUCT(IF(((H346-$F$4:$F$515)/$B$10)&lt;=-1,0,IF(((H346-$F$4:$F$515)/$B$10)&gt;=1,1,(15/16)*(((H346-$F$4:$F$515)/$B$10)-(2/3)*((H346-$F$4:$F$515)/$B$10)^3+(1/5)*((H346-$F$4:$F$515)/$B$10)^5+8/15))))/COUNT($F$4:$F$515)</f>
        <v>1.953125E-3</v>
      </c>
      <c r="H346" s="9">
        <f t="shared" si="17"/>
        <v>-0.12172855031216817</v>
      </c>
      <c r="K346" s="7">
        <v>0.01</v>
      </c>
      <c r="L346" s="8">
        <f t="shared" si="15"/>
        <v>-3.8928550312169082E-2</v>
      </c>
    </row>
    <row r="347" spans="4:12" ht="14.4" customHeight="1">
      <c r="D347" s="2">
        <v>42499</v>
      </c>
      <c r="E347" s="3">
        <v>4.3860000000000001</v>
      </c>
      <c r="F347" s="3">
        <f t="shared" si="16"/>
        <v>5.716261135067219E-3</v>
      </c>
      <c r="G347" s="3" cm="1">
        <f t="array" ref="G347">SUMPRODUCT(IF(((H347-$F$4:$F$515)/$B$10)&lt;=-1,0,IF(((H347-$F$4:$F$515)/$B$10)&gt;=1,1,(15/16)*(((H347-$F$4:$F$515)/$B$10)-(2/3)*((H347-$F$4:$F$515)/$B$10)^3+(1/5)*((H347-$F$4:$F$515)/$B$10)^5+8/15))))/COUNT($F$4:$F$515)</f>
        <v>1.953125E-3</v>
      </c>
      <c r="H347" s="1">
        <f t="shared" si="17"/>
        <v>-0.12142855031216818</v>
      </c>
      <c r="K347" s="2">
        <v>0.01</v>
      </c>
      <c r="L347" s="3">
        <f t="shared" si="15"/>
        <v>-3.8928550312169082E-2</v>
      </c>
    </row>
    <row r="348" spans="4:12" ht="14.4" customHeight="1">
      <c r="D348" s="7">
        <v>42500</v>
      </c>
      <c r="E348" s="8">
        <v>4.0830000000000002</v>
      </c>
      <c r="F348" s="8">
        <f t="shared" si="16"/>
        <v>-7.1585637658257734E-2</v>
      </c>
      <c r="G348" s="8" cm="1">
        <f t="array" ref="G348">SUMPRODUCT(IF(((H348-$F$4:$F$515)/$B$10)&lt;=-1,0,IF(((H348-$F$4:$F$515)/$B$10)&gt;=1,1,(15/16)*(((H348-$F$4:$F$515)/$B$10)-(2/3)*((H348-$F$4:$F$515)/$B$10)^3+(1/5)*((H348-$F$4:$F$515)/$B$10)^5+8/15))))/COUNT($F$4:$F$515)</f>
        <v>1.953125E-3</v>
      </c>
      <c r="H348" s="9">
        <f t="shared" si="17"/>
        <v>-0.12112855031216818</v>
      </c>
      <c r="K348" s="7">
        <v>0.01</v>
      </c>
      <c r="L348" s="8">
        <f t="shared" si="15"/>
        <v>-3.8928550312169082E-2</v>
      </c>
    </row>
    <row r="349" spans="4:12" ht="14.4" customHeight="1">
      <c r="D349" s="2">
        <v>42501</v>
      </c>
      <c r="E349" s="3">
        <v>4.2009999999999996</v>
      </c>
      <c r="F349" s="3">
        <f t="shared" si="16"/>
        <v>2.8490579849806137E-2</v>
      </c>
      <c r="G349" s="3" cm="1">
        <f t="array" ref="G349">SUMPRODUCT(IF(((H349-$F$4:$F$515)/$B$10)&lt;=-1,0,IF(((H349-$F$4:$F$515)/$B$10)&gt;=1,1,(15/16)*(((H349-$F$4:$F$515)/$B$10)-(2/3)*((H349-$F$4:$F$515)/$B$10)^3+(1/5)*((H349-$F$4:$F$515)/$B$10)^5+8/15))))/COUNT($F$4:$F$515)</f>
        <v>1.953125E-3</v>
      </c>
      <c r="H349" s="1">
        <f t="shared" si="17"/>
        <v>-0.12082855031216819</v>
      </c>
      <c r="K349" s="2">
        <v>0.01</v>
      </c>
      <c r="L349" s="3">
        <f t="shared" si="15"/>
        <v>-3.8928550312169082E-2</v>
      </c>
    </row>
    <row r="350" spans="4:12" ht="14.4" customHeight="1">
      <c r="D350" s="7">
        <v>42502</v>
      </c>
      <c r="E350" s="8">
        <v>4.1340000000000003</v>
      </c>
      <c r="F350" s="8">
        <f t="shared" si="16"/>
        <v>-1.6077130927668264E-2</v>
      </c>
      <c r="G350" s="8" cm="1">
        <f t="array" ref="G350">SUMPRODUCT(IF(((H350-$F$4:$F$515)/$B$10)&lt;=-1,0,IF(((H350-$F$4:$F$515)/$B$10)&gt;=1,1,(15/16)*(((H350-$F$4:$F$515)/$B$10)-(2/3)*((H350-$F$4:$F$515)/$B$10)^3+(1/5)*((H350-$F$4:$F$515)/$B$10)^5+8/15))))/COUNT($F$4:$F$515)</f>
        <v>1.953125E-3</v>
      </c>
      <c r="H350" s="9">
        <f t="shared" si="17"/>
        <v>-0.12052855031216819</v>
      </c>
      <c r="K350" s="7">
        <v>0.01</v>
      </c>
      <c r="L350" s="8">
        <f t="shared" si="15"/>
        <v>-3.8928550312169082E-2</v>
      </c>
    </row>
    <row r="351" spans="4:12" ht="14.4" customHeight="1">
      <c r="D351" s="2">
        <v>42503</v>
      </c>
      <c r="E351" s="3">
        <v>4.2290000000000001</v>
      </c>
      <c r="F351" s="3">
        <f t="shared" si="16"/>
        <v>2.2720097230774946E-2</v>
      </c>
      <c r="G351" s="3" cm="1">
        <f t="array" ref="G351">SUMPRODUCT(IF(((H351-$F$4:$F$515)/$B$10)&lt;=-1,0,IF(((H351-$F$4:$F$515)/$B$10)&gt;=1,1,(15/16)*(((H351-$F$4:$F$515)/$B$10)-(2/3)*((H351-$F$4:$F$515)/$B$10)^3+(1/5)*((H351-$F$4:$F$515)/$B$10)^5+8/15))))/COUNT($F$4:$F$515)</f>
        <v>1.953125E-3</v>
      </c>
      <c r="H351" s="1">
        <f t="shared" si="17"/>
        <v>-0.1202285503121682</v>
      </c>
      <c r="K351" s="2">
        <v>0.01</v>
      </c>
      <c r="L351" s="3">
        <f t="shared" si="15"/>
        <v>-3.8928550312169082E-2</v>
      </c>
    </row>
    <row r="352" spans="4:12" ht="14.4" customHeight="1">
      <c r="D352" s="7">
        <v>42506</v>
      </c>
      <c r="E352" s="8">
        <v>4.2069999999999999</v>
      </c>
      <c r="F352" s="8">
        <f t="shared" si="16"/>
        <v>-5.2157538819677602E-3</v>
      </c>
      <c r="G352" s="8" cm="1">
        <f t="array" ref="G352">SUMPRODUCT(IF(((H352-$F$4:$F$515)/$B$10)&lt;=-1,0,IF(((H352-$F$4:$F$515)/$B$10)&gt;=1,1,(15/16)*(((H352-$F$4:$F$515)/$B$10)-(2/3)*((H352-$F$4:$F$515)/$B$10)^3+(1/5)*((H352-$F$4:$F$515)/$B$10)^5+8/15))))/COUNT($F$4:$F$515)</f>
        <v>1.953125E-3</v>
      </c>
      <c r="H352" s="9">
        <f t="shared" si="17"/>
        <v>-0.1199285503121682</v>
      </c>
      <c r="K352" s="7">
        <v>0.01</v>
      </c>
      <c r="L352" s="8">
        <f t="shared" si="15"/>
        <v>-3.8928550312169082E-2</v>
      </c>
    </row>
    <row r="353" spans="4:12" ht="14.4" customHeight="1">
      <c r="D353" s="2">
        <v>42507</v>
      </c>
      <c r="E353" s="3">
        <v>4.266</v>
      </c>
      <c r="F353" s="3">
        <f t="shared" si="16"/>
        <v>1.3926815440775012E-2</v>
      </c>
      <c r="G353" s="3" cm="1">
        <f t="array" ref="G353">SUMPRODUCT(IF(((H353-$F$4:$F$515)/$B$10)&lt;=-1,0,IF(((H353-$F$4:$F$515)/$B$10)&gt;=1,1,(15/16)*(((H353-$F$4:$F$515)/$B$10)-(2/3)*((H353-$F$4:$F$515)/$B$10)^3+(1/5)*((H353-$F$4:$F$515)/$B$10)^5+8/15))))/COUNT($F$4:$F$515)</f>
        <v>1.953125E-3</v>
      </c>
      <c r="H353" s="1">
        <f t="shared" si="17"/>
        <v>-0.11962855031216821</v>
      </c>
      <c r="K353" s="2">
        <v>0.01</v>
      </c>
      <c r="L353" s="3">
        <f t="shared" si="15"/>
        <v>-3.8928550312169082E-2</v>
      </c>
    </row>
    <row r="354" spans="4:12" ht="14.4" customHeight="1">
      <c r="D354" s="7">
        <v>42508</v>
      </c>
      <c r="E354" s="8">
        <v>4.351</v>
      </c>
      <c r="F354" s="8">
        <f t="shared" si="16"/>
        <v>1.9729083689384148E-2</v>
      </c>
      <c r="G354" s="8" cm="1">
        <f t="array" ref="G354">SUMPRODUCT(IF(((H354-$F$4:$F$515)/$B$10)&lt;=-1,0,IF(((H354-$F$4:$F$515)/$B$10)&gt;=1,1,(15/16)*(((H354-$F$4:$F$515)/$B$10)-(2/3)*((H354-$F$4:$F$515)/$B$10)^3+(1/5)*((H354-$F$4:$F$515)/$B$10)^5+8/15))))/COUNT($F$4:$F$515)</f>
        <v>1.953125E-3</v>
      </c>
      <c r="H354" s="9">
        <f t="shared" si="17"/>
        <v>-0.11932855031216821</v>
      </c>
      <c r="K354" s="7">
        <v>0.01</v>
      </c>
      <c r="L354" s="8">
        <f t="shared" si="15"/>
        <v>-3.8928550312169082E-2</v>
      </c>
    </row>
    <row r="355" spans="4:12" ht="14.4" customHeight="1">
      <c r="D355" s="2">
        <v>42509</v>
      </c>
      <c r="E355" s="3">
        <v>4.3369999999999997</v>
      </c>
      <c r="F355" s="3">
        <f t="shared" si="16"/>
        <v>-3.2228388853138977E-3</v>
      </c>
      <c r="G355" s="3" cm="1">
        <f t="array" ref="G355">SUMPRODUCT(IF(((H355-$F$4:$F$515)/$B$10)&lt;=-1,0,IF(((H355-$F$4:$F$515)/$B$10)&gt;=1,1,(15/16)*(((H355-$F$4:$F$515)/$B$10)-(2/3)*((H355-$F$4:$F$515)/$B$10)^3+(1/5)*((H355-$F$4:$F$515)/$B$10)^5+8/15))))/COUNT($F$4:$F$515)</f>
        <v>1.953125E-3</v>
      </c>
      <c r="H355" s="1">
        <f t="shared" si="17"/>
        <v>-0.11902855031216822</v>
      </c>
      <c r="K355" s="2">
        <v>0.01</v>
      </c>
      <c r="L355" s="3">
        <f t="shared" si="15"/>
        <v>-3.8928550312169082E-2</v>
      </c>
    </row>
    <row r="356" spans="4:12" ht="14.4" customHeight="1">
      <c r="D356" s="7">
        <v>42510</v>
      </c>
      <c r="E356" s="8">
        <v>4.4000000000000004</v>
      </c>
      <c r="F356" s="8">
        <f t="shared" si="16"/>
        <v>1.4421676070986491E-2</v>
      </c>
      <c r="G356" s="8" cm="1">
        <f t="array" ref="G356">SUMPRODUCT(IF(((H356-$F$4:$F$515)/$B$10)&lt;=-1,0,IF(((H356-$F$4:$F$515)/$B$10)&gt;=1,1,(15/16)*(((H356-$F$4:$F$515)/$B$10)-(2/3)*((H356-$F$4:$F$515)/$B$10)^3+(1/5)*((H356-$F$4:$F$515)/$B$10)^5+8/15))))/COUNT($F$4:$F$515)</f>
        <v>1.953125E-3</v>
      </c>
      <c r="H356" s="9">
        <f t="shared" si="17"/>
        <v>-0.11872855031216822</v>
      </c>
      <c r="K356" s="7">
        <v>0.01</v>
      </c>
      <c r="L356" s="8">
        <f t="shared" si="15"/>
        <v>-3.8928550312169082E-2</v>
      </c>
    </row>
    <row r="357" spans="4:12" ht="14.4" customHeight="1">
      <c r="D357" s="2">
        <v>42513</v>
      </c>
      <c r="E357" s="3">
        <v>4.4000000000000004</v>
      </c>
      <c r="F357" s="3">
        <f t="shared" si="16"/>
        <v>0</v>
      </c>
      <c r="G357" s="3" cm="1">
        <f t="array" ref="G357">SUMPRODUCT(IF(((H357-$F$4:$F$515)/$B$10)&lt;=-1,0,IF(((H357-$F$4:$F$515)/$B$10)&gt;=1,1,(15/16)*(((H357-$F$4:$F$515)/$B$10)-(2/3)*((H357-$F$4:$F$515)/$B$10)^3+(1/5)*((H357-$F$4:$F$515)/$B$10)^5+8/15))))/COUNT($F$4:$F$515)</f>
        <v>1.953125E-3</v>
      </c>
      <c r="H357" s="1">
        <f t="shared" si="17"/>
        <v>-0.11842855031216823</v>
      </c>
      <c r="K357" s="2">
        <v>0.01</v>
      </c>
      <c r="L357" s="3">
        <f t="shared" si="15"/>
        <v>-3.8928550312169082E-2</v>
      </c>
    </row>
    <row r="358" spans="4:12" ht="14.4" customHeight="1">
      <c r="D358" s="7">
        <v>42514</v>
      </c>
      <c r="E358" s="8">
        <v>4.577</v>
      </c>
      <c r="F358" s="8">
        <f t="shared" si="16"/>
        <v>3.9439220747289394E-2</v>
      </c>
      <c r="G358" s="8" cm="1">
        <f t="array" ref="G358">SUMPRODUCT(IF(((H358-$F$4:$F$515)/$B$10)&lt;=-1,0,IF(((H358-$F$4:$F$515)/$B$10)&gt;=1,1,(15/16)*(((H358-$F$4:$F$515)/$B$10)-(2/3)*((H358-$F$4:$F$515)/$B$10)^3+(1/5)*((H358-$F$4:$F$515)/$B$10)^5+8/15))))/COUNT($F$4:$F$515)</f>
        <v>1.953125E-3</v>
      </c>
      <c r="H358" s="9">
        <f t="shared" si="17"/>
        <v>-0.11812855031216823</v>
      </c>
      <c r="K358" s="7">
        <v>0.01</v>
      </c>
      <c r="L358" s="8">
        <f t="shared" si="15"/>
        <v>-3.8928550312169082E-2</v>
      </c>
    </row>
    <row r="359" spans="4:12" ht="14.4" customHeight="1">
      <c r="D359" s="2">
        <v>42515</v>
      </c>
      <c r="E359" s="3">
        <v>4.75</v>
      </c>
      <c r="F359" s="3">
        <f t="shared" si="16"/>
        <v>3.7100856375044906E-2</v>
      </c>
      <c r="G359" s="3" cm="1">
        <f t="array" ref="G359">SUMPRODUCT(IF(((H359-$F$4:$F$515)/$B$10)&lt;=-1,0,IF(((H359-$F$4:$F$515)/$B$10)&gt;=1,1,(15/16)*(((H359-$F$4:$F$515)/$B$10)-(2/3)*((H359-$F$4:$F$515)/$B$10)^3+(1/5)*((H359-$F$4:$F$515)/$B$10)^5+8/15))))/COUNT($F$4:$F$515)</f>
        <v>1.953125E-3</v>
      </c>
      <c r="H359" s="1">
        <f t="shared" si="17"/>
        <v>-0.11782855031216824</v>
      </c>
      <c r="K359" s="2">
        <v>0.01</v>
      </c>
      <c r="L359" s="3">
        <f t="shared" si="15"/>
        <v>-3.8928550312169082E-2</v>
      </c>
    </row>
    <row r="360" spans="4:12" ht="14.4" customHeight="1">
      <c r="D360" s="7">
        <v>42516</v>
      </c>
      <c r="E360" s="8">
        <v>4.7519999999999998</v>
      </c>
      <c r="F360" s="8">
        <f t="shared" si="16"/>
        <v>4.2096401379389297E-4</v>
      </c>
      <c r="G360" s="8" cm="1">
        <f t="array" ref="G360">SUMPRODUCT(IF(((H360-$F$4:$F$515)/$B$10)&lt;=-1,0,IF(((H360-$F$4:$F$515)/$B$10)&gt;=1,1,(15/16)*(((H360-$F$4:$F$515)/$B$10)-(2/3)*((H360-$F$4:$F$515)/$B$10)^3+(1/5)*((H360-$F$4:$F$515)/$B$10)^5+8/15))))/COUNT($F$4:$F$515)</f>
        <v>1.953125E-3</v>
      </c>
      <c r="H360" s="9">
        <f t="shared" si="17"/>
        <v>-0.11752855031216825</v>
      </c>
      <c r="K360" s="7">
        <v>0.01</v>
      </c>
      <c r="L360" s="8">
        <f t="shared" si="15"/>
        <v>-3.8928550312169082E-2</v>
      </c>
    </row>
    <row r="361" spans="4:12" ht="14.4" customHeight="1">
      <c r="D361" s="2">
        <v>42517</v>
      </c>
      <c r="E361" s="3">
        <v>4.46</v>
      </c>
      <c r="F361" s="3">
        <f t="shared" si="16"/>
        <v>-6.341681602837107E-2</v>
      </c>
      <c r="G361" s="3" cm="1">
        <f t="array" ref="G361">SUMPRODUCT(IF(((H361-$F$4:$F$515)/$B$10)&lt;=-1,0,IF(((H361-$F$4:$F$515)/$B$10)&gt;=1,1,(15/16)*(((H361-$F$4:$F$515)/$B$10)-(2/3)*((H361-$F$4:$F$515)/$B$10)^3+(1/5)*((H361-$F$4:$F$515)/$B$10)^5+8/15))))/COUNT($F$4:$F$515)</f>
        <v>1.953125E-3</v>
      </c>
      <c r="H361" s="1">
        <f t="shared" si="17"/>
        <v>-0.11722855031216825</v>
      </c>
      <c r="K361" s="2">
        <v>0.01</v>
      </c>
      <c r="L361" s="3">
        <f t="shared" si="15"/>
        <v>-3.8928550312169082E-2</v>
      </c>
    </row>
    <row r="362" spans="4:12" ht="14.4" customHeight="1">
      <c r="D362" s="7">
        <v>42520</v>
      </c>
      <c r="E362" s="8">
        <v>4.4000000000000004</v>
      </c>
      <c r="F362" s="8">
        <f t="shared" si="16"/>
        <v>-1.3544225107757149E-2</v>
      </c>
      <c r="G362" s="8" cm="1">
        <f t="array" ref="G362">SUMPRODUCT(IF(((H362-$F$4:$F$515)/$B$10)&lt;=-1,0,IF(((H362-$F$4:$F$515)/$B$10)&gt;=1,1,(15/16)*(((H362-$F$4:$F$515)/$B$10)-(2/3)*((H362-$F$4:$F$515)/$B$10)^3+(1/5)*((H362-$F$4:$F$515)/$B$10)^5+8/15))))/COUNT($F$4:$F$515)</f>
        <v>1.953125E-3</v>
      </c>
      <c r="H362" s="9">
        <f t="shared" si="17"/>
        <v>-0.11692855031216826</v>
      </c>
      <c r="K362" s="7">
        <v>0.01</v>
      </c>
      <c r="L362" s="8">
        <f t="shared" si="15"/>
        <v>-3.8928550312169082E-2</v>
      </c>
    </row>
    <row r="363" spans="4:12" ht="14.4" customHeight="1">
      <c r="D363" s="2">
        <v>42521</v>
      </c>
      <c r="E363" s="3">
        <v>4.3380000000000001</v>
      </c>
      <c r="F363" s="3">
        <f t="shared" si="16"/>
        <v>-1.4191128519532907E-2</v>
      </c>
      <c r="G363" s="3" cm="1">
        <f t="array" ref="G363">SUMPRODUCT(IF(((H363-$F$4:$F$515)/$B$10)&lt;=-1,0,IF(((H363-$F$4:$F$515)/$B$10)&gt;=1,1,(15/16)*(((H363-$F$4:$F$515)/$B$10)-(2/3)*((H363-$F$4:$F$515)/$B$10)^3+(1/5)*((H363-$F$4:$F$515)/$B$10)^5+8/15))))/COUNT($F$4:$F$515)</f>
        <v>1.953125E-3</v>
      </c>
      <c r="H363" s="1">
        <f t="shared" si="17"/>
        <v>-0.11662855031216826</v>
      </c>
      <c r="K363" s="2">
        <v>0.01</v>
      </c>
      <c r="L363" s="3">
        <f t="shared" si="15"/>
        <v>-3.8928550312169082E-2</v>
      </c>
    </row>
    <row r="364" spans="4:12" ht="14.4" customHeight="1">
      <c r="D364" s="7">
        <v>42522</v>
      </c>
      <c r="E364" s="8">
        <v>4.2960000000000003</v>
      </c>
      <c r="F364" s="8">
        <f t="shared" si="16"/>
        <v>-9.7290551981190371E-3</v>
      </c>
      <c r="G364" s="8" cm="1">
        <f t="array" ref="G364">SUMPRODUCT(IF(((H364-$F$4:$F$515)/$B$10)&lt;=-1,0,IF(((H364-$F$4:$F$515)/$B$10)&gt;=1,1,(15/16)*(((H364-$F$4:$F$515)/$B$10)-(2/3)*((H364-$F$4:$F$515)/$B$10)^3+(1/5)*((H364-$F$4:$F$515)/$B$10)^5+8/15))))/COUNT($F$4:$F$515)</f>
        <v>1.953125E-3</v>
      </c>
      <c r="H364" s="9">
        <f t="shared" si="17"/>
        <v>-0.11632855031216827</v>
      </c>
      <c r="K364" s="7">
        <v>0.01</v>
      </c>
      <c r="L364" s="8">
        <f t="shared" si="15"/>
        <v>-3.8928550312169082E-2</v>
      </c>
    </row>
    <row r="365" spans="4:12" ht="14.4" customHeight="1">
      <c r="D365" s="2">
        <v>42523</v>
      </c>
      <c r="E365" s="3">
        <v>4.3010000000000002</v>
      </c>
      <c r="F365" s="3">
        <f t="shared" si="16"/>
        <v>1.1631965950356356E-3</v>
      </c>
      <c r="G365" s="3" cm="1">
        <f t="array" ref="G365">SUMPRODUCT(IF(((H365-$F$4:$F$515)/$B$10)&lt;=-1,0,IF(((H365-$F$4:$F$515)/$B$10)&gt;=1,1,(15/16)*(((H365-$F$4:$F$515)/$B$10)-(2/3)*((H365-$F$4:$F$515)/$B$10)^3+(1/5)*((H365-$F$4:$F$515)/$B$10)^5+8/15))))/COUNT($F$4:$F$515)</f>
        <v>1.953125E-3</v>
      </c>
      <c r="H365" s="1">
        <f t="shared" si="17"/>
        <v>-0.11602855031216827</v>
      </c>
      <c r="K365" s="2">
        <v>0.01</v>
      </c>
      <c r="L365" s="3">
        <f t="shared" si="15"/>
        <v>-3.8928550312169082E-2</v>
      </c>
    </row>
    <row r="366" spans="4:12" ht="14.4" customHeight="1">
      <c r="D366" s="7">
        <v>42524</v>
      </c>
      <c r="E366" s="8">
        <v>4.22</v>
      </c>
      <c r="F366" s="8">
        <f t="shared" si="16"/>
        <v>-1.9012425753678869E-2</v>
      </c>
      <c r="G366" s="8" cm="1">
        <f t="array" ref="G366">SUMPRODUCT(IF(((H366-$F$4:$F$515)/$B$10)&lt;=-1,0,IF(((H366-$F$4:$F$515)/$B$10)&gt;=1,1,(15/16)*(((H366-$F$4:$F$515)/$B$10)-(2/3)*((H366-$F$4:$F$515)/$B$10)^3+(1/5)*((H366-$F$4:$F$515)/$B$10)^5+8/15))))/COUNT($F$4:$F$515)</f>
        <v>1.953125E-3</v>
      </c>
      <c r="H366" s="9">
        <f t="shared" si="17"/>
        <v>-0.11572855031216828</v>
      </c>
      <c r="K366" s="7">
        <v>0.01</v>
      </c>
      <c r="L366" s="8">
        <f t="shared" si="15"/>
        <v>-3.8928550312169082E-2</v>
      </c>
    </row>
    <row r="367" spans="4:12" ht="14.4" customHeight="1">
      <c r="D367" s="2">
        <v>42527</v>
      </c>
      <c r="E367" s="3">
        <v>4.1849999999999996</v>
      </c>
      <c r="F367" s="3">
        <f t="shared" si="16"/>
        <v>-8.3284241064818521E-3</v>
      </c>
      <c r="G367" s="3" cm="1">
        <f t="array" ref="G367">SUMPRODUCT(IF(((H367-$F$4:$F$515)/$B$10)&lt;=-1,0,IF(((H367-$F$4:$F$515)/$B$10)&gt;=1,1,(15/16)*(((H367-$F$4:$F$515)/$B$10)-(2/3)*((H367-$F$4:$F$515)/$B$10)^3+(1/5)*((H367-$F$4:$F$515)/$B$10)^5+8/15))))/COUNT($F$4:$F$515)</f>
        <v>1.953125E-3</v>
      </c>
      <c r="H367" s="1">
        <f t="shared" si="17"/>
        <v>-0.11542855031216828</v>
      </c>
      <c r="K367" s="2">
        <v>0.01</v>
      </c>
      <c r="L367" s="3">
        <f t="shared" si="15"/>
        <v>-3.8928550312169082E-2</v>
      </c>
    </row>
    <row r="368" spans="4:12" ht="14.4" customHeight="1">
      <c r="D368" s="7">
        <v>42528</v>
      </c>
      <c r="E368" s="8">
        <v>4.319</v>
      </c>
      <c r="F368" s="8">
        <f t="shared" si="16"/>
        <v>3.151719003712556E-2</v>
      </c>
      <c r="G368" s="8" cm="1">
        <f t="array" ref="G368">SUMPRODUCT(IF(((H368-$F$4:$F$515)/$B$10)&lt;=-1,0,IF(((H368-$F$4:$F$515)/$B$10)&gt;=1,1,(15/16)*(((H368-$F$4:$F$515)/$B$10)-(2/3)*((H368-$F$4:$F$515)/$B$10)^3+(1/5)*((H368-$F$4:$F$515)/$B$10)^5+8/15))))/COUNT($F$4:$F$515)</f>
        <v>1.953125E-3</v>
      </c>
      <c r="H368" s="9">
        <f t="shared" si="17"/>
        <v>-0.11512855031216829</v>
      </c>
      <c r="K368" s="7">
        <v>0.01</v>
      </c>
      <c r="L368" s="8">
        <f t="shared" si="15"/>
        <v>-3.8928550312169082E-2</v>
      </c>
    </row>
    <row r="369" spans="4:12" ht="14.4" customHeight="1">
      <c r="D369" s="2">
        <v>42529</v>
      </c>
      <c r="E369" s="3">
        <v>4.2880000000000003</v>
      </c>
      <c r="F369" s="3">
        <f t="shared" si="16"/>
        <v>-7.2034702100631249E-3</v>
      </c>
      <c r="G369" s="3" cm="1">
        <f t="array" ref="G369">SUMPRODUCT(IF(((H369-$F$4:$F$515)/$B$10)&lt;=-1,0,IF(((H369-$F$4:$F$515)/$B$10)&gt;=1,1,(15/16)*(((H369-$F$4:$F$515)/$B$10)-(2/3)*((H369-$F$4:$F$515)/$B$10)^3+(1/5)*((H369-$F$4:$F$515)/$B$10)^5+8/15))))/COUNT($F$4:$F$515)</f>
        <v>1.953125E-3</v>
      </c>
      <c r="H369" s="1">
        <f t="shared" si="17"/>
        <v>-0.11482855031216829</v>
      </c>
      <c r="K369" s="2">
        <v>0.01</v>
      </c>
      <c r="L369" s="3">
        <f t="shared" si="15"/>
        <v>-3.8928550312169082E-2</v>
      </c>
    </row>
    <row r="370" spans="4:12" ht="14.4" customHeight="1">
      <c r="D370" s="7">
        <v>42530</v>
      </c>
      <c r="E370" s="8">
        <v>4.2080000000000002</v>
      </c>
      <c r="F370" s="8">
        <f t="shared" si="16"/>
        <v>-1.8832948333092125E-2</v>
      </c>
      <c r="G370" s="8" cm="1">
        <f t="array" ref="G370">SUMPRODUCT(IF(((H370-$F$4:$F$515)/$B$10)&lt;=-1,0,IF(((H370-$F$4:$F$515)/$B$10)&gt;=1,1,(15/16)*(((H370-$F$4:$F$515)/$B$10)-(2/3)*((H370-$F$4:$F$515)/$B$10)^3+(1/5)*((H370-$F$4:$F$515)/$B$10)^5+8/15))))/COUNT($F$4:$F$515)</f>
        <v>1.953125E-3</v>
      </c>
      <c r="H370" s="9">
        <f t="shared" si="17"/>
        <v>-0.1145285503121683</v>
      </c>
      <c r="K370" s="7">
        <v>0.01</v>
      </c>
      <c r="L370" s="8">
        <f t="shared" si="15"/>
        <v>-3.8928550312169082E-2</v>
      </c>
    </row>
    <row r="371" spans="4:12" ht="14.4" customHeight="1">
      <c r="D371" s="2">
        <v>42531</v>
      </c>
      <c r="E371" s="3">
        <v>4.0529999999999999</v>
      </c>
      <c r="F371" s="3">
        <f t="shared" si="16"/>
        <v>-3.7530127789237269E-2</v>
      </c>
      <c r="G371" s="3" cm="1">
        <f t="array" ref="G371">SUMPRODUCT(IF(((H371-$F$4:$F$515)/$B$10)&lt;=-1,0,IF(((H371-$F$4:$F$515)/$B$10)&gt;=1,1,(15/16)*(((H371-$F$4:$F$515)/$B$10)-(2/3)*((H371-$F$4:$F$515)/$B$10)^3+(1/5)*((H371-$F$4:$F$515)/$B$10)^5+8/15))))/COUNT($F$4:$F$515)</f>
        <v>1.953125E-3</v>
      </c>
      <c r="H371" s="1">
        <f t="shared" si="17"/>
        <v>-0.1142285503121683</v>
      </c>
      <c r="K371" s="2">
        <v>0.01</v>
      </c>
      <c r="L371" s="3">
        <f t="shared" si="15"/>
        <v>-3.8928550312169082E-2</v>
      </c>
    </row>
    <row r="372" spans="4:12" ht="14.4" customHeight="1">
      <c r="D372" s="7">
        <v>42534</v>
      </c>
      <c r="E372" s="8">
        <v>3.9039999999999999</v>
      </c>
      <c r="F372" s="8">
        <f t="shared" si="16"/>
        <v>-3.7455679095325406E-2</v>
      </c>
      <c r="G372" s="8" cm="1">
        <f t="array" ref="G372">SUMPRODUCT(IF(((H372-$F$4:$F$515)/$B$10)&lt;=-1,0,IF(((H372-$F$4:$F$515)/$B$10)&gt;=1,1,(15/16)*(((H372-$F$4:$F$515)/$B$10)-(2/3)*((H372-$F$4:$F$515)/$B$10)^3+(1/5)*((H372-$F$4:$F$515)/$B$10)^5+8/15))))/COUNT($F$4:$F$515)</f>
        <v>1.953125E-3</v>
      </c>
      <c r="H372" s="9">
        <f t="shared" si="17"/>
        <v>-0.11392855031216831</v>
      </c>
      <c r="K372" s="7">
        <v>0.01</v>
      </c>
      <c r="L372" s="8">
        <f t="shared" si="15"/>
        <v>-3.8928550312169082E-2</v>
      </c>
    </row>
    <row r="373" spans="4:12" ht="14.4" customHeight="1">
      <c r="D373" s="2">
        <v>42535</v>
      </c>
      <c r="E373" s="3">
        <v>3.8050000000000002</v>
      </c>
      <c r="F373" s="3">
        <f t="shared" si="16"/>
        <v>-2.5685677237196829E-2</v>
      </c>
      <c r="G373" s="3" cm="1">
        <f t="array" ref="G373">SUMPRODUCT(IF(((H373-$F$4:$F$515)/$B$10)&lt;=-1,0,IF(((H373-$F$4:$F$515)/$B$10)&gt;=1,1,(15/16)*(((H373-$F$4:$F$515)/$B$10)-(2/3)*((H373-$F$4:$F$515)/$B$10)^3+(1/5)*((H373-$F$4:$F$515)/$B$10)^5+8/15))))/COUNT($F$4:$F$515)</f>
        <v>1.953125E-3</v>
      </c>
      <c r="H373" s="1">
        <f t="shared" si="17"/>
        <v>-0.11362855031216831</v>
      </c>
      <c r="K373" s="2">
        <v>0.01</v>
      </c>
      <c r="L373" s="3">
        <f t="shared" si="15"/>
        <v>-3.8928550312169082E-2</v>
      </c>
    </row>
    <row r="374" spans="4:12" ht="14.4" customHeight="1">
      <c r="D374" s="7">
        <v>42536</v>
      </c>
      <c r="E374" s="8">
        <v>3.8159999999999998</v>
      </c>
      <c r="F374" s="8">
        <f t="shared" si="16"/>
        <v>2.8867622723909247E-3</v>
      </c>
      <c r="G374" s="8" cm="1">
        <f t="array" ref="G374">SUMPRODUCT(IF(((H374-$F$4:$F$515)/$B$10)&lt;=-1,0,IF(((H374-$F$4:$F$515)/$B$10)&gt;=1,1,(15/16)*(((H374-$F$4:$F$515)/$B$10)-(2/3)*((H374-$F$4:$F$515)/$B$10)^3+(1/5)*((H374-$F$4:$F$515)/$B$10)^5+8/15))))/COUNT($F$4:$F$515)</f>
        <v>1.953125E-3</v>
      </c>
      <c r="H374" s="9">
        <f t="shared" si="17"/>
        <v>-0.11332855031216832</v>
      </c>
      <c r="K374" s="7">
        <v>0.01</v>
      </c>
      <c r="L374" s="8">
        <f t="shared" si="15"/>
        <v>-3.8928550312169082E-2</v>
      </c>
    </row>
    <row r="375" spans="4:12" ht="14.4" customHeight="1">
      <c r="D375" s="2">
        <v>42537</v>
      </c>
      <c r="E375" s="3">
        <v>3.7349999999999999</v>
      </c>
      <c r="F375" s="3">
        <f t="shared" si="16"/>
        <v>-2.1454935001259487E-2</v>
      </c>
      <c r="G375" s="3" cm="1">
        <f t="array" ref="G375">SUMPRODUCT(IF(((H375-$F$4:$F$515)/$B$10)&lt;=-1,0,IF(((H375-$F$4:$F$515)/$B$10)&gt;=1,1,(15/16)*(((H375-$F$4:$F$515)/$B$10)-(2/3)*((H375-$F$4:$F$515)/$B$10)^3+(1/5)*((H375-$F$4:$F$515)/$B$10)^5+8/15))))/COUNT($F$4:$F$515)</f>
        <v>1.953125E-3</v>
      </c>
      <c r="H375" s="1">
        <f t="shared" si="17"/>
        <v>-0.11302855031216832</v>
      </c>
      <c r="K375" s="2">
        <v>0.01</v>
      </c>
      <c r="L375" s="3">
        <f t="shared" si="15"/>
        <v>-3.8928550312169082E-2</v>
      </c>
    </row>
    <row r="376" spans="4:12" ht="14.4" customHeight="1">
      <c r="D376" s="7">
        <v>42538</v>
      </c>
      <c r="E376" s="8">
        <v>3.9119999999999999</v>
      </c>
      <c r="F376" s="8">
        <f t="shared" si="16"/>
        <v>4.6300933587790326E-2</v>
      </c>
      <c r="G376" s="8" cm="1">
        <f t="array" ref="G376">SUMPRODUCT(IF(((H376-$F$4:$F$515)/$B$10)&lt;=-1,0,IF(((H376-$F$4:$F$515)/$B$10)&gt;=1,1,(15/16)*(((H376-$F$4:$F$515)/$B$10)-(2/3)*((H376-$F$4:$F$515)/$B$10)^3+(1/5)*((H376-$F$4:$F$515)/$B$10)^5+8/15))))/COUNT($F$4:$F$515)</f>
        <v>1.953125E-3</v>
      </c>
      <c r="H376" s="9">
        <f t="shared" si="17"/>
        <v>-0.11272855031216833</v>
      </c>
      <c r="K376" s="7">
        <v>0.01</v>
      </c>
      <c r="L376" s="8">
        <f t="shared" si="15"/>
        <v>-3.8928550312169082E-2</v>
      </c>
    </row>
    <row r="377" spans="4:12" ht="14.4" customHeight="1">
      <c r="D377" s="2">
        <v>42541</v>
      </c>
      <c r="E377" s="3">
        <v>4.0549999999999997</v>
      </c>
      <c r="F377" s="3">
        <f t="shared" si="16"/>
        <v>3.5901935394805372E-2</v>
      </c>
      <c r="G377" s="3" cm="1">
        <f t="array" ref="G377">SUMPRODUCT(IF(((H377-$F$4:$F$515)/$B$10)&lt;=-1,0,IF(((H377-$F$4:$F$515)/$B$10)&gt;=1,1,(15/16)*(((H377-$F$4:$F$515)/$B$10)-(2/3)*((H377-$F$4:$F$515)/$B$10)^3+(1/5)*((H377-$F$4:$F$515)/$B$10)^5+8/15))))/COUNT($F$4:$F$515)</f>
        <v>1.953125E-3</v>
      </c>
      <c r="H377" s="1">
        <f t="shared" si="17"/>
        <v>-0.11242855031216833</v>
      </c>
      <c r="K377" s="2">
        <v>0.01</v>
      </c>
      <c r="L377" s="3">
        <f t="shared" si="15"/>
        <v>-3.8928550312169082E-2</v>
      </c>
    </row>
    <row r="378" spans="4:12" ht="14.4" customHeight="1">
      <c r="D378" s="7">
        <v>42542</v>
      </c>
      <c r="E378" s="8">
        <v>4.0730000000000004</v>
      </c>
      <c r="F378" s="8">
        <f t="shared" si="16"/>
        <v>4.4291410988994539E-3</v>
      </c>
      <c r="G378" s="8" cm="1">
        <f t="array" ref="G378">SUMPRODUCT(IF(((H378-$F$4:$F$515)/$B$10)&lt;=-1,0,IF(((H378-$F$4:$F$515)/$B$10)&gt;=1,1,(15/16)*(((H378-$F$4:$F$515)/$B$10)-(2/3)*((H378-$F$4:$F$515)/$B$10)^3+(1/5)*((H378-$F$4:$F$515)/$B$10)^5+8/15))))/COUNT($F$4:$F$515)</f>
        <v>1.953125E-3</v>
      </c>
      <c r="H378" s="9">
        <f t="shared" si="17"/>
        <v>-0.11212855031216834</v>
      </c>
      <c r="K378" s="7">
        <v>0.01</v>
      </c>
      <c r="L378" s="8">
        <f t="shared" si="15"/>
        <v>-3.8928550312169082E-2</v>
      </c>
    </row>
    <row r="379" spans="4:12" ht="14.4" customHeight="1">
      <c r="D379" s="2">
        <v>42543</v>
      </c>
      <c r="E379" s="3">
        <v>4.05</v>
      </c>
      <c r="F379" s="3">
        <f t="shared" si="16"/>
        <v>-5.6629475478278809E-3</v>
      </c>
      <c r="G379" s="3" cm="1">
        <f t="array" ref="G379">SUMPRODUCT(IF(((H379-$F$4:$F$515)/$B$10)&lt;=-1,0,IF(((H379-$F$4:$F$515)/$B$10)&gt;=1,1,(15/16)*(((H379-$F$4:$F$515)/$B$10)-(2/3)*((H379-$F$4:$F$515)/$B$10)^3+(1/5)*((H379-$F$4:$F$515)/$B$10)^5+8/15))))/COUNT($F$4:$F$515)</f>
        <v>1.953125E-3</v>
      </c>
      <c r="H379" s="1">
        <f t="shared" si="17"/>
        <v>-0.11182855031216835</v>
      </c>
      <c r="K379" s="2">
        <v>0.01</v>
      </c>
      <c r="L379" s="3">
        <f t="shared" si="15"/>
        <v>-3.8928550312169082E-2</v>
      </c>
    </row>
    <row r="380" spans="4:12" ht="14.4" customHeight="1">
      <c r="D380" s="7">
        <v>42544</v>
      </c>
      <c r="E380" s="8">
        <v>4.1500000000000004</v>
      </c>
      <c r="F380" s="8">
        <f t="shared" si="16"/>
        <v>2.4391453124159263E-2</v>
      </c>
      <c r="G380" s="8" cm="1">
        <f t="array" ref="G380">SUMPRODUCT(IF(((H380-$F$4:$F$515)/$B$10)&lt;=-1,0,IF(((H380-$F$4:$F$515)/$B$10)&gt;=1,1,(15/16)*(((H380-$F$4:$F$515)/$B$10)-(2/3)*((H380-$F$4:$F$515)/$B$10)^3+(1/5)*((H380-$F$4:$F$515)/$B$10)^5+8/15))))/COUNT($F$4:$F$515)</f>
        <v>1.953125E-3</v>
      </c>
      <c r="H380" s="9">
        <f t="shared" si="17"/>
        <v>-0.11152855031216835</v>
      </c>
      <c r="K380" s="7">
        <v>0.01</v>
      </c>
      <c r="L380" s="8">
        <f t="shared" si="15"/>
        <v>-3.8928550312169082E-2</v>
      </c>
    </row>
    <row r="381" spans="4:12" ht="14.4" customHeight="1">
      <c r="D381" s="2">
        <v>42545</v>
      </c>
      <c r="E381" s="3">
        <v>3.4390000000000001</v>
      </c>
      <c r="F381" s="3">
        <f t="shared" si="16"/>
        <v>-0.18792760279247789</v>
      </c>
      <c r="G381" s="3" cm="1">
        <f t="array" ref="G381">SUMPRODUCT(IF(((H381-$F$4:$F$515)/$B$10)&lt;=-1,0,IF(((H381-$F$4:$F$515)/$B$10)&gt;=1,1,(15/16)*(((H381-$F$4:$F$515)/$B$10)-(2/3)*((H381-$F$4:$F$515)/$B$10)^3+(1/5)*((H381-$F$4:$F$515)/$B$10)^5+8/15))))/COUNT($F$4:$F$515)</f>
        <v>1.953125E-3</v>
      </c>
      <c r="H381" s="1">
        <f t="shared" si="17"/>
        <v>-0.11122855031216836</v>
      </c>
      <c r="K381" s="2">
        <v>0.01</v>
      </c>
      <c r="L381" s="3">
        <f t="shared" si="15"/>
        <v>-3.8928550312169082E-2</v>
      </c>
    </row>
    <row r="382" spans="4:12" ht="14.4" customHeight="1">
      <c r="D382" s="7">
        <v>42548</v>
      </c>
      <c r="E382" s="8">
        <v>3.27</v>
      </c>
      <c r="F382" s="8">
        <f t="shared" si="16"/>
        <v>-5.0390746540967146E-2</v>
      </c>
      <c r="G382" s="8" cm="1">
        <f t="array" ref="G382">SUMPRODUCT(IF(((H382-$F$4:$F$515)/$B$10)&lt;=-1,0,IF(((H382-$F$4:$F$515)/$B$10)&gt;=1,1,(15/16)*(((H382-$F$4:$F$515)/$B$10)-(2/3)*((H382-$F$4:$F$515)/$B$10)^3+(1/5)*((H382-$F$4:$F$515)/$B$10)^5+8/15))))/COUNT($F$4:$F$515)</f>
        <v>1.953125E-3</v>
      </c>
      <c r="H382" s="9">
        <f t="shared" si="17"/>
        <v>-0.11092855031216836</v>
      </c>
      <c r="K382" s="7">
        <v>0.01</v>
      </c>
      <c r="L382" s="8">
        <f t="shared" si="15"/>
        <v>-3.8928550312169082E-2</v>
      </c>
    </row>
    <row r="383" spans="4:12" ht="14.4" customHeight="1">
      <c r="D383" s="2">
        <v>42549</v>
      </c>
      <c r="E383" s="3">
        <v>3.347</v>
      </c>
      <c r="F383" s="3">
        <f t="shared" si="16"/>
        <v>2.3274437320027489E-2</v>
      </c>
      <c r="G383" s="3" cm="1">
        <f t="array" ref="G383">SUMPRODUCT(IF(((H383-$F$4:$F$515)/$B$10)&lt;=-1,0,IF(((H383-$F$4:$F$515)/$B$10)&gt;=1,1,(15/16)*(((H383-$F$4:$F$515)/$B$10)-(2/3)*((H383-$F$4:$F$515)/$B$10)^3+(1/5)*((H383-$F$4:$F$515)/$B$10)^5+8/15))))/COUNT($F$4:$F$515)</f>
        <v>1.953125E-3</v>
      </c>
      <c r="H383" s="1">
        <f t="shared" si="17"/>
        <v>-0.11062855031216837</v>
      </c>
      <c r="K383" s="2">
        <v>0.01</v>
      </c>
      <c r="L383" s="3">
        <f t="shared" si="15"/>
        <v>-3.8928550312169082E-2</v>
      </c>
    </row>
    <row r="384" spans="4:12" ht="14.4" customHeight="1">
      <c r="D384" s="7">
        <v>42550</v>
      </c>
      <c r="E384" s="8">
        <v>3.3769999999999998</v>
      </c>
      <c r="F384" s="8">
        <f t="shared" si="16"/>
        <v>8.9233191742409713E-3</v>
      </c>
      <c r="G384" s="8" cm="1">
        <f t="array" ref="G384">SUMPRODUCT(IF(((H384-$F$4:$F$515)/$B$10)&lt;=-1,0,IF(((H384-$F$4:$F$515)/$B$10)&gt;=1,1,(15/16)*(((H384-$F$4:$F$515)/$B$10)-(2/3)*((H384-$F$4:$F$515)/$B$10)^3+(1/5)*((H384-$F$4:$F$515)/$B$10)^5+8/15))))/COUNT($F$4:$F$515)</f>
        <v>1.953125E-3</v>
      </c>
      <c r="H384" s="9">
        <f t="shared" si="17"/>
        <v>-0.11032855031216837</v>
      </c>
      <c r="K384" s="7">
        <v>0.01</v>
      </c>
      <c r="L384" s="8">
        <f t="shared" si="15"/>
        <v>-3.8928550312169082E-2</v>
      </c>
    </row>
    <row r="385" spans="4:12" ht="14.4" customHeight="1">
      <c r="D385" s="2">
        <v>42551</v>
      </c>
      <c r="E385" s="3">
        <v>3.4089999999999998</v>
      </c>
      <c r="F385" s="3">
        <f t="shared" si="16"/>
        <v>9.4312517523355028E-3</v>
      </c>
      <c r="G385" s="3" cm="1">
        <f t="array" ref="G385">SUMPRODUCT(IF(((H385-$F$4:$F$515)/$B$10)&lt;=-1,0,IF(((H385-$F$4:$F$515)/$B$10)&gt;=1,1,(15/16)*(((H385-$F$4:$F$515)/$B$10)-(2/3)*((H385-$F$4:$F$515)/$B$10)^3+(1/5)*((H385-$F$4:$F$515)/$B$10)^5+8/15))))/COUNT($F$4:$F$515)</f>
        <v>1.953125E-3</v>
      </c>
      <c r="H385" s="1">
        <f t="shared" si="17"/>
        <v>-0.11002855031216838</v>
      </c>
      <c r="K385" s="2">
        <v>0.01</v>
      </c>
      <c r="L385" s="3">
        <f t="shared" si="15"/>
        <v>-3.8928550312169082E-2</v>
      </c>
    </row>
    <row r="386" spans="4:12" ht="14.4" customHeight="1">
      <c r="D386" s="7">
        <v>42552</v>
      </c>
      <c r="E386" s="8">
        <v>3.3879999999999999</v>
      </c>
      <c r="F386" s="8">
        <f t="shared" si="16"/>
        <v>-6.1792163659580082E-3</v>
      </c>
      <c r="G386" s="8" cm="1">
        <f t="array" ref="G386">SUMPRODUCT(IF(((H386-$F$4:$F$515)/$B$10)&lt;=-1,0,IF(((H386-$F$4:$F$515)/$B$10)&gt;=1,1,(15/16)*(((H386-$F$4:$F$515)/$B$10)-(2/3)*((H386-$F$4:$F$515)/$B$10)^3+(1/5)*((H386-$F$4:$F$515)/$B$10)^5+8/15))))/COUNT($F$4:$F$515)</f>
        <v>1.953125E-3</v>
      </c>
      <c r="H386" s="9">
        <f t="shared" si="17"/>
        <v>-0.10972855031216838</v>
      </c>
      <c r="K386" s="7">
        <v>0.01</v>
      </c>
      <c r="L386" s="8">
        <f t="shared" si="15"/>
        <v>-3.8928550312169082E-2</v>
      </c>
    </row>
    <row r="387" spans="4:12" ht="14.4" customHeight="1">
      <c r="D387" s="2">
        <v>42555</v>
      </c>
      <c r="E387" s="3">
        <v>3.3359999999999999</v>
      </c>
      <c r="F387" s="3">
        <f t="shared" si="16"/>
        <v>-1.5467292293307599E-2</v>
      </c>
      <c r="G387" s="3" cm="1">
        <f t="array" ref="G387">SUMPRODUCT(IF(((H387-$F$4:$F$515)/$B$10)&lt;=-1,0,IF(((H387-$F$4:$F$515)/$B$10)&gt;=1,1,(15/16)*(((H387-$F$4:$F$515)/$B$10)-(2/3)*((H387-$F$4:$F$515)/$B$10)^3+(1/5)*((H387-$F$4:$F$515)/$B$10)^5+8/15))))/COUNT($F$4:$F$515)</f>
        <v>1.953125E-3</v>
      </c>
      <c r="H387" s="1">
        <f t="shared" si="17"/>
        <v>-0.10942855031216839</v>
      </c>
      <c r="K387" s="2">
        <v>0.01</v>
      </c>
      <c r="L387" s="3">
        <f t="shared" si="15"/>
        <v>-3.8928550312169082E-2</v>
      </c>
    </row>
    <row r="388" spans="4:12" ht="14.4" customHeight="1">
      <c r="D388" s="7">
        <v>42556</v>
      </c>
      <c r="E388" s="8">
        <v>3.165</v>
      </c>
      <c r="F388" s="8">
        <f t="shared" si="16"/>
        <v>-5.2619428900360712E-2</v>
      </c>
      <c r="G388" s="8" cm="1">
        <f t="array" ref="G388">SUMPRODUCT(IF(((H388-$F$4:$F$515)/$B$10)&lt;=-1,0,IF(((H388-$F$4:$F$515)/$B$10)&gt;=1,1,(15/16)*(((H388-$F$4:$F$515)/$B$10)-(2/3)*((H388-$F$4:$F$515)/$B$10)^3+(1/5)*((H388-$F$4:$F$515)/$B$10)^5+8/15))))/COUNT($F$4:$F$515)</f>
        <v>1.953125E-3</v>
      </c>
      <c r="H388" s="9">
        <f t="shared" si="17"/>
        <v>-0.10912855031216839</v>
      </c>
      <c r="K388" s="7">
        <v>0.01</v>
      </c>
      <c r="L388" s="8">
        <f t="shared" ref="L388:L451" si="18">$B$7</f>
        <v>-3.8928550312169082E-2</v>
      </c>
    </row>
    <row r="389" spans="4:12" ht="14.4" customHeight="1">
      <c r="D389" s="2">
        <v>42557</v>
      </c>
      <c r="E389" s="3">
        <v>3.077</v>
      </c>
      <c r="F389" s="3">
        <f t="shared" ref="F389:F452" si="19">LN(E389/E388)</f>
        <v>-2.8197959256234764E-2</v>
      </c>
      <c r="G389" s="3" cm="1">
        <f t="array" ref="G389">SUMPRODUCT(IF(((H389-$F$4:$F$515)/$B$10)&lt;=-1,0,IF(((H389-$F$4:$F$515)/$B$10)&gt;=1,1,(15/16)*(((H389-$F$4:$F$515)/$B$10)-(2/3)*((H389-$F$4:$F$515)/$B$10)^3+(1/5)*((H389-$F$4:$F$515)/$B$10)^5+8/15))))/COUNT($F$4:$F$515)</f>
        <v>1.953125E-3</v>
      </c>
      <c r="H389" s="1">
        <f t="shared" ref="H389:H452" si="20">H388+0.0003</f>
        <v>-0.1088285503121684</v>
      </c>
      <c r="K389" s="2">
        <v>0.01</v>
      </c>
      <c r="L389" s="3">
        <f t="shared" si="18"/>
        <v>-3.8928550312169082E-2</v>
      </c>
    </row>
    <row r="390" spans="4:12" ht="14.4" customHeight="1">
      <c r="D390" s="7">
        <v>42558</v>
      </c>
      <c r="E390" s="8">
        <v>3.149</v>
      </c>
      <c r="F390" s="8">
        <f t="shared" si="19"/>
        <v>2.3129845778982798E-2</v>
      </c>
      <c r="G390" s="8" cm="1">
        <f t="array" ref="G390">SUMPRODUCT(IF(((H390-$F$4:$F$515)/$B$10)&lt;=-1,0,IF(((H390-$F$4:$F$515)/$B$10)&gt;=1,1,(15/16)*(((H390-$F$4:$F$515)/$B$10)-(2/3)*((H390-$F$4:$F$515)/$B$10)^3+(1/5)*((H390-$F$4:$F$515)/$B$10)^5+8/15))))/COUNT($F$4:$F$515)</f>
        <v>1.953125E-3</v>
      </c>
      <c r="H390" s="9">
        <f t="shared" si="20"/>
        <v>-0.1085285503121684</v>
      </c>
      <c r="K390" s="7">
        <v>0.01</v>
      </c>
      <c r="L390" s="8">
        <f t="shared" si="18"/>
        <v>-3.8928550312169082E-2</v>
      </c>
    </row>
    <row r="391" spans="4:12" ht="14.4" customHeight="1">
      <c r="D391" s="2">
        <v>42559</v>
      </c>
      <c r="E391" s="3">
        <v>3.3090000000000002</v>
      </c>
      <c r="F391" s="3">
        <f t="shared" si="19"/>
        <v>4.956108682058763E-2</v>
      </c>
      <c r="G391" s="3" cm="1">
        <f t="array" ref="G391">SUMPRODUCT(IF(((H391-$F$4:$F$515)/$B$10)&lt;=-1,0,IF(((H391-$F$4:$F$515)/$B$10)&gt;=1,1,(15/16)*(((H391-$F$4:$F$515)/$B$10)-(2/3)*((H391-$F$4:$F$515)/$B$10)^3+(1/5)*((H391-$F$4:$F$515)/$B$10)^5+8/15))))/COUNT($F$4:$F$515)</f>
        <v>1.953125E-3</v>
      </c>
      <c r="H391" s="1">
        <f t="shared" si="20"/>
        <v>-0.10822855031216841</v>
      </c>
      <c r="K391" s="2">
        <v>0.01</v>
      </c>
      <c r="L391" s="3">
        <f t="shared" si="18"/>
        <v>-3.8928550312169082E-2</v>
      </c>
    </row>
    <row r="392" spans="4:12" ht="14.4" customHeight="1">
      <c r="D392" s="7">
        <v>42562</v>
      </c>
      <c r="E392" s="8">
        <v>3.3420000000000001</v>
      </c>
      <c r="F392" s="8">
        <f t="shared" si="19"/>
        <v>9.9234012337268782E-3</v>
      </c>
      <c r="G392" s="8" cm="1">
        <f t="array" ref="G392">SUMPRODUCT(IF(((H392-$F$4:$F$515)/$B$10)&lt;=-1,0,IF(((H392-$F$4:$F$515)/$B$10)&gt;=1,1,(15/16)*(((H392-$F$4:$F$515)/$B$10)-(2/3)*((H392-$F$4:$F$515)/$B$10)^3+(1/5)*((H392-$F$4:$F$515)/$B$10)^5+8/15))))/COUNT($F$4:$F$515)</f>
        <v>1.953125E-3</v>
      </c>
      <c r="H392" s="9">
        <f t="shared" si="20"/>
        <v>-0.10792855031216841</v>
      </c>
      <c r="K392" s="7">
        <v>0.01</v>
      </c>
      <c r="L392" s="8">
        <f t="shared" si="18"/>
        <v>-3.8928550312169082E-2</v>
      </c>
    </row>
    <row r="393" spans="4:12" ht="14.4" customHeight="1">
      <c r="D393" s="2">
        <v>42563</v>
      </c>
      <c r="E393" s="3">
        <v>3.427</v>
      </c>
      <c r="F393" s="3">
        <f t="shared" si="19"/>
        <v>2.5115812719269846E-2</v>
      </c>
      <c r="G393" s="3" cm="1">
        <f t="array" ref="G393">SUMPRODUCT(IF(((H393-$F$4:$F$515)/$B$10)&lt;=-1,0,IF(((H393-$F$4:$F$515)/$B$10)&gt;=1,1,(15/16)*(((H393-$F$4:$F$515)/$B$10)-(2/3)*((H393-$F$4:$F$515)/$B$10)^3+(1/5)*((H393-$F$4:$F$515)/$B$10)^5+8/15))))/COUNT($F$4:$F$515)</f>
        <v>1.953125E-3</v>
      </c>
      <c r="H393" s="1">
        <f t="shared" si="20"/>
        <v>-0.10762855031216842</v>
      </c>
      <c r="K393" s="2">
        <v>0.01</v>
      </c>
      <c r="L393" s="3">
        <f t="shared" si="18"/>
        <v>-3.8928550312169082E-2</v>
      </c>
    </row>
    <row r="394" spans="4:12" ht="14.4" customHeight="1">
      <c r="D394" s="7">
        <v>42564</v>
      </c>
      <c r="E394" s="8">
        <v>3.3109999999999999</v>
      </c>
      <c r="F394" s="8">
        <f t="shared" si="19"/>
        <v>-3.4434984327362556E-2</v>
      </c>
      <c r="G394" s="8" cm="1">
        <f t="array" ref="G394">SUMPRODUCT(IF(((H394-$F$4:$F$515)/$B$10)&lt;=-1,0,IF(((H394-$F$4:$F$515)/$B$10)&gt;=1,1,(15/16)*(((H394-$F$4:$F$515)/$B$10)-(2/3)*((H394-$F$4:$F$515)/$B$10)^3+(1/5)*((H394-$F$4:$F$515)/$B$10)^5+8/15))))/COUNT($F$4:$F$515)</f>
        <v>1.953125E-3</v>
      </c>
      <c r="H394" s="9">
        <f t="shared" si="20"/>
        <v>-0.10732855031216842</v>
      </c>
      <c r="K394" s="7">
        <v>0.01</v>
      </c>
      <c r="L394" s="8">
        <f t="shared" si="18"/>
        <v>-3.8928550312169082E-2</v>
      </c>
    </row>
    <row r="395" spans="4:12" ht="14.4" customHeight="1">
      <c r="D395" s="2">
        <v>42565</v>
      </c>
      <c r="E395" s="3">
        <v>3.4750000000000001</v>
      </c>
      <c r="F395" s="3">
        <f t="shared" si="19"/>
        <v>4.8344220451646255E-2</v>
      </c>
      <c r="G395" s="3" cm="1">
        <f t="array" ref="G395">SUMPRODUCT(IF(((H395-$F$4:$F$515)/$B$10)&lt;=-1,0,IF(((H395-$F$4:$F$515)/$B$10)&gt;=1,1,(15/16)*(((H395-$F$4:$F$515)/$B$10)-(2/3)*((H395-$F$4:$F$515)/$B$10)^3+(1/5)*((H395-$F$4:$F$515)/$B$10)^5+8/15))))/COUNT($F$4:$F$515)</f>
        <v>1.953125E-3</v>
      </c>
      <c r="H395" s="1">
        <f t="shared" si="20"/>
        <v>-0.10702855031216843</v>
      </c>
      <c r="K395" s="2">
        <v>0.01</v>
      </c>
      <c r="L395" s="3">
        <f t="shared" si="18"/>
        <v>-3.8928550312169082E-2</v>
      </c>
    </row>
    <row r="396" spans="4:12" ht="14.4" customHeight="1">
      <c r="D396" s="7">
        <v>42566</v>
      </c>
      <c r="E396" s="8">
        <v>3.4580000000000002</v>
      </c>
      <c r="F396" s="8">
        <f t="shared" si="19"/>
        <v>-4.9040917556566295E-3</v>
      </c>
      <c r="G396" s="8" cm="1">
        <f t="array" ref="G396">SUMPRODUCT(IF(((H396-$F$4:$F$515)/$B$10)&lt;=-1,0,IF(((H396-$F$4:$F$515)/$B$10)&gt;=1,1,(15/16)*(((H396-$F$4:$F$515)/$B$10)-(2/3)*((H396-$F$4:$F$515)/$B$10)^3+(1/5)*((H396-$F$4:$F$515)/$B$10)^5+8/15))))/COUNT($F$4:$F$515)</f>
        <v>1.953125E-3</v>
      </c>
      <c r="H396" s="9">
        <f t="shared" si="20"/>
        <v>-0.10672855031216844</v>
      </c>
      <c r="K396" s="7">
        <v>0.01</v>
      </c>
      <c r="L396" s="8">
        <f t="shared" si="18"/>
        <v>-3.8928550312169082E-2</v>
      </c>
    </row>
    <row r="397" spans="4:12" ht="14.4" customHeight="1">
      <c r="D397" s="2">
        <v>42569</v>
      </c>
      <c r="E397" s="3">
        <v>3.4260000000000002</v>
      </c>
      <c r="F397" s="3">
        <f t="shared" si="19"/>
        <v>-9.2969873591706009E-3</v>
      </c>
      <c r="G397" s="3" cm="1">
        <f t="array" ref="G397">SUMPRODUCT(IF(((H397-$F$4:$F$515)/$B$10)&lt;=-1,0,IF(((H397-$F$4:$F$515)/$B$10)&gt;=1,1,(15/16)*(((H397-$F$4:$F$515)/$B$10)-(2/3)*((H397-$F$4:$F$515)/$B$10)^3+(1/5)*((H397-$F$4:$F$515)/$B$10)^5+8/15))))/COUNT($F$4:$F$515)</f>
        <v>1.953125E-3</v>
      </c>
      <c r="H397" s="1">
        <f t="shared" si="20"/>
        <v>-0.10642855031216844</v>
      </c>
      <c r="K397" s="2">
        <v>0.01</v>
      </c>
      <c r="L397" s="3">
        <f t="shared" si="18"/>
        <v>-3.8928550312169082E-2</v>
      </c>
    </row>
    <row r="398" spans="4:12" ht="14.4" customHeight="1">
      <c r="D398" s="7">
        <v>42570</v>
      </c>
      <c r="E398" s="8">
        <v>3.4369999999999998</v>
      </c>
      <c r="F398" s="8">
        <f t="shared" si="19"/>
        <v>3.2055979657684623E-3</v>
      </c>
      <c r="G398" s="8" cm="1">
        <f t="array" ref="G398">SUMPRODUCT(IF(((H398-$F$4:$F$515)/$B$10)&lt;=-1,0,IF(((H398-$F$4:$F$515)/$B$10)&gt;=1,1,(15/16)*(((H398-$F$4:$F$515)/$B$10)-(2/3)*((H398-$F$4:$F$515)/$B$10)^3+(1/5)*((H398-$F$4:$F$515)/$B$10)^5+8/15))))/COUNT($F$4:$F$515)</f>
        <v>1.953125E-3</v>
      </c>
      <c r="H398" s="9">
        <f t="shared" si="20"/>
        <v>-0.10612855031216845</v>
      </c>
      <c r="K398" s="7">
        <v>0.01</v>
      </c>
      <c r="L398" s="8">
        <f t="shared" si="18"/>
        <v>-3.8928550312169082E-2</v>
      </c>
    </row>
    <row r="399" spans="4:12" ht="14.4" customHeight="1">
      <c r="D399" s="2">
        <v>42571</v>
      </c>
      <c r="E399" s="3">
        <v>3.4620000000000002</v>
      </c>
      <c r="F399" s="3">
        <f t="shared" si="19"/>
        <v>7.2474588863206827E-3</v>
      </c>
      <c r="G399" s="3" cm="1">
        <f t="array" ref="G399">SUMPRODUCT(IF(((H399-$F$4:$F$515)/$B$10)&lt;=-1,0,IF(((H399-$F$4:$F$515)/$B$10)&gt;=1,1,(15/16)*(((H399-$F$4:$F$515)/$B$10)-(2/3)*((H399-$F$4:$F$515)/$B$10)^3+(1/5)*((H399-$F$4:$F$515)/$B$10)^5+8/15))))/COUNT($F$4:$F$515)</f>
        <v>1.953125E-3</v>
      </c>
      <c r="H399" s="1">
        <f t="shared" si="20"/>
        <v>-0.10582855031216845</v>
      </c>
      <c r="K399" s="2">
        <v>0.01</v>
      </c>
      <c r="L399" s="3">
        <f t="shared" si="18"/>
        <v>-3.8928550312169082E-2</v>
      </c>
    </row>
    <row r="400" spans="4:12" ht="14.4" customHeight="1">
      <c r="D400" s="7">
        <v>42572</v>
      </c>
      <c r="E400" s="8">
        <v>3.4620000000000002</v>
      </c>
      <c r="F400" s="8">
        <f t="shared" si="19"/>
        <v>0</v>
      </c>
      <c r="G400" s="8" cm="1">
        <f t="array" ref="G400">SUMPRODUCT(IF(((H400-$F$4:$F$515)/$B$10)&lt;=-1,0,IF(((H400-$F$4:$F$515)/$B$10)&gt;=1,1,(15/16)*(((H400-$F$4:$F$515)/$B$10)-(2/3)*((H400-$F$4:$F$515)/$B$10)^3+(1/5)*((H400-$F$4:$F$515)/$B$10)^5+8/15))))/COUNT($F$4:$F$515)</f>
        <v>1.953125E-3</v>
      </c>
      <c r="H400" s="9">
        <f t="shared" si="20"/>
        <v>-0.10552855031216846</v>
      </c>
      <c r="K400" s="7">
        <v>0.01</v>
      </c>
      <c r="L400" s="8">
        <f t="shared" si="18"/>
        <v>-3.8928550312169082E-2</v>
      </c>
    </row>
    <row r="401" spans="4:12" ht="14.4" customHeight="1">
      <c r="D401" s="2">
        <v>42573</v>
      </c>
      <c r="E401" s="3">
        <v>3.4550000000000001</v>
      </c>
      <c r="F401" s="3">
        <f t="shared" si="19"/>
        <v>-2.023999534384311E-3</v>
      </c>
      <c r="G401" s="3" cm="1">
        <f t="array" ref="G401">SUMPRODUCT(IF(((H401-$F$4:$F$515)/$B$10)&lt;=-1,0,IF(((H401-$F$4:$F$515)/$B$10)&gt;=1,1,(15/16)*(((H401-$F$4:$F$515)/$B$10)-(2/3)*((H401-$F$4:$F$515)/$B$10)^3+(1/5)*((H401-$F$4:$F$515)/$B$10)^5+8/15))))/COUNT($F$4:$F$515)</f>
        <v>1.953125E-3</v>
      </c>
      <c r="H401" s="1">
        <f t="shared" si="20"/>
        <v>-0.10522855031216846</v>
      </c>
      <c r="K401" s="2">
        <v>0.01</v>
      </c>
      <c r="L401" s="3">
        <f t="shared" si="18"/>
        <v>-3.8928550312169082E-2</v>
      </c>
    </row>
    <row r="402" spans="4:12" ht="14.4" customHeight="1">
      <c r="D402" s="7">
        <v>42576</v>
      </c>
      <c r="E402" s="8">
        <v>3.419</v>
      </c>
      <c r="F402" s="8">
        <f t="shared" si="19"/>
        <v>-1.0474346562469015E-2</v>
      </c>
      <c r="G402" s="8" cm="1">
        <f t="array" ref="G402">SUMPRODUCT(IF(((H402-$F$4:$F$515)/$B$10)&lt;=-1,0,IF(((H402-$F$4:$F$515)/$B$10)&gt;=1,1,(15/16)*(((H402-$F$4:$F$515)/$B$10)-(2/3)*((H402-$F$4:$F$515)/$B$10)^3+(1/5)*((H402-$F$4:$F$515)/$B$10)^5+8/15))))/COUNT($F$4:$F$515)</f>
        <v>1.953125E-3</v>
      </c>
      <c r="H402" s="9">
        <f t="shared" si="20"/>
        <v>-0.10492855031216847</v>
      </c>
      <c r="K402" s="7">
        <v>0.01</v>
      </c>
      <c r="L402" s="8">
        <f t="shared" si="18"/>
        <v>-3.8928550312169082E-2</v>
      </c>
    </row>
    <row r="403" spans="4:12" ht="14.4" customHeight="1">
      <c r="D403" s="2">
        <v>42577</v>
      </c>
      <c r="E403" s="3">
        <v>3.3820000000000001</v>
      </c>
      <c r="F403" s="3">
        <f t="shared" si="19"/>
        <v>-1.0880860180775652E-2</v>
      </c>
      <c r="G403" s="3" cm="1">
        <f t="array" ref="G403">SUMPRODUCT(IF(((H403-$F$4:$F$515)/$B$10)&lt;=-1,0,IF(((H403-$F$4:$F$515)/$B$10)&gt;=1,1,(15/16)*(((H403-$F$4:$F$515)/$B$10)-(2/3)*((H403-$F$4:$F$515)/$B$10)^3+(1/5)*((H403-$F$4:$F$515)/$B$10)^5+8/15))))/COUNT($F$4:$F$515)</f>
        <v>1.953125E-3</v>
      </c>
      <c r="H403" s="1">
        <f t="shared" si="20"/>
        <v>-0.10462855031216847</v>
      </c>
      <c r="K403" s="2">
        <v>0.01</v>
      </c>
      <c r="L403" s="3">
        <f t="shared" si="18"/>
        <v>-3.8928550312169082E-2</v>
      </c>
    </row>
    <row r="404" spans="4:12" ht="14.4" customHeight="1">
      <c r="D404" s="7">
        <v>42578</v>
      </c>
      <c r="E404" s="8">
        <v>3.5339999999999998</v>
      </c>
      <c r="F404" s="8">
        <f t="shared" si="19"/>
        <v>4.3963123421115989E-2</v>
      </c>
      <c r="G404" s="8" cm="1">
        <f t="array" ref="G404">SUMPRODUCT(IF(((H404-$F$4:$F$515)/$B$10)&lt;=-1,0,IF(((H404-$F$4:$F$515)/$B$10)&gt;=1,1,(15/16)*(((H404-$F$4:$F$515)/$B$10)-(2/3)*((H404-$F$4:$F$515)/$B$10)^3+(1/5)*((H404-$F$4:$F$515)/$B$10)^5+8/15))))/COUNT($F$4:$F$515)</f>
        <v>1.953125E-3</v>
      </c>
      <c r="H404" s="9">
        <f t="shared" si="20"/>
        <v>-0.10432855031216848</v>
      </c>
      <c r="K404" s="7">
        <v>0.01</v>
      </c>
      <c r="L404" s="8">
        <f t="shared" si="18"/>
        <v>-3.8928550312169082E-2</v>
      </c>
    </row>
    <row r="405" spans="4:12" ht="14.4" customHeight="1">
      <c r="D405" s="2">
        <v>42579</v>
      </c>
      <c r="E405" s="3">
        <v>3.4249999999999998</v>
      </c>
      <c r="F405" s="3">
        <f t="shared" si="19"/>
        <v>-3.1328902183316056E-2</v>
      </c>
      <c r="G405" s="3" cm="1">
        <f t="array" ref="G405">SUMPRODUCT(IF(((H405-$F$4:$F$515)/$B$10)&lt;=-1,0,IF(((H405-$F$4:$F$515)/$B$10)&gt;=1,1,(15/16)*(((H405-$F$4:$F$515)/$B$10)-(2/3)*((H405-$F$4:$F$515)/$B$10)^3+(1/5)*((H405-$F$4:$F$515)/$B$10)^5+8/15))))/COUNT($F$4:$F$515)</f>
        <v>1.953125E-3</v>
      </c>
      <c r="H405" s="1">
        <f t="shared" si="20"/>
        <v>-0.10402855031216848</v>
      </c>
      <c r="K405" s="2">
        <v>0.01</v>
      </c>
      <c r="L405" s="3">
        <f t="shared" si="18"/>
        <v>-3.8928550312169082E-2</v>
      </c>
    </row>
    <row r="406" spans="4:12" ht="14.4" customHeight="1">
      <c r="D406" s="7">
        <v>42580</v>
      </c>
      <c r="E406" s="8">
        <v>3.6850000000000001</v>
      </c>
      <c r="F406" s="8">
        <f t="shared" si="19"/>
        <v>7.3169053927111316E-2</v>
      </c>
      <c r="G406" s="8" cm="1">
        <f t="array" ref="G406">SUMPRODUCT(IF(((H406-$F$4:$F$515)/$B$10)&lt;=-1,0,IF(((H406-$F$4:$F$515)/$B$10)&gt;=1,1,(15/16)*(((H406-$F$4:$F$515)/$B$10)-(2/3)*((H406-$F$4:$F$515)/$B$10)^3+(1/5)*((H406-$F$4:$F$515)/$B$10)^5+8/15))))/COUNT($F$4:$F$515)</f>
        <v>1.953125E-3</v>
      </c>
      <c r="H406" s="9">
        <f t="shared" si="20"/>
        <v>-0.10372855031216849</v>
      </c>
      <c r="K406" s="7">
        <v>0.01</v>
      </c>
      <c r="L406" s="8">
        <f t="shared" si="18"/>
        <v>-3.8928550312169082E-2</v>
      </c>
    </row>
    <row r="407" spans="4:12" ht="14.4" customHeight="1">
      <c r="D407" s="2">
        <v>42583</v>
      </c>
      <c r="E407" s="3">
        <v>3.6429999999999998</v>
      </c>
      <c r="F407" s="3">
        <f t="shared" si="19"/>
        <v>-1.1463007614873219E-2</v>
      </c>
      <c r="G407" s="3" cm="1">
        <f t="array" ref="G407">SUMPRODUCT(IF(((H407-$F$4:$F$515)/$B$10)&lt;=-1,0,IF(((H407-$F$4:$F$515)/$B$10)&gt;=1,1,(15/16)*(((H407-$F$4:$F$515)/$B$10)-(2/3)*((H407-$F$4:$F$515)/$B$10)^3+(1/5)*((H407-$F$4:$F$515)/$B$10)^5+8/15))))/COUNT($F$4:$F$515)</f>
        <v>1.953125E-3</v>
      </c>
      <c r="H407" s="1">
        <f t="shared" si="20"/>
        <v>-0.10342855031216849</v>
      </c>
      <c r="K407" s="2">
        <v>0.01</v>
      </c>
      <c r="L407" s="3">
        <f t="shared" si="18"/>
        <v>-3.8928550312169082E-2</v>
      </c>
    </row>
    <row r="408" spans="4:12" ht="14.4" customHeight="1">
      <c r="D408" s="7">
        <v>42584</v>
      </c>
      <c r="E408" s="8">
        <v>3.4220000000000002</v>
      </c>
      <c r="F408" s="8">
        <f t="shared" si="19"/>
        <v>-6.258234255642485E-2</v>
      </c>
      <c r="G408" s="8" cm="1">
        <f t="array" ref="G408">SUMPRODUCT(IF(((H408-$F$4:$F$515)/$B$10)&lt;=-1,0,IF(((H408-$F$4:$F$515)/$B$10)&gt;=1,1,(15/16)*(((H408-$F$4:$F$515)/$B$10)-(2/3)*((H408-$F$4:$F$515)/$B$10)^3+(1/5)*((H408-$F$4:$F$515)/$B$10)^5+8/15))))/COUNT($F$4:$F$515)</f>
        <v>1.953125E-3</v>
      </c>
      <c r="H408" s="9">
        <f t="shared" si="20"/>
        <v>-0.1031285503121685</v>
      </c>
      <c r="K408" s="7">
        <v>0.01</v>
      </c>
      <c r="L408" s="8">
        <f t="shared" si="18"/>
        <v>-3.8928550312169082E-2</v>
      </c>
    </row>
    <row r="409" spans="4:12" ht="14.4" customHeight="1">
      <c r="D409" s="2">
        <v>42585</v>
      </c>
      <c r="E409" s="3">
        <v>3.4079999999999999</v>
      </c>
      <c r="F409" s="3">
        <f t="shared" si="19"/>
        <v>-4.099566502932553E-3</v>
      </c>
      <c r="G409" s="3" cm="1">
        <f t="array" ref="G409">SUMPRODUCT(IF(((H409-$F$4:$F$515)/$B$10)&lt;=-1,0,IF(((H409-$F$4:$F$515)/$B$10)&gt;=1,1,(15/16)*(((H409-$F$4:$F$515)/$B$10)-(2/3)*((H409-$F$4:$F$515)/$B$10)^3+(1/5)*((H409-$F$4:$F$515)/$B$10)^5+8/15))))/COUNT($F$4:$F$515)</f>
        <v>1.953125E-3</v>
      </c>
      <c r="H409" s="1">
        <f t="shared" si="20"/>
        <v>-0.1028285503121685</v>
      </c>
      <c r="K409" s="2">
        <v>0.01</v>
      </c>
      <c r="L409" s="3">
        <f t="shared" si="18"/>
        <v>-3.8928550312169082E-2</v>
      </c>
    </row>
    <row r="410" spans="4:12" ht="14.4" customHeight="1">
      <c r="D410" s="7">
        <v>42586</v>
      </c>
      <c r="E410" s="8">
        <v>3.4580000000000002</v>
      </c>
      <c r="F410" s="8">
        <f t="shared" si="19"/>
        <v>1.4564778294029532E-2</v>
      </c>
      <c r="G410" s="8" cm="1">
        <f t="array" ref="G410">SUMPRODUCT(IF(((H410-$F$4:$F$515)/$B$10)&lt;=-1,0,IF(((H410-$F$4:$F$515)/$B$10)&gt;=1,1,(15/16)*(((H410-$F$4:$F$515)/$B$10)-(2/3)*((H410-$F$4:$F$515)/$B$10)^3+(1/5)*((H410-$F$4:$F$515)/$B$10)^5+8/15))))/COUNT($F$4:$F$515)</f>
        <v>1.953125E-3</v>
      </c>
      <c r="H410" s="9">
        <f t="shared" si="20"/>
        <v>-0.10252855031216851</v>
      </c>
      <c r="K410" s="7">
        <v>0.01</v>
      </c>
      <c r="L410" s="8">
        <f t="shared" si="18"/>
        <v>-3.8928550312169082E-2</v>
      </c>
    </row>
    <row r="411" spans="4:12" ht="14.4" customHeight="1">
      <c r="D411" s="2">
        <v>42587</v>
      </c>
      <c r="E411" s="3">
        <v>3.589</v>
      </c>
      <c r="F411" s="3">
        <f t="shared" si="19"/>
        <v>3.7183224904371301E-2</v>
      </c>
      <c r="G411" s="3" cm="1">
        <f t="array" ref="G411">SUMPRODUCT(IF(((H411-$F$4:$F$515)/$B$10)&lt;=-1,0,IF(((H411-$F$4:$F$515)/$B$10)&gt;=1,1,(15/16)*(((H411-$F$4:$F$515)/$B$10)-(2/3)*((H411-$F$4:$F$515)/$B$10)^3+(1/5)*((H411-$F$4:$F$515)/$B$10)^5+8/15))))/COUNT($F$4:$F$515)</f>
        <v>1.953125E-3</v>
      </c>
      <c r="H411" s="1">
        <f t="shared" si="20"/>
        <v>-0.10222855031216851</v>
      </c>
      <c r="K411" s="2">
        <v>0.01</v>
      </c>
      <c r="L411" s="3">
        <f t="shared" si="18"/>
        <v>-3.8928550312169082E-2</v>
      </c>
    </row>
    <row r="412" spans="4:12" ht="14.4" customHeight="1">
      <c r="D412" s="7">
        <v>42590</v>
      </c>
      <c r="E412" s="8">
        <v>3.62</v>
      </c>
      <c r="F412" s="8">
        <f t="shared" si="19"/>
        <v>8.6004136722094612E-3</v>
      </c>
      <c r="G412" s="8" cm="1">
        <f t="array" ref="G412">SUMPRODUCT(IF(((H412-$F$4:$F$515)/$B$10)&lt;=-1,0,IF(((H412-$F$4:$F$515)/$B$10)&gt;=1,1,(15/16)*(((H412-$F$4:$F$515)/$B$10)-(2/3)*((H412-$F$4:$F$515)/$B$10)^3+(1/5)*((H412-$F$4:$F$515)/$B$10)^5+8/15))))/COUNT($F$4:$F$515)</f>
        <v>1.953125E-3</v>
      </c>
      <c r="H412" s="9">
        <f t="shared" si="20"/>
        <v>-0.10192855031216852</v>
      </c>
      <c r="K412" s="7">
        <v>0.01</v>
      </c>
      <c r="L412" s="8">
        <f t="shared" si="18"/>
        <v>-3.8928550312169082E-2</v>
      </c>
    </row>
    <row r="413" spans="4:12" ht="14.4" customHeight="1">
      <c r="D413" s="2">
        <v>42591</v>
      </c>
      <c r="E413" s="3">
        <v>3.7120000000000002</v>
      </c>
      <c r="F413" s="3">
        <f t="shared" si="19"/>
        <v>2.5096789086274454E-2</v>
      </c>
      <c r="G413" s="3" cm="1">
        <f t="array" ref="G413">SUMPRODUCT(IF(((H413-$F$4:$F$515)/$B$10)&lt;=-1,0,IF(((H413-$F$4:$F$515)/$B$10)&gt;=1,1,(15/16)*(((H413-$F$4:$F$515)/$B$10)-(2/3)*((H413-$F$4:$F$515)/$B$10)^3+(1/5)*((H413-$F$4:$F$515)/$B$10)^5+8/15))))/COUNT($F$4:$F$515)</f>
        <v>1.953125E-3</v>
      </c>
      <c r="H413" s="1">
        <f t="shared" si="20"/>
        <v>-0.10162855031216853</v>
      </c>
      <c r="K413" s="2">
        <v>0.01</v>
      </c>
      <c r="L413" s="3">
        <f t="shared" si="18"/>
        <v>-3.8928550312169082E-2</v>
      </c>
    </row>
    <row r="414" spans="4:12" ht="14.4" customHeight="1">
      <c r="D414" s="7">
        <v>42592</v>
      </c>
      <c r="E414" s="8">
        <v>3.8130000000000002</v>
      </c>
      <c r="F414" s="8">
        <f t="shared" si="19"/>
        <v>2.6845465951472518E-2</v>
      </c>
      <c r="G414" s="8" cm="1">
        <f t="array" ref="G414">SUMPRODUCT(IF(((H414-$F$4:$F$515)/$B$10)&lt;=-1,0,IF(((H414-$F$4:$F$515)/$B$10)&gt;=1,1,(15/16)*(((H414-$F$4:$F$515)/$B$10)-(2/3)*((H414-$F$4:$F$515)/$B$10)^3+(1/5)*((H414-$F$4:$F$515)/$B$10)^5+8/15))))/COUNT($F$4:$F$515)</f>
        <v>1.953125E-3</v>
      </c>
      <c r="H414" s="9">
        <f t="shared" si="20"/>
        <v>-0.10132855031216853</v>
      </c>
      <c r="K414" s="7">
        <v>0.01</v>
      </c>
      <c r="L414" s="8">
        <f t="shared" si="18"/>
        <v>-3.8928550312169082E-2</v>
      </c>
    </row>
    <row r="415" spans="4:12" ht="14.4" customHeight="1">
      <c r="D415" s="2">
        <v>42593</v>
      </c>
      <c r="E415" s="3">
        <v>3.8039999999999998</v>
      </c>
      <c r="F415" s="3">
        <f t="shared" si="19"/>
        <v>-2.3631361922828906E-3</v>
      </c>
      <c r="G415" s="3" cm="1">
        <f t="array" ref="G415">SUMPRODUCT(IF(((H415-$F$4:$F$515)/$B$10)&lt;=-1,0,IF(((H415-$F$4:$F$515)/$B$10)&gt;=1,1,(15/16)*(((H415-$F$4:$F$515)/$B$10)-(2/3)*((H415-$F$4:$F$515)/$B$10)^3+(1/5)*((H415-$F$4:$F$515)/$B$10)^5+8/15))))/COUNT($F$4:$F$515)</f>
        <v>1.953125E-3</v>
      </c>
      <c r="H415" s="1">
        <f t="shared" si="20"/>
        <v>-0.10102855031216854</v>
      </c>
      <c r="K415" s="2">
        <v>0.01</v>
      </c>
      <c r="L415" s="3">
        <f t="shared" si="18"/>
        <v>-3.8928550312169082E-2</v>
      </c>
    </row>
    <row r="416" spans="4:12" ht="14.4" customHeight="1">
      <c r="D416" s="7">
        <v>42594</v>
      </c>
      <c r="E416" s="8">
        <v>3.782</v>
      </c>
      <c r="F416" s="8">
        <f t="shared" si="19"/>
        <v>-5.800174446878084E-3</v>
      </c>
      <c r="G416" s="8" cm="1">
        <f t="array" ref="G416">SUMPRODUCT(IF(((H416-$F$4:$F$515)/$B$10)&lt;=-1,0,IF(((H416-$F$4:$F$515)/$B$10)&gt;=1,1,(15/16)*(((H416-$F$4:$F$515)/$B$10)-(2/3)*((H416-$F$4:$F$515)/$B$10)^3+(1/5)*((H416-$F$4:$F$515)/$B$10)^5+8/15))))/COUNT($F$4:$F$515)</f>
        <v>1.953125E-3</v>
      </c>
      <c r="H416" s="9">
        <f t="shared" si="20"/>
        <v>-0.10072855031216854</v>
      </c>
      <c r="K416" s="7">
        <v>0.01</v>
      </c>
      <c r="L416" s="8">
        <f t="shared" si="18"/>
        <v>-3.8928550312169082E-2</v>
      </c>
    </row>
    <row r="417" spans="4:12" ht="14.4" customHeight="1">
      <c r="D417" s="2">
        <v>42597</v>
      </c>
      <c r="E417" s="3">
        <v>3.7719999999999998</v>
      </c>
      <c r="F417" s="3">
        <f t="shared" si="19"/>
        <v>-2.6476054650547941E-3</v>
      </c>
      <c r="G417" s="3" cm="1">
        <f t="array" ref="G417">SUMPRODUCT(IF(((H417-$F$4:$F$515)/$B$10)&lt;=-1,0,IF(((H417-$F$4:$F$515)/$B$10)&gt;=1,1,(15/16)*(((H417-$F$4:$F$515)/$B$10)-(2/3)*((H417-$F$4:$F$515)/$B$10)^3+(1/5)*((H417-$F$4:$F$515)/$B$10)^5+8/15))))/COUNT($F$4:$F$515)</f>
        <v>1.953125E-3</v>
      </c>
      <c r="H417" s="1">
        <f t="shared" si="20"/>
        <v>-0.10042855031216855</v>
      </c>
      <c r="K417" s="2">
        <v>0.01</v>
      </c>
      <c r="L417" s="3">
        <f t="shared" si="18"/>
        <v>-3.8928550312169082E-2</v>
      </c>
    </row>
    <row r="418" spans="4:12" ht="14.4" customHeight="1">
      <c r="D418" s="7">
        <v>42598</v>
      </c>
      <c r="E418" s="8">
        <v>3.7450000000000001</v>
      </c>
      <c r="F418" s="8">
        <f t="shared" si="19"/>
        <v>-7.1837478020282137E-3</v>
      </c>
      <c r="G418" s="8" cm="1">
        <f t="array" ref="G418">SUMPRODUCT(IF(((H418-$F$4:$F$515)/$B$10)&lt;=-1,0,IF(((H418-$F$4:$F$515)/$B$10)&gt;=1,1,(15/16)*(((H418-$F$4:$F$515)/$B$10)-(2/3)*((H418-$F$4:$F$515)/$B$10)^3+(1/5)*((H418-$F$4:$F$515)/$B$10)^5+8/15))))/COUNT($F$4:$F$515)</f>
        <v>1.953125E-3</v>
      </c>
      <c r="H418" s="9">
        <f t="shared" si="20"/>
        <v>-0.10012855031216855</v>
      </c>
      <c r="K418" s="7">
        <v>0.01</v>
      </c>
      <c r="L418" s="8">
        <f t="shared" si="18"/>
        <v>-3.8928550312169082E-2</v>
      </c>
    </row>
    <row r="419" spans="4:12" ht="14.4" customHeight="1">
      <c r="D419" s="2">
        <v>42599</v>
      </c>
      <c r="E419" s="3">
        <v>3.6720000000000002</v>
      </c>
      <c r="F419" s="3">
        <f t="shared" si="19"/>
        <v>-1.9685144210938782E-2</v>
      </c>
      <c r="G419" s="3" cm="1">
        <f t="array" ref="G419">SUMPRODUCT(IF(((H419-$F$4:$F$515)/$B$10)&lt;=-1,0,IF(((H419-$F$4:$F$515)/$B$10)&gt;=1,1,(15/16)*(((H419-$F$4:$F$515)/$B$10)-(2/3)*((H419-$F$4:$F$515)/$B$10)^3+(1/5)*((H419-$F$4:$F$515)/$B$10)^5+8/15))))/COUNT($F$4:$F$515)</f>
        <v>1.953125E-3</v>
      </c>
      <c r="H419" s="1">
        <f t="shared" si="20"/>
        <v>-9.9828550312168557E-2</v>
      </c>
      <c r="K419" s="2">
        <v>0.01</v>
      </c>
      <c r="L419" s="3">
        <f t="shared" si="18"/>
        <v>-3.8928550312169082E-2</v>
      </c>
    </row>
    <row r="420" spans="4:12" ht="14.4" customHeight="1">
      <c r="D420" s="7">
        <v>42600</v>
      </c>
      <c r="E420" s="8">
        <v>3.6440000000000001</v>
      </c>
      <c r="F420" s="8">
        <f t="shared" si="19"/>
        <v>-7.6544933605321901E-3</v>
      </c>
      <c r="G420" s="8" cm="1">
        <f t="array" ref="G420">SUMPRODUCT(IF(((H420-$F$4:$F$515)/$B$10)&lt;=-1,0,IF(((H420-$F$4:$F$515)/$B$10)&gt;=1,1,(15/16)*(((H420-$F$4:$F$515)/$B$10)-(2/3)*((H420-$F$4:$F$515)/$B$10)^3+(1/5)*((H420-$F$4:$F$515)/$B$10)^5+8/15))))/COUNT($F$4:$F$515)</f>
        <v>1.953125E-3</v>
      </c>
      <c r="H420" s="9">
        <f t="shared" si="20"/>
        <v>-9.9528550312168562E-2</v>
      </c>
      <c r="K420" s="7">
        <v>0.01</v>
      </c>
      <c r="L420" s="8">
        <f t="shared" si="18"/>
        <v>-3.8928550312169082E-2</v>
      </c>
    </row>
    <row r="421" spans="4:12" ht="14.4" customHeight="1">
      <c r="D421" s="2">
        <v>42601</v>
      </c>
      <c r="E421" s="3">
        <v>3.59</v>
      </c>
      <c r="F421" s="3">
        <f t="shared" si="19"/>
        <v>-1.4929776897524477E-2</v>
      </c>
      <c r="G421" s="3" cm="1">
        <f t="array" ref="G421">SUMPRODUCT(IF(((H421-$F$4:$F$515)/$B$10)&lt;=-1,0,IF(((H421-$F$4:$F$515)/$B$10)&gt;=1,1,(15/16)*(((H421-$F$4:$F$515)/$B$10)-(2/3)*((H421-$F$4:$F$515)/$B$10)^3+(1/5)*((H421-$F$4:$F$515)/$B$10)^5+8/15))))/COUNT($F$4:$F$515)</f>
        <v>1.953125E-3</v>
      </c>
      <c r="H421" s="1">
        <f t="shared" si="20"/>
        <v>-9.9228550312168567E-2</v>
      </c>
      <c r="K421" s="2">
        <v>0.01</v>
      </c>
      <c r="L421" s="3">
        <f t="shared" si="18"/>
        <v>-3.8928550312169082E-2</v>
      </c>
    </row>
    <row r="422" spans="4:12" ht="14.4" customHeight="1">
      <c r="D422" s="7">
        <v>42604</v>
      </c>
      <c r="E422" s="8">
        <v>3.665</v>
      </c>
      <c r="F422" s="8">
        <f t="shared" si="19"/>
        <v>2.0676132838427435E-2</v>
      </c>
      <c r="G422" s="8" cm="1">
        <f t="array" ref="G422">SUMPRODUCT(IF(((H422-$F$4:$F$515)/$B$10)&lt;=-1,0,IF(((H422-$F$4:$F$515)/$B$10)&gt;=1,1,(15/16)*(((H422-$F$4:$F$515)/$B$10)-(2/3)*((H422-$F$4:$F$515)/$B$10)^3+(1/5)*((H422-$F$4:$F$515)/$B$10)^5+8/15))))/COUNT($F$4:$F$515)</f>
        <v>1.953125E-3</v>
      </c>
      <c r="H422" s="9">
        <f t="shared" si="20"/>
        <v>-9.8928550312168573E-2</v>
      </c>
      <c r="K422" s="7">
        <v>0.01</v>
      </c>
      <c r="L422" s="8">
        <f t="shared" si="18"/>
        <v>-3.8928550312169082E-2</v>
      </c>
    </row>
    <row r="423" spans="4:12" ht="14.4" customHeight="1">
      <c r="D423" s="2">
        <v>42605</v>
      </c>
      <c r="E423" s="3">
        <v>3.7370000000000001</v>
      </c>
      <c r="F423" s="3">
        <f t="shared" si="19"/>
        <v>1.9454815164731978E-2</v>
      </c>
      <c r="G423" s="3" cm="1">
        <f t="array" ref="G423">SUMPRODUCT(IF(((H423-$F$4:$F$515)/$B$10)&lt;=-1,0,IF(((H423-$F$4:$F$515)/$B$10)&gt;=1,1,(15/16)*(((H423-$F$4:$F$515)/$B$10)-(2/3)*((H423-$F$4:$F$515)/$B$10)^3+(1/5)*((H423-$F$4:$F$515)/$B$10)^5+8/15))))/COUNT($F$4:$F$515)</f>
        <v>1.953125E-3</v>
      </c>
      <c r="H423" s="1">
        <f t="shared" si="20"/>
        <v>-9.8628550312168578E-2</v>
      </c>
      <c r="K423" s="2">
        <v>0.01</v>
      </c>
      <c r="L423" s="3">
        <f t="shared" si="18"/>
        <v>-3.8928550312169082E-2</v>
      </c>
    </row>
    <row r="424" spans="4:12" ht="14.4" customHeight="1">
      <c r="D424" s="7">
        <v>42606</v>
      </c>
      <c r="E424" s="8">
        <v>3.7959999999999998</v>
      </c>
      <c r="F424" s="8">
        <f t="shared" si="19"/>
        <v>1.5664730244334596E-2</v>
      </c>
      <c r="G424" s="8" cm="1">
        <f t="array" ref="G424">SUMPRODUCT(IF(((H424-$F$4:$F$515)/$B$10)&lt;=-1,0,IF(((H424-$F$4:$F$515)/$B$10)&gt;=1,1,(15/16)*(((H424-$F$4:$F$515)/$B$10)-(2/3)*((H424-$F$4:$F$515)/$B$10)^3+(1/5)*((H424-$F$4:$F$515)/$B$10)^5+8/15))))/COUNT($F$4:$F$515)</f>
        <v>1.953125E-3</v>
      </c>
      <c r="H424" s="9">
        <f t="shared" si="20"/>
        <v>-9.8328550312168583E-2</v>
      </c>
      <c r="K424" s="7">
        <v>0.01</v>
      </c>
      <c r="L424" s="8">
        <f t="shared" si="18"/>
        <v>-3.8928550312169082E-2</v>
      </c>
    </row>
    <row r="425" spans="4:12" ht="14.4" customHeight="1">
      <c r="D425" s="2">
        <v>42607</v>
      </c>
      <c r="E425" s="3">
        <v>3.7730000000000001</v>
      </c>
      <c r="F425" s="3">
        <f t="shared" si="19"/>
        <v>-6.0774397655078945E-3</v>
      </c>
      <c r="G425" s="3" cm="1">
        <f t="array" ref="G425">SUMPRODUCT(IF(((H425-$F$4:$F$515)/$B$10)&lt;=-1,0,IF(((H425-$F$4:$F$515)/$B$10)&gt;=1,1,(15/16)*(((H425-$F$4:$F$515)/$B$10)-(2/3)*((H425-$F$4:$F$515)/$B$10)^3+(1/5)*((H425-$F$4:$F$515)/$B$10)^5+8/15))))/COUNT($F$4:$F$515)</f>
        <v>1.953125E-3</v>
      </c>
      <c r="H425" s="1">
        <f t="shared" si="20"/>
        <v>-9.8028550312168589E-2</v>
      </c>
      <c r="K425" s="2">
        <v>0.01</v>
      </c>
      <c r="L425" s="3">
        <f t="shared" si="18"/>
        <v>-3.8928550312169082E-2</v>
      </c>
    </row>
    <row r="426" spans="4:12" ht="14.4" customHeight="1">
      <c r="D426" s="7">
        <v>42608</v>
      </c>
      <c r="E426" s="8">
        <v>3.8130000000000002</v>
      </c>
      <c r="F426" s="8">
        <f t="shared" si="19"/>
        <v>1.0545839893253276E-2</v>
      </c>
      <c r="G426" s="8" cm="1">
        <f t="array" ref="G426">SUMPRODUCT(IF(((H426-$F$4:$F$515)/$B$10)&lt;=-1,0,IF(((H426-$F$4:$F$515)/$B$10)&gt;=1,1,(15/16)*(((H426-$F$4:$F$515)/$B$10)-(2/3)*((H426-$F$4:$F$515)/$B$10)^3+(1/5)*((H426-$F$4:$F$515)/$B$10)^5+8/15))))/COUNT($F$4:$F$515)</f>
        <v>1.953125E-3</v>
      </c>
      <c r="H426" s="9">
        <f t="shared" si="20"/>
        <v>-9.7728550312168594E-2</v>
      </c>
      <c r="K426" s="7">
        <v>0.01</v>
      </c>
      <c r="L426" s="8">
        <f t="shared" si="18"/>
        <v>-3.8928550312169082E-2</v>
      </c>
    </row>
    <row r="427" spans="4:12" ht="14.4" customHeight="1">
      <c r="D427" s="2">
        <v>42611</v>
      </c>
      <c r="E427" s="3">
        <v>3.77</v>
      </c>
      <c r="F427" s="3">
        <f t="shared" si="19"/>
        <v>-1.1341279415507364E-2</v>
      </c>
      <c r="G427" s="3" cm="1">
        <f t="array" ref="G427">SUMPRODUCT(IF(((H427-$F$4:$F$515)/$B$10)&lt;=-1,0,IF(((H427-$F$4:$F$515)/$B$10)&gt;=1,1,(15/16)*(((H427-$F$4:$F$515)/$B$10)-(2/3)*((H427-$F$4:$F$515)/$B$10)^3+(1/5)*((H427-$F$4:$F$515)/$B$10)^5+8/15))))/COUNT($F$4:$F$515)</f>
        <v>1.953125E-3</v>
      </c>
      <c r="H427" s="1">
        <f t="shared" si="20"/>
        <v>-9.7428550312168599E-2</v>
      </c>
      <c r="K427" s="2">
        <v>0.01</v>
      </c>
      <c r="L427" s="3">
        <f t="shared" si="18"/>
        <v>-3.8928550312169082E-2</v>
      </c>
    </row>
    <row r="428" spans="4:12" ht="14.4" customHeight="1">
      <c r="D428" s="7">
        <v>42612</v>
      </c>
      <c r="E428" s="8">
        <v>3.8719999999999999</v>
      </c>
      <c r="F428" s="8">
        <f t="shared" si="19"/>
        <v>2.6696167954411123E-2</v>
      </c>
      <c r="G428" s="8" cm="1">
        <f t="array" ref="G428">SUMPRODUCT(IF(((H428-$F$4:$F$515)/$B$10)&lt;=-1,0,IF(((H428-$F$4:$F$515)/$B$10)&gt;=1,1,(15/16)*(((H428-$F$4:$F$515)/$B$10)-(2/3)*((H428-$F$4:$F$515)/$B$10)^3+(1/5)*((H428-$F$4:$F$515)/$B$10)^5+8/15))))/COUNT($F$4:$F$515)</f>
        <v>1.953125E-3</v>
      </c>
      <c r="H428" s="9">
        <f t="shared" si="20"/>
        <v>-9.7128550312168604E-2</v>
      </c>
      <c r="K428" s="7">
        <v>0.01</v>
      </c>
      <c r="L428" s="8">
        <f t="shared" si="18"/>
        <v>-3.8928550312169082E-2</v>
      </c>
    </row>
    <row r="429" spans="4:12" ht="14.4" customHeight="1">
      <c r="D429" s="2">
        <v>42613</v>
      </c>
      <c r="E429" s="3">
        <v>3.9660000000000002</v>
      </c>
      <c r="F429" s="3">
        <f t="shared" si="19"/>
        <v>2.3986860683273693E-2</v>
      </c>
      <c r="G429" s="3" cm="1">
        <f t="array" ref="G429">SUMPRODUCT(IF(((H429-$F$4:$F$515)/$B$10)&lt;=-1,0,IF(((H429-$F$4:$F$515)/$B$10)&gt;=1,1,(15/16)*(((H429-$F$4:$F$515)/$B$10)-(2/3)*((H429-$F$4:$F$515)/$B$10)^3+(1/5)*((H429-$F$4:$F$515)/$B$10)^5+8/15))))/COUNT($F$4:$F$515)</f>
        <v>1.953125E-3</v>
      </c>
      <c r="H429" s="1">
        <f t="shared" si="20"/>
        <v>-9.682855031216861E-2</v>
      </c>
      <c r="K429" s="2">
        <v>0.01</v>
      </c>
      <c r="L429" s="3">
        <f t="shared" si="18"/>
        <v>-3.8928550312169082E-2</v>
      </c>
    </row>
    <row r="430" spans="4:12" ht="14.4" customHeight="1">
      <c r="D430" s="7">
        <v>42614</v>
      </c>
      <c r="E430" s="8">
        <v>3.9910000000000001</v>
      </c>
      <c r="F430" s="8">
        <f t="shared" si="19"/>
        <v>6.2837959689926639E-3</v>
      </c>
      <c r="G430" s="8" cm="1">
        <f t="array" ref="G430">SUMPRODUCT(IF(((H430-$F$4:$F$515)/$B$10)&lt;=-1,0,IF(((H430-$F$4:$F$515)/$B$10)&gt;=1,1,(15/16)*(((H430-$F$4:$F$515)/$B$10)-(2/3)*((H430-$F$4:$F$515)/$B$10)^3+(1/5)*((H430-$F$4:$F$515)/$B$10)^5+8/15))))/COUNT($F$4:$F$515)</f>
        <v>1.953125E-3</v>
      </c>
      <c r="H430" s="9">
        <f t="shared" si="20"/>
        <v>-9.6528550312168615E-2</v>
      </c>
      <c r="K430" s="7">
        <v>0.01</v>
      </c>
      <c r="L430" s="8">
        <f t="shared" si="18"/>
        <v>-3.8928550312169082E-2</v>
      </c>
    </row>
    <row r="431" spans="4:12" ht="14.4" customHeight="1">
      <c r="D431" s="2">
        <v>42615</v>
      </c>
      <c r="E431" s="3">
        <v>4.0449999999999999</v>
      </c>
      <c r="F431" s="3">
        <f t="shared" si="19"/>
        <v>1.3439724443858214E-2</v>
      </c>
      <c r="G431" s="3" cm="1">
        <f t="array" ref="G431">SUMPRODUCT(IF(((H431-$F$4:$F$515)/$B$10)&lt;=-1,0,IF(((H431-$F$4:$F$515)/$B$10)&gt;=1,1,(15/16)*(((H431-$F$4:$F$515)/$B$10)-(2/3)*((H431-$F$4:$F$515)/$B$10)^3+(1/5)*((H431-$F$4:$F$515)/$B$10)^5+8/15))))/COUNT($F$4:$F$515)</f>
        <v>1.953125E-3</v>
      </c>
      <c r="H431" s="1">
        <f t="shared" si="20"/>
        <v>-9.622855031216862E-2</v>
      </c>
      <c r="K431" s="2">
        <v>0.01</v>
      </c>
      <c r="L431" s="3">
        <f t="shared" si="18"/>
        <v>-3.8928550312169082E-2</v>
      </c>
    </row>
    <row r="432" spans="4:12" ht="14.4" customHeight="1">
      <c r="D432" s="7">
        <v>42618</v>
      </c>
      <c r="E432" s="8">
        <v>3.976</v>
      </c>
      <c r="F432" s="8">
        <f t="shared" si="19"/>
        <v>-1.7205261716127362E-2</v>
      </c>
      <c r="G432" s="8" cm="1">
        <f t="array" ref="G432">SUMPRODUCT(IF(((H432-$F$4:$F$515)/$B$10)&lt;=-1,0,IF(((H432-$F$4:$F$515)/$B$10)&gt;=1,1,(15/16)*(((H432-$F$4:$F$515)/$B$10)-(2/3)*((H432-$F$4:$F$515)/$B$10)^3+(1/5)*((H432-$F$4:$F$515)/$B$10)^5+8/15))))/COUNT($F$4:$F$515)</f>
        <v>1.953125E-3</v>
      </c>
      <c r="H432" s="9">
        <f t="shared" si="20"/>
        <v>-9.5928550312168626E-2</v>
      </c>
      <c r="K432" s="7">
        <v>0.01</v>
      </c>
      <c r="L432" s="8">
        <f t="shared" si="18"/>
        <v>-3.8928550312169082E-2</v>
      </c>
    </row>
    <row r="433" spans="4:12" ht="14.4" customHeight="1">
      <c r="D433" s="2">
        <v>42619</v>
      </c>
      <c r="E433" s="3">
        <v>3.9630000000000001</v>
      </c>
      <c r="F433" s="3">
        <f t="shared" si="19"/>
        <v>-3.2749745860295686E-3</v>
      </c>
      <c r="G433" s="3" cm="1">
        <f t="array" ref="G433">SUMPRODUCT(IF(((H433-$F$4:$F$515)/$B$10)&lt;=-1,0,IF(((H433-$F$4:$F$515)/$B$10)&gt;=1,1,(15/16)*(((H433-$F$4:$F$515)/$B$10)-(2/3)*((H433-$F$4:$F$515)/$B$10)^3+(1/5)*((H433-$F$4:$F$515)/$B$10)^5+8/15))))/COUNT($F$4:$F$515)</f>
        <v>1.953125E-3</v>
      </c>
      <c r="H433" s="1">
        <f t="shared" si="20"/>
        <v>-9.5628550312168631E-2</v>
      </c>
      <c r="K433" s="2">
        <v>0.01</v>
      </c>
      <c r="L433" s="3">
        <f t="shared" si="18"/>
        <v>-3.8928550312169082E-2</v>
      </c>
    </row>
    <row r="434" spans="4:12" ht="14.4" customHeight="1">
      <c r="D434" s="7">
        <v>42620</v>
      </c>
      <c r="E434" s="8">
        <v>3.976</v>
      </c>
      <c r="F434" s="8">
        <f t="shared" si="19"/>
        <v>3.2749745860296644E-3</v>
      </c>
      <c r="G434" s="8" cm="1">
        <f t="array" ref="G434">SUMPRODUCT(IF(((H434-$F$4:$F$515)/$B$10)&lt;=-1,0,IF(((H434-$F$4:$F$515)/$B$10)&gt;=1,1,(15/16)*(((H434-$F$4:$F$515)/$B$10)-(2/3)*((H434-$F$4:$F$515)/$B$10)^3+(1/5)*((H434-$F$4:$F$515)/$B$10)^5+8/15))))/COUNT($F$4:$F$515)</f>
        <v>1.953125E-3</v>
      </c>
      <c r="H434" s="9">
        <f t="shared" si="20"/>
        <v>-9.5328550312168636E-2</v>
      </c>
      <c r="K434" s="7">
        <v>0.01</v>
      </c>
      <c r="L434" s="8">
        <f t="shared" si="18"/>
        <v>-3.8928550312169082E-2</v>
      </c>
    </row>
    <row r="435" spans="4:12" ht="14.4" customHeight="1">
      <c r="D435" s="2">
        <v>42621</v>
      </c>
      <c r="E435" s="3">
        <v>4.0720000000000001</v>
      </c>
      <c r="F435" s="3">
        <f t="shared" si="19"/>
        <v>2.3857990453893953E-2</v>
      </c>
      <c r="G435" s="3" cm="1">
        <f t="array" ref="G435">SUMPRODUCT(IF(((H435-$F$4:$F$515)/$B$10)&lt;=-1,0,IF(((H435-$F$4:$F$515)/$B$10)&gt;=1,1,(15/16)*(((H435-$F$4:$F$515)/$B$10)-(2/3)*((H435-$F$4:$F$515)/$B$10)^3+(1/5)*((H435-$F$4:$F$515)/$B$10)^5+8/15))))/COUNT($F$4:$F$515)</f>
        <v>1.953125E-3</v>
      </c>
      <c r="H435" s="1">
        <f t="shared" si="20"/>
        <v>-9.5028550312168641E-2</v>
      </c>
      <c r="K435" s="2">
        <v>0.01</v>
      </c>
      <c r="L435" s="3">
        <f t="shared" si="18"/>
        <v>-3.8928550312169082E-2</v>
      </c>
    </row>
    <row r="436" spans="4:12" ht="14.4" customHeight="1">
      <c r="D436" s="7">
        <v>42622</v>
      </c>
      <c r="E436" s="8">
        <v>4.0860000000000003</v>
      </c>
      <c r="F436" s="8">
        <f t="shared" si="19"/>
        <v>3.4322171472087096E-3</v>
      </c>
      <c r="G436" s="8" cm="1">
        <f t="array" ref="G436">SUMPRODUCT(IF(((H436-$F$4:$F$515)/$B$10)&lt;=-1,0,IF(((H436-$F$4:$F$515)/$B$10)&gt;=1,1,(15/16)*(((H436-$F$4:$F$515)/$B$10)-(2/3)*((H436-$F$4:$F$515)/$B$10)^3+(1/5)*((H436-$F$4:$F$515)/$B$10)^5+8/15))))/COUNT($F$4:$F$515)</f>
        <v>1.953125E-3</v>
      </c>
      <c r="H436" s="9">
        <f t="shared" si="20"/>
        <v>-9.4728550312168647E-2</v>
      </c>
      <c r="K436" s="7">
        <v>0.01</v>
      </c>
      <c r="L436" s="8">
        <f t="shared" si="18"/>
        <v>-3.8928550312169082E-2</v>
      </c>
    </row>
    <row r="437" spans="4:12" ht="14.4" customHeight="1">
      <c r="D437" s="2">
        <v>42625</v>
      </c>
      <c r="E437" s="3">
        <v>3.9649999999999999</v>
      </c>
      <c r="F437" s="3">
        <f t="shared" si="19"/>
        <v>-3.0060641308619091E-2</v>
      </c>
      <c r="G437" s="3" cm="1">
        <f t="array" ref="G437">SUMPRODUCT(IF(((H437-$F$4:$F$515)/$B$10)&lt;=-1,0,IF(((H437-$F$4:$F$515)/$B$10)&gt;=1,1,(15/16)*(((H437-$F$4:$F$515)/$B$10)-(2/3)*((H437-$F$4:$F$515)/$B$10)^3+(1/5)*((H437-$F$4:$F$515)/$B$10)^5+8/15))))/COUNT($F$4:$F$515)</f>
        <v>1.953125E-3</v>
      </c>
      <c r="H437" s="1">
        <f t="shared" si="20"/>
        <v>-9.4428550312168652E-2</v>
      </c>
      <c r="K437" s="2">
        <v>0.01</v>
      </c>
      <c r="L437" s="3">
        <f t="shared" si="18"/>
        <v>-3.8928550312169082E-2</v>
      </c>
    </row>
    <row r="438" spans="4:12" ht="14.4" customHeight="1">
      <c r="D438" s="7">
        <v>42626</v>
      </c>
      <c r="E438" s="8">
        <v>3.9289999999999998</v>
      </c>
      <c r="F438" s="8">
        <f t="shared" si="19"/>
        <v>-9.1209145104885845E-3</v>
      </c>
      <c r="G438" s="8" cm="1">
        <f t="array" ref="G438">SUMPRODUCT(IF(((H438-$F$4:$F$515)/$B$10)&lt;=-1,0,IF(((H438-$F$4:$F$515)/$B$10)&gt;=1,1,(15/16)*(((H438-$F$4:$F$515)/$B$10)-(2/3)*((H438-$F$4:$F$515)/$B$10)^3+(1/5)*((H438-$F$4:$F$515)/$B$10)^5+8/15))))/COUNT($F$4:$F$515)</f>
        <v>1.953125E-3</v>
      </c>
      <c r="H438" s="9">
        <f t="shared" si="20"/>
        <v>-9.4128550312168657E-2</v>
      </c>
      <c r="K438" s="7">
        <v>0.01</v>
      </c>
      <c r="L438" s="8">
        <f t="shared" si="18"/>
        <v>-3.8928550312169082E-2</v>
      </c>
    </row>
    <row r="439" spans="4:12" ht="14.4" customHeight="1">
      <c r="D439" s="2">
        <v>42627</v>
      </c>
      <c r="E439" s="3">
        <v>3.9359999999999999</v>
      </c>
      <c r="F439" s="3">
        <f t="shared" si="19"/>
        <v>1.7800386136842168E-3</v>
      </c>
      <c r="G439" s="3" cm="1">
        <f t="array" ref="G439">SUMPRODUCT(IF(((H439-$F$4:$F$515)/$B$10)&lt;=-1,0,IF(((H439-$F$4:$F$515)/$B$10)&gt;=1,1,(15/16)*(((H439-$F$4:$F$515)/$B$10)-(2/3)*((H439-$F$4:$F$515)/$B$10)^3+(1/5)*((H439-$F$4:$F$515)/$B$10)^5+8/15))))/COUNT($F$4:$F$515)</f>
        <v>1.953125E-3</v>
      </c>
      <c r="H439" s="1">
        <f t="shared" si="20"/>
        <v>-9.3828550312168663E-2</v>
      </c>
      <c r="K439" s="2">
        <v>0.01</v>
      </c>
      <c r="L439" s="3">
        <f t="shared" si="18"/>
        <v>-3.8928550312169082E-2</v>
      </c>
    </row>
    <row r="440" spans="4:12" ht="14.4" customHeight="1">
      <c r="D440" s="7">
        <v>42628</v>
      </c>
      <c r="E440" s="8">
        <v>3.98</v>
      </c>
      <c r="F440" s="8">
        <f t="shared" si="19"/>
        <v>1.1116840106339393E-2</v>
      </c>
      <c r="G440" s="8" cm="1">
        <f t="array" ref="G440">SUMPRODUCT(IF(((H440-$F$4:$F$515)/$B$10)&lt;=-1,0,IF(((H440-$F$4:$F$515)/$B$10)&gt;=1,1,(15/16)*(((H440-$F$4:$F$515)/$B$10)-(2/3)*((H440-$F$4:$F$515)/$B$10)^3+(1/5)*((H440-$F$4:$F$515)/$B$10)^5+8/15))))/COUNT($F$4:$F$515)</f>
        <v>1.953125E-3</v>
      </c>
      <c r="H440" s="9">
        <f t="shared" si="20"/>
        <v>-9.3528550312168668E-2</v>
      </c>
      <c r="K440" s="7">
        <v>0.01</v>
      </c>
      <c r="L440" s="8">
        <f t="shared" si="18"/>
        <v>-3.8928550312169082E-2</v>
      </c>
    </row>
    <row r="441" spans="4:12" ht="14.4" customHeight="1">
      <c r="D441" s="2">
        <v>42629</v>
      </c>
      <c r="E441" s="3">
        <v>4.0179999999999998</v>
      </c>
      <c r="F441" s="3">
        <f t="shared" si="19"/>
        <v>9.5024470963962545E-3</v>
      </c>
      <c r="G441" s="3" cm="1">
        <f t="array" ref="G441">SUMPRODUCT(IF(((H441-$F$4:$F$515)/$B$10)&lt;=-1,0,IF(((H441-$F$4:$F$515)/$B$10)&gt;=1,1,(15/16)*(((H441-$F$4:$F$515)/$B$10)-(2/3)*((H441-$F$4:$F$515)/$B$10)^3+(1/5)*((H441-$F$4:$F$515)/$B$10)^5+8/15))))/COUNT($F$4:$F$515)</f>
        <v>1.953125E-3</v>
      </c>
      <c r="H441" s="1">
        <f t="shared" si="20"/>
        <v>-9.3228550312168673E-2</v>
      </c>
      <c r="K441" s="2">
        <v>0.01</v>
      </c>
      <c r="L441" s="3">
        <f t="shared" si="18"/>
        <v>-3.8928550312169082E-2</v>
      </c>
    </row>
    <row r="442" spans="4:12" ht="14.4" customHeight="1">
      <c r="D442" s="7">
        <v>42632</v>
      </c>
      <c r="E442" s="8">
        <v>4.0410000000000004</v>
      </c>
      <c r="F442" s="8">
        <f t="shared" si="19"/>
        <v>5.7079197035940481E-3</v>
      </c>
      <c r="G442" s="8" cm="1">
        <f t="array" ref="G442">SUMPRODUCT(IF(((H442-$F$4:$F$515)/$B$10)&lt;=-1,0,IF(((H442-$F$4:$F$515)/$B$10)&gt;=1,1,(15/16)*(((H442-$F$4:$F$515)/$B$10)-(2/3)*((H442-$F$4:$F$515)/$B$10)^3+(1/5)*((H442-$F$4:$F$515)/$B$10)^5+8/15))))/COUNT($F$4:$F$515)</f>
        <v>1.953125E-3</v>
      </c>
      <c r="H442" s="9">
        <f t="shared" si="20"/>
        <v>-9.2928550312168678E-2</v>
      </c>
      <c r="K442" s="7">
        <v>0.01</v>
      </c>
      <c r="L442" s="8">
        <f t="shared" si="18"/>
        <v>-3.8928550312169082E-2</v>
      </c>
    </row>
    <row r="443" spans="4:12" ht="14.4" customHeight="1">
      <c r="D443" s="2">
        <v>42633</v>
      </c>
      <c r="E443" s="3">
        <v>3.9630000000000001</v>
      </c>
      <c r="F443" s="3">
        <f t="shared" si="19"/>
        <v>-1.9490871888038733E-2</v>
      </c>
      <c r="G443" s="3" cm="1">
        <f t="array" ref="G443">SUMPRODUCT(IF(((H443-$F$4:$F$515)/$B$10)&lt;=-1,0,IF(((H443-$F$4:$F$515)/$B$10)&gt;=1,1,(15/16)*(((H443-$F$4:$F$515)/$B$10)-(2/3)*((H443-$F$4:$F$515)/$B$10)^3+(1/5)*((H443-$F$4:$F$515)/$B$10)^5+8/15))))/COUNT($F$4:$F$515)</f>
        <v>1.953125E-3</v>
      </c>
      <c r="H443" s="1">
        <f t="shared" si="20"/>
        <v>-9.2628550312168684E-2</v>
      </c>
      <c r="K443" s="2">
        <v>0.01</v>
      </c>
      <c r="L443" s="3">
        <f t="shared" si="18"/>
        <v>-3.8928550312169082E-2</v>
      </c>
    </row>
    <row r="444" spans="4:12" ht="14.4" customHeight="1">
      <c r="D444" s="7">
        <v>42634</v>
      </c>
      <c r="E444" s="8">
        <v>4.1239999999999997</v>
      </c>
      <c r="F444" s="8">
        <f t="shared" si="19"/>
        <v>3.9822251946415442E-2</v>
      </c>
      <c r="G444" s="8" cm="1">
        <f t="array" ref="G444">SUMPRODUCT(IF(((H444-$F$4:$F$515)/$B$10)&lt;=-1,0,IF(((H444-$F$4:$F$515)/$B$10)&gt;=1,1,(15/16)*(((H444-$F$4:$F$515)/$B$10)-(2/3)*((H444-$F$4:$F$515)/$B$10)^3+(1/5)*((H444-$F$4:$F$515)/$B$10)^5+8/15))))/COUNT($F$4:$F$515)</f>
        <v>1.953125E-3</v>
      </c>
      <c r="H444" s="9">
        <f t="shared" si="20"/>
        <v>-9.2328550312168689E-2</v>
      </c>
      <c r="K444" s="7">
        <v>0.01</v>
      </c>
      <c r="L444" s="8">
        <f t="shared" si="18"/>
        <v>-3.8928550312169082E-2</v>
      </c>
    </row>
    <row r="445" spans="4:12" ht="14.4" customHeight="1">
      <c r="D445" s="2">
        <v>42635</v>
      </c>
      <c r="E445" s="3">
        <v>4.1429999999999998</v>
      </c>
      <c r="F445" s="3">
        <f t="shared" si="19"/>
        <v>4.596596940551206E-3</v>
      </c>
      <c r="G445" s="3" cm="1">
        <f t="array" ref="G445">SUMPRODUCT(IF(((H445-$F$4:$F$515)/$B$10)&lt;=-1,0,IF(((H445-$F$4:$F$515)/$B$10)&gt;=1,1,(15/16)*(((H445-$F$4:$F$515)/$B$10)-(2/3)*((H445-$F$4:$F$515)/$B$10)^3+(1/5)*((H445-$F$4:$F$515)/$B$10)^5+8/15))))/COUNT($F$4:$F$515)</f>
        <v>1.953125E-3</v>
      </c>
      <c r="H445" s="1">
        <f t="shared" si="20"/>
        <v>-9.2028550312168694E-2</v>
      </c>
      <c r="K445" s="2">
        <v>0.01</v>
      </c>
      <c r="L445" s="3">
        <f t="shared" si="18"/>
        <v>-3.8928550312169082E-2</v>
      </c>
    </row>
    <row r="446" spans="4:12" ht="14.4" customHeight="1">
      <c r="D446" s="7">
        <v>42636</v>
      </c>
      <c r="E446" s="8">
        <v>4.1479999999999997</v>
      </c>
      <c r="F446" s="8">
        <f t="shared" si="19"/>
        <v>1.2061272720161218E-3</v>
      </c>
      <c r="G446" s="8" cm="1">
        <f t="array" ref="G446">SUMPRODUCT(IF(((H446-$F$4:$F$515)/$B$10)&lt;=-1,0,IF(((H446-$F$4:$F$515)/$B$10)&gt;=1,1,(15/16)*(((H446-$F$4:$F$515)/$B$10)-(2/3)*((H446-$F$4:$F$515)/$B$10)^3+(1/5)*((H446-$F$4:$F$515)/$B$10)^5+8/15))))/COUNT($F$4:$F$515)</f>
        <v>1.953125E-3</v>
      </c>
      <c r="H446" s="9">
        <f t="shared" si="20"/>
        <v>-9.17285503121687E-2</v>
      </c>
      <c r="K446" s="7">
        <v>0.01</v>
      </c>
      <c r="L446" s="8">
        <f t="shared" si="18"/>
        <v>-3.8928550312169082E-2</v>
      </c>
    </row>
    <row r="447" spans="4:12" ht="14.4" customHeight="1">
      <c r="D447" s="2">
        <v>42639</v>
      </c>
      <c r="E447" s="3">
        <v>4.0629999999999997</v>
      </c>
      <c r="F447" s="3">
        <f t="shared" si="19"/>
        <v>-2.0704673361691166E-2</v>
      </c>
      <c r="G447" s="3" cm="1">
        <f t="array" ref="G447">SUMPRODUCT(IF(((H447-$F$4:$F$515)/$B$10)&lt;=-1,0,IF(((H447-$F$4:$F$515)/$B$10)&gt;=1,1,(15/16)*(((H447-$F$4:$F$515)/$B$10)-(2/3)*((H447-$F$4:$F$515)/$B$10)^3+(1/5)*((H447-$F$4:$F$515)/$B$10)^5+8/15))))/COUNT($F$4:$F$515)</f>
        <v>1.953125E-3</v>
      </c>
      <c r="H447" s="1">
        <f t="shared" si="20"/>
        <v>-9.1428550312168705E-2</v>
      </c>
      <c r="K447" s="2">
        <v>0.01</v>
      </c>
      <c r="L447" s="3">
        <f t="shared" si="18"/>
        <v>-3.8928550312169082E-2</v>
      </c>
    </row>
    <row r="448" spans="4:12" ht="14.4" customHeight="1">
      <c r="D448" s="7">
        <v>42640</v>
      </c>
      <c r="E448" s="8">
        <v>4.0339999999999998</v>
      </c>
      <c r="F448" s="8">
        <f t="shared" si="19"/>
        <v>-7.1631774735696086E-3</v>
      </c>
      <c r="G448" s="8" cm="1">
        <f t="array" ref="G448">SUMPRODUCT(IF(((H448-$F$4:$F$515)/$B$10)&lt;=-1,0,IF(((H448-$F$4:$F$515)/$B$10)&gt;=1,1,(15/16)*(((H448-$F$4:$F$515)/$B$10)-(2/3)*((H448-$F$4:$F$515)/$B$10)^3+(1/5)*((H448-$F$4:$F$515)/$B$10)^5+8/15))))/COUNT($F$4:$F$515)</f>
        <v>1.953125E-3</v>
      </c>
      <c r="H448" s="9">
        <f t="shared" si="20"/>
        <v>-9.112855031216871E-2</v>
      </c>
      <c r="K448" s="7">
        <v>0.01</v>
      </c>
      <c r="L448" s="8">
        <f t="shared" si="18"/>
        <v>-3.8928550312169082E-2</v>
      </c>
    </row>
    <row r="449" spans="4:12" ht="14.4" customHeight="1">
      <c r="D449" s="2">
        <v>42641</v>
      </c>
      <c r="E449" s="3">
        <v>4.069</v>
      </c>
      <c r="F449" s="3">
        <f t="shared" si="19"/>
        <v>8.6388294875330025E-3</v>
      </c>
      <c r="G449" s="3" cm="1">
        <f t="array" ref="G449">SUMPRODUCT(IF(((H449-$F$4:$F$515)/$B$10)&lt;=-1,0,IF(((H449-$F$4:$F$515)/$B$10)&gt;=1,1,(15/16)*(((H449-$F$4:$F$515)/$B$10)-(2/3)*((H449-$F$4:$F$515)/$B$10)^3+(1/5)*((H449-$F$4:$F$515)/$B$10)^5+8/15))))/COUNT($F$4:$F$515)</f>
        <v>1.953125E-3</v>
      </c>
      <c r="H449" s="1">
        <f t="shared" si="20"/>
        <v>-9.0828550312168715E-2</v>
      </c>
      <c r="K449" s="2">
        <v>0.01</v>
      </c>
      <c r="L449" s="3">
        <f t="shared" si="18"/>
        <v>-3.8928550312169082E-2</v>
      </c>
    </row>
    <row r="450" spans="4:12" ht="14.4" customHeight="1">
      <c r="D450" s="7">
        <v>42642</v>
      </c>
      <c r="E450" s="8">
        <v>4.101</v>
      </c>
      <c r="F450" s="8">
        <f t="shared" si="19"/>
        <v>7.8335773903693163E-3</v>
      </c>
      <c r="G450" s="8" cm="1">
        <f t="array" ref="G450">SUMPRODUCT(IF(((H450-$F$4:$F$515)/$B$10)&lt;=-1,0,IF(((H450-$F$4:$F$515)/$B$10)&gt;=1,1,(15/16)*(((H450-$F$4:$F$515)/$B$10)-(2/3)*((H450-$F$4:$F$515)/$B$10)^3+(1/5)*((H450-$F$4:$F$515)/$B$10)^5+8/15))))/COUNT($F$4:$F$515)</f>
        <v>1.953125E-3</v>
      </c>
      <c r="H450" s="9">
        <f t="shared" si="20"/>
        <v>-9.0528550312168721E-2</v>
      </c>
      <c r="K450" s="7">
        <v>0.01</v>
      </c>
      <c r="L450" s="8">
        <f t="shared" si="18"/>
        <v>-3.8928550312169082E-2</v>
      </c>
    </row>
    <row r="451" spans="4:12" ht="14.4" customHeight="1">
      <c r="D451" s="2">
        <v>42643</v>
      </c>
      <c r="E451" s="3">
        <v>4.149</v>
      </c>
      <c r="F451" s="3">
        <f t="shared" si="19"/>
        <v>1.163649494080864E-2</v>
      </c>
      <c r="G451" s="3" cm="1">
        <f t="array" ref="G451">SUMPRODUCT(IF(((H451-$F$4:$F$515)/$B$10)&lt;=-1,0,IF(((H451-$F$4:$F$515)/$B$10)&gt;=1,1,(15/16)*(((H451-$F$4:$F$515)/$B$10)-(2/3)*((H451-$F$4:$F$515)/$B$10)^3+(1/5)*((H451-$F$4:$F$515)/$B$10)^5+8/15))))/COUNT($F$4:$F$515)</f>
        <v>1.953125E-3</v>
      </c>
      <c r="H451" s="1">
        <f t="shared" si="20"/>
        <v>-9.0228550312168726E-2</v>
      </c>
      <c r="K451" s="2">
        <v>0.01</v>
      </c>
      <c r="L451" s="3">
        <f t="shared" si="18"/>
        <v>-3.8928550312169082E-2</v>
      </c>
    </row>
    <row r="452" spans="4:12" ht="14.4" customHeight="1">
      <c r="D452" s="7">
        <v>42646</v>
      </c>
      <c r="E452" s="8">
        <v>4.1130000000000004</v>
      </c>
      <c r="F452" s="8">
        <f t="shared" si="19"/>
        <v>-8.7146521024436645E-3</v>
      </c>
      <c r="G452" s="8" cm="1">
        <f t="array" ref="G452">SUMPRODUCT(IF(((H452-$F$4:$F$515)/$B$10)&lt;=-1,0,IF(((H452-$F$4:$F$515)/$B$10)&gt;=1,1,(15/16)*(((H452-$F$4:$F$515)/$B$10)-(2/3)*((H452-$F$4:$F$515)/$B$10)^3+(1/5)*((H452-$F$4:$F$515)/$B$10)^5+8/15))))/COUNT($F$4:$F$515)</f>
        <v>1.953125E-3</v>
      </c>
      <c r="H452" s="9">
        <f t="shared" si="20"/>
        <v>-8.9928550312168731E-2</v>
      </c>
      <c r="K452" s="7">
        <v>0.01</v>
      </c>
      <c r="L452" s="8">
        <f t="shared" ref="L452:L515" si="21">$B$7</f>
        <v>-3.8928550312169082E-2</v>
      </c>
    </row>
    <row r="453" spans="4:12" ht="14.4" customHeight="1">
      <c r="D453" s="2">
        <v>42647</v>
      </c>
      <c r="E453" s="3">
        <v>4.2229999999999999</v>
      </c>
      <c r="F453" s="3">
        <f t="shared" ref="F453:F516" si="22">LN(E453/E452)</f>
        <v>2.6393086703519364E-2</v>
      </c>
      <c r="G453" s="3" cm="1">
        <f t="array" ref="G453">SUMPRODUCT(IF(((H453-$F$4:$F$515)/$B$10)&lt;=-1,0,IF(((H453-$F$4:$F$515)/$B$10)&gt;=1,1,(15/16)*(((H453-$F$4:$F$515)/$B$10)-(2/3)*((H453-$F$4:$F$515)/$B$10)^3+(1/5)*((H453-$F$4:$F$515)/$B$10)^5+8/15))))/COUNT($F$4:$F$515)</f>
        <v>1.953125E-3</v>
      </c>
      <c r="H453" s="1">
        <f t="shared" ref="H453:H516" si="23">H452+0.0003</f>
        <v>-8.9628550312168737E-2</v>
      </c>
      <c r="K453" s="2">
        <v>0.01</v>
      </c>
      <c r="L453" s="3">
        <f t="shared" si="21"/>
        <v>-3.8928550312169082E-2</v>
      </c>
    </row>
    <row r="454" spans="4:12" ht="14.4" customHeight="1">
      <c r="D454" s="7">
        <v>42648</v>
      </c>
      <c r="E454" s="8">
        <v>4.34</v>
      </c>
      <c r="F454" s="8">
        <f t="shared" si="22"/>
        <v>2.7328572160507009E-2</v>
      </c>
      <c r="G454" s="8" cm="1">
        <f t="array" ref="G454">SUMPRODUCT(IF(((H454-$F$4:$F$515)/$B$10)&lt;=-1,0,IF(((H454-$F$4:$F$515)/$B$10)&gt;=1,1,(15/16)*(((H454-$F$4:$F$515)/$B$10)-(2/3)*((H454-$F$4:$F$515)/$B$10)^3+(1/5)*((H454-$F$4:$F$515)/$B$10)^5+8/15))))/COUNT($F$4:$F$515)</f>
        <v>1.953125E-3</v>
      </c>
      <c r="H454" s="9">
        <f t="shared" si="23"/>
        <v>-8.9328550312168742E-2</v>
      </c>
      <c r="K454" s="7">
        <v>0.01</v>
      </c>
      <c r="L454" s="8">
        <f t="shared" si="21"/>
        <v>-3.8928550312169082E-2</v>
      </c>
    </row>
    <row r="455" spans="4:12" ht="14.4" customHeight="1">
      <c r="D455" s="2">
        <v>42649</v>
      </c>
      <c r="E455" s="3">
        <v>4.4119999999999999</v>
      </c>
      <c r="F455" s="3">
        <f t="shared" si="22"/>
        <v>1.6453753278942648E-2</v>
      </c>
      <c r="G455" s="3" cm="1">
        <f t="array" ref="G455">SUMPRODUCT(IF(((H455-$F$4:$F$515)/$B$10)&lt;=-1,0,IF(((H455-$F$4:$F$515)/$B$10)&gt;=1,1,(15/16)*(((H455-$F$4:$F$515)/$B$10)-(2/3)*((H455-$F$4:$F$515)/$B$10)^3+(1/5)*((H455-$F$4:$F$515)/$B$10)^5+8/15))))/COUNT($F$4:$F$515)</f>
        <v>1.953125E-3</v>
      </c>
      <c r="H455" s="1">
        <f t="shared" si="23"/>
        <v>-8.9028550312168747E-2</v>
      </c>
      <c r="K455" s="2">
        <v>0.01</v>
      </c>
      <c r="L455" s="3">
        <f t="shared" si="21"/>
        <v>-3.8928550312169082E-2</v>
      </c>
    </row>
    <row r="456" spans="4:12" ht="14.4" customHeight="1">
      <c r="D456" s="7">
        <v>42650</v>
      </c>
      <c r="E456" s="8">
        <v>4.4400000000000004</v>
      </c>
      <c r="F456" s="8">
        <f t="shared" si="22"/>
        <v>6.3262750528773806E-3</v>
      </c>
      <c r="G456" s="8" cm="1">
        <f t="array" ref="G456">SUMPRODUCT(IF(((H456-$F$4:$F$515)/$B$10)&lt;=-1,0,IF(((H456-$F$4:$F$515)/$B$10)&gt;=1,1,(15/16)*(((H456-$F$4:$F$515)/$B$10)-(2/3)*((H456-$F$4:$F$515)/$B$10)^3+(1/5)*((H456-$F$4:$F$515)/$B$10)^5+8/15))))/COUNT($F$4:$F$515)</f>
        <v>1.953125E-3</v>
      </c>
      <c r="H456" s="9">
        <f t="shared" si="23"/>
        <v>-8.8728550312168752E-2</v>
      </c>
      <c r="K456" s="7">
        <v>0.01</v>
      </c>
      <c r="L456" s="8">
        <f t="shared" si="21"/>
        <v>-3.8928550312169082E-2</v>
      </c>
    </row>
    <row r="457" spans="4:12" ht="14.4" customHeight="1">
      <c r="D457" s="2">
        <v>42653</v>
      </c>
      <c r="E457" s="3">
        <v>4.4459999999999997</v>
      </c>
      <c r="F457" s="3">
        <f t="shared" si="22"/>
        <v>1.3504390978713249E-3</v>
      </c>
      <c r="G457" s="3" cm="1">
        <f t="array" ref="G457">SUMPRODUCT(IF(((H457-$F$4:$F$515)/$B$10)&lt;=-1,0,IF(((H457-$F$4:$F$515)/$B$10)&gt;=1,1,(15/16)*(((H457-$F$4:$F$515)/$B$10)-(2/3)*((H457-$F$4:$F$515)/$B$10)^3+(1/5)*((H457-$F$4:$F$515)/$B$10)^5+8/15))))/COUNT($F$4:$F$515)</f>
        <v>1.953125E-3</v>
      </c>
      <c r="H457" s="1">
        <f t="shared" si="23"/>
        <v>-8.8428550312168758E-2</v>
      </c>
      <c r="K457" s="2">
        <v>0.01</v>
      </c>
      <c r="L457" s="3">
        <f t="shared" si="21"/>
        <v>-3.8928550312169082E-2</v>
      </c>
    </row>
    <row r="458" spans="4:12" ht="14.4" customHeight="1">
      <c r="D458" s="7">
        <v>42654</v>
      </c>
      <c r="E458" s="8">
        <v>4.415</v>
      </c>
      <c r="F458" s="8">
        <f t="shared" si="22"/>
        <v>-6.9969814860813984E-3</v>
      </c>
      <c r="G458" s="8" cm="1">
        <f t="array" ref="G458">SUMPRODUCT(IF(((H458-$F$4:$F$515)/$B$10)&lt;=-1,0,IF(((H458-$F$4:$F$515)/$B$10)&gt;=1,1,(15/16)*(((H458-$F$4:$F$515)/$B$10)-(2/3)*((H458-$F$4:$F$515)/$B$10)^3+(1/5)*((H458-$F$4:$F$515)/$B$10)^5+8/15))))/COUNT($F$4:$F$515)</f>
        <v>1.953125E-3</v>
      </c>
      <c r="H458" s="9">
        <f t="shared" si="23"/>
        <v>-8.8128550312168763E-2</v>
      </c>
      <c r="K458" s="7">
        <v>0.01</v>
      </c>
      <c r="L458" s="8">
        <f t="shared" si="21"/>
        <v>-3.8928550312169082E-2</v>
      </c>
    </row>
    <row r="459" spans="4:12" ht="14.4" customHeight="1">
      <c r="D459" s="2">
        <v>42655</v>
      </c>
      <c r="E459" s="3">
        <v>4.3789999999999996</v>
      </c>
      <c r="F459" s="3">
        <f t="shared" si="22"/>
        <v>-8.1874462366621562E-3</v>
      </c>
      <c r="G459" s="3" cm="1">
        <f t="array" ref="G459">SUMPRODUCT(IF(((H459-$F$4:$F$515)/$B$10)&lt;=-1,0,IF(((H459-$F$4:$F$515)/$B$10)&gt;=1,1,(15/16)*(((H459-$F$4:$F$515)/$B$10)-(2/3)*((H459-$F$4:$F$515)/$B$10)^3+(1/5)*((H459-$F$4:$F$515)/$B$10)^5+8/15))))/COUNT($F$4:$F$515)</f>
        <v>1.953125E-3</v>
      </c>
      <c r="H459" s="1">
        <f t="shared" si="23"/>
        <v>-8.7828550312168768E-2</v>
      </c>
      <c r="K459" s="2">
        <v>0.01</v>
      </c>
      <c r="L459" s="3">
        <f t="shared" si="21"/>
        <v>-3.8928550312169082E-2</v>
      </c>
    </row>
    <row r="460" spans="4:12" ht="14.4" customHeight="1">
      <c r="D460" s="7">
        <v>42656</v>
      </c>
      <c r="E460" s="8">
        <v>4.2549999999999999</v>
      </c>
      <c r="F460" s="8">
        <f t="shared" si="22"/>
        <v>-2.872562579392381E-2</v>
      </c>
      <c r="G460" s="8" cm="1">
        <f t="array" ref="G460">SUMPRODUCT(IF(((H460-$F$4:$F$515)/$B$10)&lt;=-1,0,IF(((H460-$F$4:$F$515)/$B$10)&gt;=1,1,(15/16)*(((H460-$F$4:$F$515)/$B$10)-(2/3)*((H460-$F$4:$F$515)/$B$10)^3+(1/5)*((H460-$F$4:$F$515)/$B$10)^5+8/15))))/COUNT($F$4:$F$515)</f>
        <v>1.953125E-3</v>
      </c>
      <c r="H460" s="9">
        <f t="shared" si="23"/>
        <v>-8.7528550312168774E-2</v>
      </c>
      <c r="K460" s="7">
        <v>0.01</v>
      </c>
      <c r="L460" s="8">
        <f t="shared" si="21"/>
        <v>-3.8928550312169082E-2</v>
      </c>
    </row>
    <row r="461" spans="4:12" ht="14.4" customHeight="1">
      <c r="D461" s="2">
        <v>42657</v>
      </c>
      <c r="E461" s="3">
        <v>4.3440000000000003</v>
      </c>
      <c r="F461" s="3">
        <f t="shared" si="22"/>
        <v>2.0700820606296948E-2</v>
      </c>
      <c r="G461" s="3" cm="1">
        <f t="array" ref="G461">SUMPRODUCT(IF(((H461-$F$4:$F$515)/$B$10)&lt;=-1,0,IF(((H461-$F$4:$F$515)/$B$10)&gt;=1,1,(15/16)*(((H461-$F$4:$F$515)/$B$10)-(2/3)*((H461-$F$4:$F$515)/$B$10)^3+(1/5)*((H461-$F$4:$F$515)/$B$10)^5+8/15))))/COUNT($F$4:$F$515)</f>
        <v>1.953125E-3</v>
      </c>
      <c r="H461" s="1">
        <f t="shared" si="23"/>
        <v>-8.7228550312168779E-2</v>
      </c>
      <c r="K461" s="2">
        <v>0.01</v>
      </c>
      <c r="L461" s="3">
        <f t="shared" si="21"/>
        <v>-3.8928550312169082E-2</v>
      </c>
    </row>
    <row r="462" spans="4:12" ht="14.4" customHeight="1">
      <c r="D462" s="7">
        <v>42660</v>
      </c>
      <c r="E462" s="8">
        <v>4.3650000000000002</v>
      </c>
      <c r="F462" s="8">
        <f t="shared" si="22"/>
        <v>4.8226066599311593E-3</v>
      </c>
      <c r="G462" s="8" cm="1">
        <f t="array" ref="G462">SUMPRODUCT(IF(((H462-$F$4:$F$515)/$B$10)&lt;=-1,0,IF(((H462-$F$4:$F$515)/$B$10)&gt;=1,1,(15/16)*(((H462-$F$4:$F$515)/$B$10)-(2/3)*((H462-$F$4:$F$515)/$B$10)^3+(1/5)*((H462-$F$4:$F$515)/$B$10)^5+8/15))))/COUNT($F$4:$F$515)</f>
        <v>1.953125E-3</v>
      </c>
      <c r="H462" s="9">
        <f t="shared" si="23"/>
        <v>-8.6928550312168784E-2</v>
      </c>
      <c r="K462" s="7">
        <v>0.01</v>
      </c>
      <c r="L462" s="8">
        <f t="shared" si="21"/>
        <v>-3.8928550312169082E-2</v>
      </c>
    </row>
    <row r="463" spans="4:12" ht="14.4" customHeight="1">
      <c r="D463" s="2">
        <v>42661</v>
      </c>
      <c r="E463" s="3">
        <v>4.3920000000000003</v>
      </c>
      <c r="F463" s="3">
        <f t="shared" si="22"/>
        <v>6.1665149156639584E-3</v>
      </c>
      <c r="G463" s="3" cm="1">
        <f t="array" ref="G463">SUMPRODUCT(IF(((H463-$F$4:$F$515)/$B$10)&lt;=-1,0,IF(((H463-$F$4:$F$515)/$B$10)&gt;=1,1,(15/16)*(((H463-$F$4:$F$515)/$B$10)-(2/3)*((H463-$F$4:$F$515)/$B$10)^3+(1/5)*((H463-$F$4:$F$515)/$B$10)^5+8/15))))/COUNT($F$4:$F$515)</f>
        <v>1.953125E-3</v>
      </c>
      <c r="H463" s="1">
        <f t="shared" si="23"/>
        <v>-8.6628550312168789E-2</v>
      </c>
      <c r="K463" s="2">
        <v>0.01</v>
      </c>
      <c r="L463" s="3">
        <f t="shared" si="21"/>
        <v>-3.8928550312169082E-2</v>
      </c>
    </row>
    <row r="464" spans="4:12" ht="14.4" customHeight="1">
      <c r="D464" s="7">
        <v>42662</v>
      </c>
      <c r="E464" s="8">
        <v>4.4039999999999999</v>
      </c>
      <c r="F464" s="8">
        <f t="shared" si="22"/>
        <v>2.7285146532039142E-3</v>
      </c>
      <c r="G464" s="8" cm="1">
        <f t="array" ref="G464">SUMPRODUCT(IF(((H464-$F$4:$F$515)/$B$10)&lt;=-1,0,IF(((H464-$F$4:$F$515)/$B$10)&gt;=1,1,(15/16)*(((H464-$F$4:$F$515)/$B$10)-(2/3)*((H464-$F$4:$F$515)/$B$10)^3+(1/5)*((H464-$F$4:$F$515)/$B$10)^5+8/15))))/COUNT($F$4:$F$515)</f>
        <v>1.953125E-3</v>
      </c>
      <c r="H464" s="9">
        <f t="shared" si="23"/>
        <v>-8.6328550312168795E-2</v>
      </c>
      <c r="K464" s="7">
        <v>0.01</v>
      </c>
      <c r="L464" s="8">
        <f t="shared" si="21"/>
        <v>-3.8928550312169082E-2</v>
      </c>
    </row>
    <row r="465" spans="4:12" ht="14.4" customHeight="1">
      <c r="D465" s="2">
        <v>42663</v>
      </c>
      <c r="E465" s="3">
        <v>4.4340000000000002</v>
      </c>
      <c r="F465" s="3">
        <f t="shared" si="22"/>
        <v>6.788892333686348E-3</v>
      </c>
      <c r="G465" s="3" cm="1">
        <f t="array" ref="G465">SUMPRODUCT(IF(((H465-$F$4:$F$515)/$B$10)&lt;=-1,0,IF(((H465-$F$4:$F$515)/$B$10)&gt;=1,1,(15/16)*(((H465-$F$4:$F$515)/$B$10)-(2/3)*((H465-$F$4:$F$515)/$B$10)^3+(1/5)*((H465-$F$4:$F$515)/$B$10)^5+8/15))))/COUNT($F$4:$F$515)</f>
        <v>1.953125E-3</v>
      </c>
      <c r="H465" s="1">
        <f t="shared" si="23"/>
        <v>-8.60285503121688E-2</v>
      </c>
      <c r="K465" s="2">
        <v>0.01</v>
      </c>
      <c r="L465" s="3">
        <f t="shared" si="21"/>
        <v>-3.8928550312169082E-2</v>
      </c>
    </row>
    <row r="466" spans="4:12" ht="14.4" customHeight="1">
      <c r="D466" s="7">
        <v>42664</v>
      </c>
      <c r="E466" s="8">
        <v>4.4409999999999998</v>
      </c>
      <c r="F466" s="8">
        <f t="shared" si="22"/>
        <v>1.5774651158453792E-3</v>
      </c>
      <c r="G466" s="8" cm="1">
        <f t="array" ref="G466">SUMPRODUCT(IF(((H466-$F$4:$F$515)/$B$10)&lt;=-1,0,IF(((H466-$F$4:$F$515)/$B$10)&gt;=1,1,(15/16)*(((H466-$F$4:$F$515)/$B$10)-(2/3)*((H466-$F$4:$F$515)/$B$10)^3+(1/5)*((H466-$F$4:$F$515)/$B$10)^5+8/15))))/COUNT($F$4:$F$515)</f>
        <v>1.953125E-3</v>
      </c>
      <c r="H466" s="9">
        <f t="shared" si="23"/>
        <v>-8.5728550312168805E-2</v>
      </c>
      <c r="K466" s="7">
        <v>0.01</v>
      </c>
      <c r="L466" s="8">
        <f t="shared" si="21"/>
        <v>-3.8928550312169082E-2</v>
      </c>
    </row>
    <row r="467" spans="4:12" ht="14.4" customHeight="1">
      <c r="D467" s="2">
        <v>42667</v>
      </c>
      <c r="E467" s="3">
        <v>4.593</v>
      </c>
      <c r="F467" s="3">
        <f t="shared" si="22"/>
        <v>3.3653829033691136E-2</v>
      </c>
      <c r="G467" s="3" cm="1">
        <f t="array" ref="G467">SUMPRODUCT(IF(((H467-$F$4:$F$515)/$B$10)&lt;=-1,0,IF(((H467-$F$4:$F$515)/$B$10)&gt;=1,1,(15/16)*(((H467-$F$4:$F$515)/$B$10)-(2/3)*((H467-$F$4:$F$515)/$B$10)^3+(1/5)*((H467-$F$4:$F$515)/$B$10)^5+8/15))))/COUNT($F$4:$F$515)</f>
        <v>1.953125E-3</v>
      </c>
      <c r="H467" s="1">
        <f t="shared" si="23"/>
        <v>-8.5428550312168811E-2</v>
      </c>
      <c r="K467" s="2">
        <v>0.01</v>
      </c>
      <c r="L467" s="3">
        <f t="shared" si="21"/>
        <v>-3.8928550312169082E-2</v>
      </c>
    </row>
    <row r="468" spans="4:12" ht="14.4" customHeight="1">
      <c r="D468" s="7">
        <v>42668</v>
      </c>
      <c r="E468" s="8">
        <v>4.5910000000000002</v>
      </c>
      <c r="F468" s="8">
        <f t="shared" si="22"/>
        <v>-4.3554007657129883E-4</v>
      </c>
      <c r="G468" s="8" cm="1">
        <f t="array" ref="G468">SUMPRODUCT(IF(((H468-$F$4:$F$515)/$B$10)&lt;=-1,0,IF(((H468-$F$4:$F$515)/$B$10)&gt;=1,1,(15/16)*(((H468-$F$4:$F$515)/$B$10)-(2/3)*((H468-$F$4:$F$515)/$B$10)^3+(1/5)*((H468-$F$4:$F$515)/$B$10)^5+8/15))))/COUNT($F$4:$F$515)</f>
        <v>1.953125E-3</v>
      </c>
      <c r="H468" s="9">
        <f t="shared" si="23"/>
        <v>-8.5128550312168816E-2</v>
      </c>
      <c r="K468" s="7">
        <v>0.01</v>
      </c>
      <c r="L468" s="8">
        <f t="shared" si="21"/>
        <v>-3.8928550312169082E-2</v>
      </c>
    </row>
    <row r="469" spans="4:12" ht="14.4" customHeight="1">
      <c r="D469" s="2">
        <v>42669</v>
      </c>
      <c r="E469" s="3">
        <v>4.5940000000000003</v>
      </c>
      <c r="F469" s="3">
        <f t="shared" si="22"/>
        <v>6.5323899982156223E-4</v>
      </c>
      <c r="G469" s="3" cm="1">
        <f t="array" ref="G469">SUMPRODUCT(IF(((H469-$F$4:$F$515)/$B$10)&lt;=-1,0,IF(((H469-$F$4:$F$515)/$B$10)&gt;=1,1,(15/16)*(((H469-$F$4:$F$515)/$B$10)-(2/3)*((H469-$F$4:$F$515)/$B$10)^3+(1/5)*((H469-$F$4:$F$515)/$B$10)^5+8/15))))/COUNT($F$4:$F$515)</f>
        <v>1.953125E-3</v>
      </c>
      <c r="H469" s="1">
        <f t="shared" si="23"/>
        <v>-8.4828550312168821E-2</v>
      </c>
      <c r="K469" s="2">
        <v>0.01</v>
      </c>
      <c r="L469" s="3">
        <f t="shared" si="21"/>
        <v>-3.8928550312169082E-2</v>
      </c>
    </row>
    <row r="470" spans="4:12" ht="14.4" customHeight="1">
      <c r="D470" s="7">
        <v>42670</v>
      </c>
      <c r="E470" s="8">
        <v>4.6920000000000002</v>
      </c>
      <c r="F470" s="8">
        <f t="shared" si="22"/>
        <v>2.1107826524322439E-2</v>
      </c>
      <c r="G470" s="8" cm="1">
        <f t="array" ref="G470">SUMPRODUCT(IF(((H470-$F$4:$F$515)/$B$10)&lt;=-1,0,IF(((H470-$F$4:$F$515)/$B$10)&gt;=1,1,(15/16)*(((H470-$F$4:$F$515)/$B$10)-(2/3)*((H470-$F$4:$F$515)/$B$10)^3+(1/5)*((H470-$F$4:$F$515)/$B$10)^5+8/15))))/COUNT($F$4:$F$515)</f>
        <v>1.953125E-3</v>
      </c>
      <c r="H470" s="9">
        <f t="shared" si="23"/>
        <v>-8.4528550312168826E-2</v>
      </c>
      <c r="K470" s="7">
        <v>0.01</v>
      </c>
      <c r="L470" s="8">
        <f t="shared" si="21"/>
        <v>-3.8928550312169082E-2</v>
      </c>
    </row>
    <row r="471" spans="4:12" ht="14.4" customHeight="1">
      <c r="D471" s="2">
        <v>42671</v>
      </c>
      <c r="E471" s="3">
        <v>4.7089999999999996</v>
      </c>
      <c r="F471" s="3">
        <f t="shared" si="22"/>
        <v>3.6166404701882936E-3</v>
      </c>
      <c r="G471" s="3" cm="1">
        <f t="array" ref="G471">SUMPRODUCT(IF(((H471-$F$4:$F$515)/$B$10)&lt;=-1,0,IF(((H471-$F$4:$F$515)/$B$10)&gt;=1,1,(15/16)*(((H471-$F$4:$F$515)/$B$10)-(2/3)*((H471-$F$4:$F$515)/$B$10)^3+(1/5)*((H471-$F$4:$F$515)/$B$10)^5+8/15))))/COUNT($F$4:$F$515)</f>
        <v>1.953125E-3</v>
      </c>
      <c r="H471" s="1">
        <f t="shared" si="23"/>
        <v>-8.4228550312168832E-2</v>
      </c>
      <c r="K471" s="2">
        <v>0.01</v>
      </c>
      <c r="L471" s="3">
        <f t="shared" si="21"/>
        <v>-3.8928550312169082E-2</v>
      </c>
    </row>
    <row r="472" spans="4:12" ht="14.4" customHeight="1">
      <c r="D472" s="7">
        <v>42674</v>
      </c>
      <c r="E472" s="8">
        <v>4.6050000000000004</v>
      </c>
      <c r="F472" s="8">
        <f t="shared" si="22"/>
        <v>-2.233290155414714E-2</v>
      </c>
      <c r="G472" s="8" cm="1">
        <f t="array" ref="G472">SUMPRODUCT(IF(((H472-$F$4:$F$515)/$B$10)&lt;=-1,0,IF(((H472-$F$4:$F$515)/$B$10)&gt;=1,1,(15/16)*(((H472-$F$4:$F$515)/$B$10)-(2/3)*((H472-$F$4:$F$515)/$B$10)^3+(1/5)*((H472-$F$4:$F$515)/$B$10)^5+8/15))))/COUNT($F$4:$F$515)</f>
        <v>1.953125E-3</v>
      </c>
      <c r="H472" s="9">
        <f t="shared" si="23"/>
        <v>-8.3928550312168837E-2</v>
      </c>
      <c r="K472" s="7">
        <v>0.01</v>
      </c>
      <c r="L472" s="8">
        <f t="shared" si="21"/>
        <v>-3.8928550312169082E-2</v>
      </c>
    </row>
    <row r="473" spans="4:12" ht="14.4" customHeight="1">
      <c r="D473" s="2">
        <v>42675</v>
      </c>
      <c r="E473" s="3">
        <v>4.5369999999999999</v>
      </c>
      <c r="F473" s="3">
        <f t="shared" si="22"/>
        <v>-1.4876669025443484E-2</v>
      </c>
      <c r="G473" s="3" cm="1">
        <f t="array" ref="G473">SUMPRODUCT(IF(((H473-$F$4:$F$515)/$B$10)&lt;=-1,0,IF(((H473-$F$4:$F$515)/$B$10)&gt;=1,1,(15/16)*(((H473-$F$4:$F$515)/$B$10)-(2/3)*((H473-$F$4:$F$515)/$B$10)^3+(1/5)*((H473-$F$4:$F$515)/$B$10)^5+8/15))))/COUNT($F$4:$F$515)</f>
        <v>1.953125E-3</v>
      </c>
      <c r="H473" s="1">
        <f t="shared" si="23"/>
        <v>-8.3628550312168842E-2</v>
      </c>
      <c r="K473" s="2">
        <v>0.01</v>
      </c>
      <c r="L473" s="3">
        <f t="shared" si="21"/>
        <v>-3.8928550312169082E-2</v>
      </c>
    </row>
    <row r="474" spans="4:12" ht="14.4" customHeight="1">
      <c r="D474" s="7">
        <v>42676</v>
      </c>
      <c r="E474" s="8">
        <v>4.4240000000000004</v>
      </c>
      <c r="F474" s="8">
        <f t="shared" si="22"/>
        <v>-2.5221736461793102E-2</v>
      </c>
      <c r="G474" s="8" cm="1">
        <f t="array" ref="G474">SUMPRODUCT(IF(((H474-$F$4:$F$515)/$B$10)&lt;=-1,0,IF(((H474-$F$4:$F$515)/$B$10)&gt;=1,1,(15/16)*(((H474-$F$4:$F$515)/$B$10)-(2/3)*((H474-$F$4:$F$515)/$B$10)^3+(1/5)*((H474-$F$4:$F$515)/$B$10)^5+8/15))))/COUNT($F$4:$F$515)</f>
        <v>1.953125E-3</v>
      </c>
      <c r="H474" s="9">
        <f t="shared" si="23"/>
        <v>-8.3328550312168848E-2</v>
      </c>
      <c r="K474" s="7">
        <v>0.01</v>
      </c>
      <c r="L474" s="8">
        <f t="shared" si="21"/>
        <v>-3.8928550312169082E-2</v>
      </c>
    </row>
    <row r="475" spans="4:12" ht="14.4" customHeight="1">
      <c r="D475" s="2">
        <v>42677</v>
      </c>
      <c r="E475" s="3">
        <v>4.5030000000000001</v>
      </c>
      <c r="F475" s="3">
        <f t="shared" si="22"/>
        <v>1.7699577099400857E-2</v>
      </c>
      <c r="G475" s="3" cm="1">
        <f t="array" ref="G475">SUMPRODUCT(IF(((H475-$F$4:$F$515)/$B$10)&lt;=-1,0,IF(((H475-$F$4:$F$515)/$B$10)&gt;=1,1,(15/16)*(((H475-$F$4:$F$515)/$B$10)-(2/3)*((H475-$F$4:$F$515)/$B$10)^3+(1/5)*((H475-$F$4:$F$515)/$B$10)^5+8/15))))/COUNT($F$4:$F$515)</f>
        <v>1.953125E-3</v>
      </c>
      <c r="H475" s="1">
        <f t="shared" si="23"/>
        <v>-8.3028550312168853E-2</v>
      </c>
      <c r="K475" s="2">
        <v>0.01</v>
      </c>
      <c r="L475" s="3">
        <f t="shared" si="21"/>
        <v>-3.8928550312169082E-2</v>
      </c>
    </row>
    <row r="476" spans="4:12" ht="14.4" customHeight="1">
      <c r="D476" s="7">
        <v>42678</v>
      </c>
      <c r="E476" s="8">
        <v>4.3689999999999998</v>
      </c>
      <c r="F476" s="8">
        <f t="shared" si="22"/>
        <v>-3.0209691350135789E-2</v>
      </c>
      <c r="G476" s="8" cm="1">
        <f t="array" ref="G476">SUMPRODUCT(IF(((H476-$F$4:$F$515)/$B$10)&lt;=-1,0,IF(((H476-$F$4:$F$515)/$B$10)&gt;=1,1,(15/16)*(((H476-$F$4:$F$515)/$B$10)-(2/3)*((H476-$F$4:$F$515)/$B$10)^3+(1/5)*((H476-$F$4:$F$515)/$B$10)^5+8/15))))/COUNT($F$4:$F$515)</f>
        <v>1.953125E-3</v>
      </c>
      <c r="H476" s="9">
        <f t="shared" si="23"/>
        <v>-8.2728550312168858E-2</v>
      </c>
      <c r="K476" s="7">
        <v>0.01</v>
      </c>
      <c r="L476" s="8">
        <f t="shared" si="21"/>
        <v>-3.8928550312169082E-2</v>
      </c>
    </row>
    <row r="477" spans="4:12" ht="14.4" customHeight="1">
      <c r="D477" s="2">
        <v>42681</v>
      </c>
      <c r="E477" s="3">
        <v>4.5039999999999996</v>
      </c>
      <c r="F477" s="3">
        <f t="shared" si="22"/>
        <v>3.0431740868090324E-2</v>
      </c>
      <c r="G477" s="3" cm="1">
        <f t="array" ref="G477">SUMPRODUCT(IF(((H477-$F$4:$F$515)/$B$10)&lt;=-1,0,IF(((H477-$F$4:$F$515)/$B$10)&gt;=1,1,(15/16)*(((H477-$F$4:$F$515)/$B$10)-(2/3)*((H477-$F$4:$F$515)/$B$10)^3+(1/5)*((H477-$F$4:$F$515)/$B$10)^5+8/15))))/COUNT($F$4:$F$515)</f>
        <v>1.953125E-3</v>
      </c>
      <c r="H477" s="1">
        <f t="shared" si="23"/>
        <v>-8.2428550312168863E-2</v>
      </c>
      <c r="K477" s="2">
        <v>0.01</v>
      </c>
      <c r="L477" s="3">
        <f t="shared" si="21"/>
        <v>-3.8928550312169082E-2</v>
      </c>
    </row>
    <row r="478" spans="4:12" ht="14.4" customHeight="1">
      <c r="D478" s="7">
        <v>42682</v>
      </c>
      <c r="E478" s="8">
        <v>4.6219999999999999</v>
      </c>
      <c r="F478" s="8">
        <f t="shared" si="22"/>
        <v>2.5861621014799756E-2</v>
      </c>
      <c r="G478" s="8" cm="1">
        <f t="array" ref="G478">SUMPRODUCT(IF(((H478-$F$4:$F$515)/$B$10)&lt;=-1,0,IF(((H478-$F$4:$F$515)/$B$10)&gt;=1,1,(15/16)*(((H478-$F$4:$F$515)/$B$10)-(2/3)*((H478-$F$4:$F$515)/$B$10)^3+(1/5)*((H478-$F$4:$F$515)/$B$10)^5+8/15))))/COUNT($F$4:$F$515)</f>
        <v>1.953125E-3</v>
      </c>
      <c r="H478" s="9">
        <f t="shared" si="23"/>
        <v>-8.2128550312168869E-2</v>
      </c>
      <c r="K478" s="7">
        <v>0.01</v>
      </c>
      <c r="L478" s="8">
        <f t="shared" si="21"/>
        <v>-3.8928550312169082E-2</v>
      </c>
    </row>
    <row r="479" spans="4:12" ht="14.4" customHeight="1">
      <c r="D479" s="2">
        <v>42683</v>
      </c>
      <c r="E479" s="3">
        <v>4.476</v>
      </c>
      <c r="F479" s="3">
        <f t="shared" si="22"/>
        <v>-3.2097721402510125E-2</v>
      </c>
      <c r="G479" s="3" cm="1">
        <f t="array" ref="G479">SUMPRODUCT(IF(((H479-$F$4:$F$515)/$B$10)&lt;=-1,0,IF(((H479-$F$4:$F$515)/$B$10)&gt;=1,1,(15/16)*(((H479-$F$4:$F$515)/$B$10)-(2/3)*((H479-$F$4:$F$515)/$B$10)^3+(1/5)*((H479-$F$4:$F$515)/$B$10)^5+8/15))))/COUNT($F$4:$F$515)</f>
        <v>1.953125E-3</v>
      </c>
      <c r="H479" s="1">
        <f t="shared" si="23"/>
        <v>-8.1828550312168874E-2</v>
      </c>
      <c r="K479" s="2">
        <v>0.01</v>
      </c>
      <c r="L479" s="3">
        <f t="shared" si="21"/>
        <v>-3.8928550312169082E-2</v>
      </c>
    </row>
    <row r="480" spans="4:12" ht="14.4" customHeight="1">
      <c r="D480" s="7">
        <v>42684</v>
      </c>
      <c r="E480" s="8">
        <v>4.5579999999999998</v>
      </c>
      <c r="F480" s="8">
        <f t="shared" si="22"/>
        <v>1.8154140373813764E-2</v>
      </c>
      <c r="G480" s="8" cm="1">
        <f t="array" ref="G480">SUMPRODUCT(IF(((H480-$F$4:$F$515)/$B$10)&lt;=-1,0,IF(((H480-$F$4:$F$515)/$B$10)&gt;=1,1,(15/16)*(((H480-$F$4:$F$515)/$B$10)-(2/3)*((H480-$F$4:$F$515)/$B$10)^3+(1/5)*((H480-$F$4:$F$515)/$B$10)^5+8/15))))/COUNT($F$4:$F$515)</f>
        <v>1.953125E-3</v>
      </c>
      <c r="H480" s="9">
        <f t="shared" si="23"/>
        <v>-8.1528550312168879E-2</v>
      </c>
      <c r="K480" s="7">
        <v>0.01</v>
      </c>
      <c r="L480" s="8">
        <f t="shared" si="21"/>
        <v>-3.8928550312169082E-2</v>
      </c>
    </row>
    <row r="481" spans="4:12" ht="14.4" customHeight="1">
      <c r="D481" s="2">
        <v>42685</v>
      </c>
      <c r="E481" s="3">
        <v>4.6749999999999998</v>
      </c>
      <c r="F481" s="3">
        <f t="shared" si="22"/>
        <v>2.5345231917157839E-2</v>
      </c>
      <c r="G481" s="3" cm="1">
        <f t="array" ref="G481">SUMPRODUCT(IF(((H481-$F$4:$F$515)/$B$10)&lt;=-1,0,IF(((H481-$F$4:$F$515)/$B$10)&gt;=1,1,(15/16)*(((H481-$F$4:$F$515)/$B$10)-(2/3)*((H481-$F$4:$F$515)/$B$10)^3+(1/5)*((H481-$F$4:$F$515)/$B$10)^5+8/15))))/COUNT($F$4:$F$515)</f>
        <v>1.953125E-3</v>
      </c>
      <c r="H481" s="1">
        <f t="shared" si="23"/>
        <v>-8.1228550312168885E-2</v>
      </c>
      <c r="K481" s="2">
        <v>0.01</v>
      </c>
      <c r="L481" s="3">
        <f t="shared" si="21"/>
        <v>-3.8928550312169082E-2</v>
      </c>
    </row>
    <row r="482" spans="4:12" ht="14.4" customHeight="1">
      <c r="D482" s="7">
        <v>42688</v>
      </c>
      <c r="E482" s="8">
        <v>4.7080000000000002</v>
      </c>
      <c r="F482" s="8">
        <f t="shared" si="22"/>
        <v>7.0340266573799817E-3</v>
      </c>
      <c r="G482" s="8" cm="1">
        <f t="array" ref="G482">SUMPRODUCT(IF(((H482-$F$4:$F$515)/$B$10)&lt;=-1,0,IF(((H482-$F$4:$F$515)/$B$10)&gt;=1,1,(15/16)*(((H482-$F$4:$F$515)/$B$10)-(2/3)*((H482-$F$4:$F$515)/$B$10)^3+(1/5)*((H482-$F$4:$F$515)/$B$10)^5+8/15))))/COUNT($F$4:$F$515)</f>
        <v>1.953125E-3</v>
      </c>
      <c r="H482" s="9">
        <f t="shared" si="23"/>
        <v>-8.092855031216889E-2</v>
      </c>
      <c r="K482" s="7">
        <v>0.01</v>
      </c>
      <c r="L482" s="8">
        <f t="shared" si="21"/>
        <v>-3.8928550312169082E-2</v>
      </c>
    </row>
    <row r="483" spans="4:12" ht="14.4" customHeight="1">
      <c r="D483" s="2">
        <v>42689</v>
      </c>
      <c r="E483" s="3">
        <v>4.68</v>
      </c>
      <c r="F483" s="3">
        <f t="shared" si="22"/>
        <v>-5.9650794684750165E-3</v>
      </c>
      <c r="G483" s="3" cm="1">
        <f t="array" ref="G483">SUMPRODUCT(IF(((H483-$F$4:$F$515)/$B$10)&lt;=-1,0,IF(((H483-$F$4:$F$515)/$B$10)&gt;=1,1,(15/16)*(((H483-$F$4:$F$515)/$B$10)-(2/3)*((H483-$F$4:$F$515)/$B$10)^3+(1/5)*((H483-$F$4:$F$515)/$B$10)^5+8/15))))/COUNT($F$4:$F$515)</f>
        <v>1.953125E-3</v>
      </c>
      <c r="H483" s="1">
        <f t="shared" si="23"/>
        <v>-8.0628550312168895E-2</v>
      </c>
      <c r="K483" s="2">
        <v>0.01</v>
      </c>
      <c r="L483" s="3">
        <f t="shared" si="21"/>
        <v>-3.8928550312169082E-2</v>
      </c>
    </row>
    <row r="484" spans="4:12" ht="14.4" customHeight="1">
      <c r="D484" s="7">
        <v>42690</v>
      </c>
      <c r="E484" s="8">
        <v>4.6020000000000003</v>
      </c>
      <c r="F484" s="8">
        <f t="shared" si="22"/>
        <v>-1.680711831638106E-2</v>
      </c>
      <c r="G484" s="8" cm="1">
        <f t="array" ref="G484">SUMPRODUCT(IF(((H484-$F$4:$F$515)/$B$10)&lt;=-1,0,IF(((H484-$F$4:$F$515)/$B$10)&gt;=1,1,(15/16)*(((H484-$F$4:$F$515)/$B$10)-(2/3)*((H484-$F$4:$F$515)/$B$10)^3+(1/5)*((H484-$F$4:$F$515)/$B$10)^5+8/15))))/COUNT($F$4:$F$515)</f>
        <v>1.953125E-3</v>
      </c>
      <c r="H484" s="9">
        <f t="shared" si="23"/>
        <v>-8.03285503121689E-2</v>
      </c>
      <c r="K484" s="7">
        <v>0.01</v>
      </c>
      <c r="L484" s="8">
        <f t="shared" si="21"/>
        <v>-3.8928550312169082E-2</v>
      </c>
    </row>
    <row r="485" spans="4:12" ht="14.4" customHeight="1">
      <c r="D485" s="2">
        <v>42691</v>
      </c>
      <c r="E485" s="3">
        <v>4.6280000000000001</v>
      </c>
      <c r="F485" s="3">
        <f t="shared" si="22"/>
        <v>5.6338177182560642E-3</v>
      </c>
      <c r="G485" s="3" cm="1">
        <f t="array" ref="G485">SUMPRODUCT(IF(((H485-$F$4:$F$515)/$B$10)&lt;=-1,0,IF(((H485-$F$4:$F$515)/$B$10)&gt;=1,1,(15/16)*(((H485-$F$4:$F$515)/$B$10)-(2/3)*((H485-$F$4:$F$515)/$B$10)^3+(1/5)*((H485-$F$4:$F$515)/$B$10)^5+8/15))))/COUNT($F$4:$F$515)</f>
        <v>1.953125E-3</v>
      </c>
      <c r="H485" s="1">
        <f t="shared" si="23"/>
        <v>-8.0028550312168906E-2</v>
      </c>
      <c r="K485" s="2">
        <v>0.01</v>
      </c>
      <c r="L485" s="3">
        <f t="shared" si="21"/>
        <v>-3.8928550312169082E-2</v>
      </c>
    </row>
    <row r="486" spans="4:12" ht="14.4" customHeight="1">
      <c r="D486" s="7">
        <v>42692</v>
      </c>
      <c r="E486" s="8">
        <v>4.633</v>
      </c>
      <c r="F486" s="8">
        <f t="shared" si="22"/>
        <v>1.0797971030812202E-3</v>
      </c>
      <c r="G486" s="8" cm="1">
        <f t="array" ref="G486">SUMPRODUCT(IF(((H486-$F$4:$F$515)/$B$10)&lt;=-1,0,IF(((H486-$F$4:$F$515)/$B$10)&gt;=1,1,(15/16)*(((H486-$F$4:$F$515)/$B$10)-(2/3)*((H486-$F$4:$F$515)/$B$10)^3+(1/5)*((H486-$F$4:$F$515)/$B$10)^5+8/15))))/COUNT($F$4:$F$515)</f>
        <v>1.953125E-3</v>
      </c>
      <c r="H486" s="9">
        <f t="shared" si="23"/>
        <v>-7.9728550312168911E-2</v>
      </c>
      <c r="K486" s="7">
        <v>0.01</v>
      </c>
      <c r="L486" s="8">
        <f t="shared" si="21"/>
        <v>-3.8928550312169082E-2</v>
      </c>
    </row>
    <row r="487" spans="4:12" ht="14.4" customHeight="1">
      <c r="D487" s="2">
        <v>42695</v>
      </c>
      <c r="E487" s="3">
        <v>4.617</v>
      </c>
      <c r="F487" s="3">
        <f t="shared" si="22"/>
        <v>-3.4594629096594202E-3</v>
      </c>
      <c r="G487" s="3" cm="1">
        <f t="array" ref="G487">SUMPRODUCT(IF(((H487-$F$4:$F$515)/$B$10)&lt;=-1,0,IF(((H487-$F$4:$F$515)/$B$10)&gt;=1,1,(15/16)*(((H487-$F$4:$F$515)/$B$10)-(2/3)*((H487-$F$4:$F$515)/$B$10)^3+(1/5)*((H487-$F$4:$F$515)/$B$10)^5+8/15))))/COUNT($F$4:$F$515)</f>
        <v>1.953125E-3</v>
      </c>
      <c r="H487" s="1">
        <f t="shared" si="23"/>
        <v>-7.9428550312168916E-2</v>
      </c>
      <c r="K487" s="2">
        <v>0.01</v>
      </c>
      <c r="L487" s="3">
        <f t="shared" si="21"/>
        <v>-3.8928550312169082E-2</v>
      </c>
    </row>
    <row r="488" spans="4:12" ht="14.4" customHeight="1">
      <c r="D488" s="7">
        <v>42696</v>
      </c>
      <c r="E488" s="8">
        <v>4.7450000000000001</v>
      </c>
      <c r="F488" s="8">
        <f t="shared" si="22"/>
        <v>2.7346288537039392E-2</v>
      </c>
      <c r="G488" s="8" cm="1">
        <f t="array" ref="G488">SUMPRODUCT(IF(((H488-$F$4:$F$515)/$B$10)&lt;=-1,0,IF(((H488-$F$4:$F$515)/$B$10)&gt;=1,1,(15/16)*(((H488-$F$4:$F$515)/$B$10)-(2/3)*((H488-$F$4:$F$515)/$B$10)^3+(1/5)*((H488-$F$4:$F$515)/$B$10)^5+8/15))))/COUNT($F$4:$F$515)</f>
        <v>1.953125E-3</v>
      </c>
      <c r="H488" s="9">
        <f t="shared" si="23"/>
        <v>-7.9128550312168922E-2</v>
      </c>
      <c r="K488" s="7">
        <v>0.01</v>
      </c>
      <c r="L488" s="8">
        <f t="shared" si="21"/>
        <v>-3.8928550312169082E-2</v>
      </c>
    </row>
    <row r="489" spans="4:12" ht="14.4" customHeight="1">
      <c r="D489" s="2">
        <v>42697</v>
      </c>
      <c r="E489" s="3">
        <v>4.7119999999999997</v>
      </c>
      <c r="F489" s="3">
        <f t="shared" si="22"/>
        <v>-6.9789857126056542E-3</v>
      </c>
      <c r="G489" s="3" cm="1">
        <f t="array" ref="G489">SUMPRODUCT(IF(((H489-$F$4:$F$515)/$B$10)&lt;=-1,0,IF(((H489-$F$4:$F$515)/$B$10)&gt;=1,1,(15/16)*(((H489-$F$4:$F$515)/$B$10)-(2/3)*((H489-$F$4:$F$515)/$B$10)^3+(1/5)*((H489-$F$4:$F$515)/$B$10)^5+8/15))))/COUNT($F$4:$F$515)</f>
        <v>1.9531306262630423E-3</v>
      </c>
      <c r="H489" s="1">
        <f t="shared" si="23"/>
        <v>-7.8828550312168927E-2</v>
      </c>
      <c r="K489" s="2">
        <v>0.01</v>
      </c>
      <c r="L489" s="3">
        <f t="shared" si="21"/>
        <v>-3.8928550312169082E-2</v>
      </c>
    </row>
    <row r="490" spans="4:12" ht="14.4" customHeight="1">
      <c r="D490" s="7">
        <v>42698</v>
      </c>
      <c r="E490" s="8">
        <v>4.72</v>
      </c>
      <c r="F490" s="8">
        <f t="shared" si="22"/>
        <v>1.6963532481783338E-3</v>
      </c>
      <c r="G490" s="8" cm="1">
        <f t="array" ref="G490">SUMPRODUCT(IF(((H490-$F$4:$F$515)/$B$10)&lt;=-1,0,IF(((H490-$F$4:$F$515)/$B$10)&gt;=1,1,(15/16)*(((H490-$F$4:$F$515)/$B$10)-(2/3)*((H490-$F$4:$F$515)/$B$10)^3+(1/5)*((H490-$F$4:$F$515)/$B$10)^5+8/15))))/COUNT($F$4:$F$515)</f>
        <v>1.9534965351588099E-3</v>
      </c>
      <c r="H490" s="9">
        <f t="shared" si="23"/>
        <v>-7.8528550312168932E-2</v>
      </c>
      <c r="K490" s="7">
        <v>0.01</v>
      </c>
      <c r="L490" s="8">
        <f t="shared" si="21"/>
        <v>-3.8928550312169082E-2</v>
      </c>
    </row>
    <row r="491" spans="4:12" ht="14.4" customHeight="1">
      <c r="D491" s="2">
        <v>42699</v>
      </c>
      <c r="E491" s="3">
        <v>4.71</v>
      </c>
      <c r="F491" s="3">
        <f t="shared" si="22"/>
        <v>-2.1208915691376244E-3</v>
      </c>
      <c r="G491" s="3" cm="1">
        <f t="array" ref="G491">SUMPRODUCT(IF(((H491-$F$4:$F$515)/$B$10)&lt;=-1,0,IF(((H491-$F$4:$F$515)/$B$10)&gt;=1,1,(15/16)*(((H491-$F$4:$F$515)/$B$10)-(2/3)*((H491-$F$4:$F$515)/$B$10)^3+(1/5)*((H491-$F$4:$F$515)/$B$10)^5+8/15))))/COUNT($F$4:$F$515)</f>
        <v>1.9550715575983122E-3</v>
      </c>
      <c r="H491" s="1">
        <f t="shared" si="23"/>
        <v>-7.8228550312168937E-2</v>
      </c>
      <c r="K491" s="2">
        <v>0.01</v>
      </c>
      <c r="L491" s="3">
        <f t="shared" si="21"/>
        <v>-3.8928550312169082E-2</v>
      </c>
    </row>
    <row r="492" spans="4:12" ht="14.4" customHeight="1">
      <c r="D492" s="7">
        <v>42702</v>
      </c>
      <c r="E492" s="8">
        <v>4.6399999999999997</v>
      </c>
      <c r="F492" s="8">
        <f t="shared" si="22"/>
        <v>-1.4973541790162593E-2</v>
      </c>
      <c r="G492" s="8" cm="1">
        <f t="array" ref="G492">SUMPRODUCT(IF(((H492-$F$4:$F$515)/$B$10)&lt;=-1,0,IF(((H492-$F$4:$F$515)/$B$10)&gt;=1,1,(15/16)*(((H492-$F$4:$F$515)/$B$10)-(2/3)*((H492-$F$4:$F$515)/$B$10)^3+(1/5)*((H492-$F$4:$F$515)/$B$10)^5+8/15))))/COUNT($F$4:$F$515)</f>
        <v>1.9586410418110708E-3</v>
      </c>
      <c r="H492" s="9">
        <f t="shared" si="23"/>
        <v>-7.7928550312168943E-2</v>
      </c>
      <c r="K492" s="7">
        <v>0.01</v>
      </c>
      <c r="L492" s="8">
        <f t="shared" si="21"/>
        <v>-3.8928550312169082E-2</v>
      </c>
    </row>
    <row r="493" spans="4:12" ht="14.4" customHeight="1">
      <c r="D493" s="2">
        <v>42703</v>
      </c>
      <c r="E493" s="3">
        <v>4.6769999999999996</v>
      </c>
      <c r="F493" s="3">
        <f t="shared" si="22"/>
        <v>7.9425125055852981E-3</v>
      </c>
      <c r="G493" s="3" cm="1">
        <f t="array" ref="G493">SUMPRODUCT(IF(((H493-$F$4:$F$515)/$B$10)&lt;=-1,0,IF(((H493-$F$4:$F$515)/$B$10)&gt;=1,1,(15/16)*(((H493-$F$4:$F$515)/$B$10)-(2/3)*((H493-$F$4:$F$515)/$B$10)^3+(1/5)*((H493-$F$4:$F$515)/$B$10)^5+8/15))))/COUNT($F$4:$F$515)</f>
        <v>1.9648793624058251E-3</v>
      </c>
      <c r="H493" s="1">
        <f t="shared" si="23"/>
        <v>-7.7628550312168948E-2</v>
      </c>
      <c r="K493" s="2">
        <v>0.01</v>
      </c>
      <c r="L493" s="3">
        <f t="shared" si="21"/>
        <v>-3.8928550312169082E-2</v>
      </c>
    </row>
    <row r="494" spans="4:12" ht="14.4" customHeight="1">
      <c r="D494" s="7">
        <v>42704</v>
      </c>
      <c r="E494" s="8">
        <v>4.7519999999999998</v>
      </c>
      <c r="F494" s="8">
        <f t="shared" si="22"/>
        <v>1.5908703316594688E-2</v>
      </c>
      <c r="G494" s="8" cm="1">
        <f t="array" ref="G494">SUMPRODUCT(IF(((H494-$F$4:$F$515)/$B$10)&lt;=-1,0,IF(((H494-$F$4:$F$515)/$B$10)&gt;=1,1,(15/16)*(((H494-$F$4:$F$515)/$B$10)-(2/3)*((H494-$F$4:$F$515)/$B$10)^3+(1/5)*((H494-$F$4:$F$515)/$B$10)^5+8/15))))/COUNT($F$4:$F$515)</f>
        <v>1.9743549320405548E-3</v>
      </c>
      <c r="H494" s="9">
        <f t="shared" si="23"/>
        <v>-7.7328550312168953E-2</v>
      </c>
      <c r="K494" s="7">
        <v>0.01</v>
      </c>
      <c r="L494" s="8">
        <f t="shared" si="21"/>
        <v>-3.8928550312169082E-2</v>
      </c>
    </row>
    <row r="495" spans="4:12" ht="14.4" customHeight="1">
      <c r="D495" s="2">
        <v>42705</v>
      </c>
      <c r="E495" s="3">
        <v>4.8860000000000001</v>
      </c>
      <c r="F495" s="3">
        <f t="shared" si="22"/>
        <v>2.7808390775205052E-2</v>
      </c>
      <c r="G495" s="3" cm="1">
        <f t="array" ref="G495">SUMPRODUCT(IF(((H495-$F$4:$F$515)/$B$10)&lt;=-1,0,IF(((H495-$F$4:$F$515)/$B$10)&gt;=1,1,(15/16)*(((H495-$F$4:$F$515)/$B$10)-(2/3)*((H495-$F$4:$F$515)/$B$10)^3+(1/5)*((H495-$F$4:$F$515)/$B$10)^5+8/15))))/COUNT($F$4:$F$515)</f>
        <v>1.9875352130925088E-3</v>
      </c>
      <c r="H495" s="1">
        <f t="shared" si="23"/>
        <v>-7.7028550312168959E-2</v>
      </c>
      <c r="K495" s="2">
        <v>0.01</v>
      </c>
      <c r="L495" s="3">
        <f t="shared" si="21"/>
        <v>-3.8928550312169082E-2</v>
      </c>
    </row>
    <row r="496" spans="4:12" ht="14.4" customHeight="1">
      <c r="D496" s="7">
        <v>42706</v>
      </c>
      <c r="E496" s="8">
        <v>4.8250000000000002</v>
      </c>
      <c r="F496" s="8">
        <f t="shared" si="22"/>
        <v>-1.2563238044599452E-2</v>
      </c>
      <c r="G496" s="8" cm="1">
        <f t="array" ref="G496">SUMPRODUCT(IF(((H496-$F$4:$F$515)/$B$10)&lt;=-1,0,IF(((H496-$F$4:$F$515)/$B$10)&gt;=1,1,(15/16)*(((H496-$F$4:$F$515)/$B$10)-(2/3)*((H496-$F$4:$F$515)/$B$10)^3+(1/5)*((H496-$F$4:$F$515)/$B$10)^5+8/15))))/COUNT($F$4:$F$515)</f>
        <v>2.0047917293282307E-3</v>
      </c>
      <c r="H496" s="9">
        <f t="shared" si="23"/>
        <v>-7.6728550312168964E-2</v>
      </c>
      <c r="K496" s="7">
        <v>0.01</v>
      </c>
      <c r="L496" s="8">
        <f t="shared" si="21"/>
        <v>-3.8928550312169082E-2</v>
      </c>
    </row>
    <row r="497" spans="4:12" ht="14.4" customHeight="1">
      <c r="D497" s="2">
        <v>42709</v>
      </c>
      <c r="E497" s="3">
        <v>4.9589999999999996</v>
      </c>
      <c r="F497" s="3">
        <f t="shared" si="22"/>
        <v>2.7393372716047398E-2</v>
      </c>
      <c r="G497" s="3" cm="1">
        <f t="array" ref="G497">SUMPRODUCT(IF(((H497-$F$4:$F$515)/$B$10)&lt;=-1,0,IF(((H497-$F$4:$F$515)/$B$10)&gt;=1,1,(15/16)*(((H497-$F$4:$F$515)/$B$10)-(2/3)*((H497-$F$4:$F$515)/$B$10)^3+(1/5)*((H497-$F$4:$F$515)/$B$10)^5+8/15))))/COUNT($F$4:$F$515)</f>
        <v>2.0264050775735849E-3</v>
      </c>
      <c r="H497" s="1">
        <f t="shared" si="23"/>
        <v>-7.6428550312168969E-2</v>
      </c>
      <c r="K497" s="2">
        <v>0.01</v>
      </c>
      <c r="L497" s="3">
        <f t="shared" si="21"/>
        <v>-3.8928550312169082E-2</v>
      </c>
    </row>
    <row r="498" spans="4:12" ht="14.4" customHeight="1">
      <c r="D498" s="7">
        <v>42710</v>
      </c>
      <c r="E498" s="8">
        <v>5.093</v>
      </c>
      <c r="F498" s="8">
        <f t="shared" si="22"/>
        <v>2.6662940395470767E-2</v>
      </c>
      <c r="G498" s="8" cm="1">
        <f t="array" ref="G498">SUMPRODUCT(IF(((H498-$F$4:$F$515)/$B$10)&lt;=-1,0,IF(((H498-$F$4:$F$515)/$B$10)&gt;=1,1,(15/16)*(((H498-$F$4:$F$515)/$B$10)-(2/3)*((H498-$F$4:$F$515)/$B$10)^3+(1/5)*((H498-$F$4:$F$515)/$B$10)^5+8/15))))/COUNT($F$4:$F$515)</f>
        <v>2.0525699393837832E-3</v>
      </c>
      <c r="H498" s="9">
        <f t="shared" si="23"/>
        <v>-7.6128550312168974E-2</v>
      </c>
      <c r="K498" s="7">
        <v>0.01</v>
      </c>
      <c r="L498" s="8">
        <f t="shared" si="21"/>
        <v>-3.8928550312169082E-2</v>
      </c>
    </row>
    <row r="499" spans="4:12" ht="14.4" customHeight="1">
      <c r="D499" s="2">
        <v>42711</v>
      </c>
      <c r="E499" s="3">
        <v>5.2140000000000004</v>
      </c>
      <c r="F499" s="3">
        <f t="shared" si="22"/>
        <v>2.3480267608842448E-2</v>
      </c>
      <c r="G499" s="3" cm="1">
        <f t="array" ref="G499">SUMPRODUCT(IF(((H499-$F$4:$F$515)/$B$10)&lt;=-1,0,IF(((H499-$F$4:$F$515)/$B$10)&gt;=1,1,(15/16)*(((H499-$F$4:$F$515)/$B$10)-(2/3)*((H499-$F$4:$F$515)/$B$10)^3+(1/5)*((H499-$F$4:$F$515)/$B$10)^5+8/15))))/COUNT($F$4:$F$515)</f>
        <v>2.0834000927134107E-3</v>
      </c>
      <c r="H499" s="1">
        <f t="shared" si="23"/>
        <v>-7.582855031216898E-2</v>
      </c>
      <c r="K499" s="2">
        <v>0.01</v>
      </c>
      <c r="L499" s="3">
        <f t="shared" si="21"/>
        <v>-3.8928550312169082E-2</v>
      </c>
    </row>
    <row r="500" spans="4:12" ht="14.4" customHeight="1">
      <c r="D500" s="7">
        <v>42712</v>
      </c>
      <c r="E500" s="8">
        <v>5.3739999999999997</v>
      </c>
      <c r="F500" s="8">
        <f t="shared" si="22"/>
        <v>3.0225194681989309E-2</v>
      </c>
      <c r="G500" s="8" cm="1">
        <f t="array" ref="G500">SUMPRODUCT(IF(((H500-$F$4:$F$515)/$B$10)&lt;=-1,0,IF(((H500-$F$4:$F$515)/$B$10)&gt;=1,1,(15/16)*(((H500-$F$4:$F$515)/$B$10)-(2/3)*((H500-$F$4:$F$515)/$B$10)^3+(1/5)*((H500-$F$4:$F$515)/$B$10)^5+8/15))))/COUNT($F$4:$F$515)</f>
        <v>2.118933423586454E-3</v>
      </c>
      <c r="H500" s="9">
        <f t="shared" si="23"/>
        <v>-7.5528550312168985E-2</v>
      </c>
      <c r="K500" s="7">
        <v>0.01</v>
      </c>
      <c r="L500" s="8">
        <f t="shared" si="21"/>
        <v>-3.8928550312169082E-2</v>
      </c>
    </row>
    <row r="501" spans="4:12" ht="14.4" customHeight="1">
      <c r="D501" s="2">
        <v>42713</v>
      </c>
      <c r="E501" s="3">
        <v>5.3920000000000003</v>
      </c>
      <c r="F501" s="3">
        <f t="shared" si="22"/>
        <v>3.3438634167064687E-3</v>
      </c>
      <c r="G501" s="3" cm="1">
        <f t="array" ref="G501">SUMPRODUCT(IF(((H501-$F$4:$F$515)/$B$10)&lt;=-1,0,IF(((H501-$F$4:$F$515)/$B$10)&gt;=1,1,(15/16)*(((H501-$F$4:$F$515)/$B$10)-(2/3)*((H501-$F$4:$F$515)/$B$10)^3+(1/5)*((H501-$F$4:$F$515)/$B$10)^5+8/15))))/COUNT($F$4:$F$515)</f>
        <v>2.159136937766325E-3</v>
      </c>
      <c r="H501" s="1">
        <f t="shared" si="23"/>
        <v>-7.522855031216899E-2</v>
      </c>
      <c r="K501" s="2">
        <v>0.01</v>
      </c>
      <c r="L501" s="3">
        <f t="shared" si="21"/>
        <v>-3.8928550312169082E-2</v>
      </c>
    </row>
    <row r="502" spans="4:12" ht="14.4" customHeight="1">
      <c r="D502" s="7">
        <v>42716</v>
      </c>
      <c r="E502" s="8">
        <v>5.4939999999999998</v>
      </c>
      <c r="F502" s="8">
        <f t="shared" si="22"/>
        <v>1.8740214063076129E-2</v>
      </c>
      <c r="G502" s="8" cm="1">
        <f t="array" ref="G502">SUMPRODUCT(IF(((H502-$F$4:$F$515)/$B$10)&lt;=-1,0,IF(((H502-$F$4:$F$515)/$B$10)&gt;=1,1,(15/16)*(((H502-$F$4:$F$515)/$B$10)-(2/3)*((H502-$F$4:$F$515)/$B$10)^3+(1/5)*((H502-$F$4:$F$515)/$B$10)^5+8/15))))/COUNT($F$4:$F$515)</f>
        <v>2.2039117724258882E-3</v>
      </c>
      <c r="H502" s="9">
        <f t="shared" si="23"/>
        <v>-7.4928550312168996E-2</v>
      </c>
      <c r="K502" s="7">
        <v>0.01</v>
      </c>
      <c r="L502" s="8">
        <f t="shared" si="21"/>
        <v>-3.8928550312169082E-2</v>
      </c>
    </row>
    <row r="503" spans="4:12" ht="14.4" customHeight="1">
      <c r="D503" s="2">
        <v>42717</v>
      </c>
      <c r="E503" s="3">
        <v>5.4509999999999996</v>
      </c>
      <c r="F503" s="3">
        <f t="shared" si="22"/>
        <v>-7.8575095909383004E-3</v>
      </c>
      <c r="G503" s="3" cm="1">
        <f t="array" ref="G503">SUMPRODUCT(IF(((H503-$F$4:$F$515)/$B$10)&lt;=-1,0,IF(((H503-$F$4:$F$515)/$B$10)&gt;=1,1,(15/16)*(((H503-$F$4:$F$515)/$B$10)-(2/3)*((H503-$F$4:$F$515)/$B$10)^3+(1/5)*((H503-$F$4:$F$515)/$B$10)^5+8/15))))/COUNT($F$4:$F$515)</f>
        <v>2.2530982078174887E-3</v>
      </c>
      <c r="H503" s="1">
        <f t="shared" si="23"/>
        <v>-7.4628550312169001E-2</v>
      </c>
      <c r="K503" s="2">
        <v>0.01</v>
      </c>
      <c r="L503" s="3">
        <f t="shared" si="21"/>
        <v>-3.8928550312169082E-2</v>
      </c>
    </row>
    <row r="504" spans="4:12" ht="14.4" customHeight="1">
      <c r="D504" s="7">
        <v>42718</v>
      </c>
      <c r="E504" s="8">
        <v>5.3460000000000001</v>
      </c>
      <c r="F504" s="8">
        <f t="shared" si="22"/>
        <v>-1.9450460365416533E-2</v>
      </c>
      <c r="G504" s="8" cm="1">
        <f t="array" ref="G504">SUMPRODUCT(IF(((H504-$F$4:$F$515)/$B$10)&lt;=-1,0,IF(((H504-$F$4:$F$515)/$B$10)&gt;=1,1,(15/16)*(((H504-$F$4:$F$515)/$B$10)-(2/3)*((H504-$F$4:$F$515)/$B$10)^3+(1/5)*((H504-$F$4:$F$515)/$B$10)^5+8/15))))/COUNT($F$4:$F$515)</f>
        <v>2.3064806789429761E-3</v>
      </c>
      <c r="H504" s="9">
        <f t="shared" si="23"/>
        <v>-7.4328550312169006E-2</v>
      </c>
      <c r="K504" s="7">
        <v>0.01</v>
      </c>
      <c r="L504" s="8">
        <f t="shared" si="21"/>
        <v>-3.8928550312169082E-2</v>
      </c>
    </row>
    <row r="505" spans="4:12" ht="14.4" customHeight="1">
      <c r="D505" s="2">
        <v>42719</v>
      </c>
      <c r="E505" s="3">
        <v>5.44</v>
      </c>
      <c r="F505" s="3">
        <f t="shared" si="22"/>
        <v>1.743044315112403E-2</v>
      </c>
      <c r="G505" s="3" cm="1">
        <f t="array" ref="G505">SUMPRODUCT(IF(((H505-$F$4:$F$515)/$B$10)&lt;=-1,0,IF(((H505-$F$4:$F$515)/$B$10)&gt;=1,1,(15/16)*(((H505-$F$4:$F$515)/$B$10)-(2/3)*((H505-$F$4:$F$515)/$B$10)^3+(1/5)*((H505-$F$4:$F$515)/$B$10)^5+8/15))))/COUNT($F$4:$F$515)</f>
        <v>2.3637927872237315E-3</v>
      </c>
      <c r="H505" s="1">
        <f t="shared" si="23"/>
        <v>-7.4028550312169011E-2</v>
      </c>
      <c r="K505" s="2">
        <v>0.01</v>
      </c>
      <c r="L505" s="3">
        <f t="shared" si="21"/>
        <v>-3.8928550312169082E-2</v>
      </c>
    </row>
    <row r="506" spans="4:12" ht="14.4" customHeight="1">
      <c r="D506" s="7">
        <v>42720</v>
      </c>
      <c r="E506" s="8">
        <v>5.3650000000000002</v>
      </c>
      <c r="F506" s="8">
        <f t="shared" si="22"/>
        <v>-1.3882684785189472E-2</v>
      </c>
      <c r="G506" s="8" cm="1">
        <f t="array" ref="G506">SUMPRODUCT(IF(((H506-$F$4:$F$515)/$B$10)&lt;=-1,0,IF(((H506-$F$4:$F$515)/$B$10)&gt;=1,1,(15/16)*(((H506-$F$4:$F$515)/$B$10)-(2/3)*((H506-$F$4:$F$515)/$B$10)^3+(1/5)*((H506-$F$4:$F$515)/$B$10)^5+8/15))))/COUNT($F$4:$F$515)</f>
        <v>2.4247223121706954E-3</v>
      </c>
      <c r="H506" s="9">
        <f t="shared" si="23"/>
        <v>-7.3728550312169017E-2</v>
      </c>
      <c r="K506" s="7">
        <v>0.01</v>
      </c>
      <c r="L506" s="8">
        <f t="shared" si="21"/>
        <v>-3.8928550312169082E-2</v>
      </c>
    </row>
    <row r="507" spans="4:12" ht="14.4" customHeight="1">
      <c r="D507" s="2">
        <v>42723</v>
      </c>
      <c r="E507" s="3">
        <v>5.2990000000000004</v>
      </c>
      <c r="F507" s="3">
        <f t="shared" si="22"/>
        <v>-1.2378252572036723E-2</v>
      </c>
      <c r="G507" s="3" cm="1">
        <f t="array" ref="G507">SUMPRODUCT(IF(((H507-$F$4:$F$515)/$B$10)&lt;=-1,0,IF(((H507-$F$4:$F$515)/$B$10)&gt;=1,1,(15/16)*(((H507-$F$4:$F$515)/$B$10)-(2/3)*((H507-$F$4:$F$515)/$B$10)^3+(1/5)*((H507-$F$4:$F$515)/$B$10)^5+8/15))))/COUNT($F$4:$F$515)</f>
        <v>2.4889162230543917E-3</v>
      </c>
      <c r="H507" s="1">
        <f t="shared" si="23"/>
        <v>-7.3428550312169022E-2</v>
      </c>
      <c r="K507" s="2">
        <v>0.01</v>
      </c>
      <c r="L507" s="3">
        <f t="shared" si="21"/>
        <v>-3.8928550312169082E-2</v>
      </c>
    </row>
    <row r="508" spans="4:12" ht="14.4" customHeight="1">
      <c r="D508" s="7">
        <v>42724</v>
      </c>
      <c r="E508" s="8">
        <v>5.3819999999999997</v>
      </c>
      <c r="F508" s="8">
        <f t="shared" si="22"/>
        <v>1.5541928794088875E-2</v>
      </c>
      <c r="G508" s="8" cm="1">
        <f t="array" ref="G508">SUMPRODUCT(IF(((H508-$F$4:$F$515)/$B$10)&lt;=-1,0,IF(((H508-$F$4:$F$515)/$B$10)&gt;=1,1,(15/16)*(((H508-$F$4:$F$515)/$B$10)-(2/3)*((H508-$F$4:$F$515)/$B$10)^3+(1/5)*((H508-$F$4:$F$515)/$B$10)^5+8/15))))/COUNT($F$4:$F$515)</f>
        <v>2.5559856905749568E-3</v>
      </c>
      <c r="H508" s="9">
        <f t="shared" si="23"/>
        <v>-7.3128550312169027E-2</v>
      </c>
      <c r="K508" s="7">
        <v>0.01</v>
      </c>
      <c r="L508" s="8">
        <f t="shared" si="21"/>
        <v>-3.8928550312169082E-2</v>
      </c>
    </row>
    <row r="509" spans="4:12" ht="14.4" customHeight="1">
      <c r="D509" s="2">
        <v>42725</v>
      </c>
      <c r="E509" s="3">
        <v>5.3979999999999997</v>
      </c>
      <c r="F509" s="3">
        <f t="shared" si="22"/>
        <v>2.9684622910988918E-3</v>
      </c>
      <c r="G509" s="3" cm="1">
        <f t="array" ref="G509">SUMPRODUCT(IF(((H509-$F$4:$F$515)/$B$10)&lt;=-1,0,IF(((H509-$F$4:$F$515)/$B$10)&gt;=1,1,(15/16)*(((H509-$F$4:$F$515)/$B$10)-(2/3)*((H509-$F$4:$F$515)/$B$10)^3+(1/5)*((H509-$F$4:$F$515)/$B$10)^5+8/15))))/COUNT($F$4:$F$515)</f>
        <v>2.6255110985321634E-3</v>
      </c>
      <c r="H509" s="1">
        <f t="shared" si="23"/>
        <v>-7.2828550312169033E-2</v>
      </c>
      <c r="K509" s="2">
        <v>0.01</v>
      </c>
      <c r="L509" s="3">
        <f t="shared" si="21"/>
        <v>-3.8928550312169082E-2</v>
      </c>
    </row>
    <row r="510" spans="4:12" ht="14.4" customHeight="1">
      <c r="D510" s="7">
        <v>42726</v>
      </c>
      <c r="E510" s="8">
        <v>5.42</v>
      </c>
      <c r="F510" s="8">
        <f t="shared" si="22"/>
        <v>4.067300855741968E-3</v>
      </c>
      <c r="G510" s="8" cm="1">
        <f t="array" ref="G510">SUMPRODUCT(IF(((H510-$F$4:$F$515)/$B$10)&lt;=-1,0,IF(((H510-$F$4:$F$515)/$B$10)&gt;=1,1,(15/16)*(((H510-$F$4:$F$515)/$B$10)-(2/3)*((H510-$F$4:$F$515)/$B$10)^3+(1/5)*((H510-$F$4:$F$515)/$B$10)^5+8/15))))/COUNT($F$4:$F$515)</f>
        <v>2.6970470554954478E-3</v>
      </c>
      <c r="H510" s="9">
        <f t="shared" si="23"/>
        <v>-7.2528550312169038E-2</v>
      </c>
      <c r="K510" s="7">
        <v>0.01</v>
      </c>
      <c r="L510" s="8">
        <f t="shared" si="21"/>
        <v>-3.8928550312169082E-2</v>
      </c>
    </row>
    <row r="511" spans="4:12" ht="14.4" customHeight="1">
      <c r="D511" s="2">
        <v>42727</v>
      </c>
      <c r="E511" s="3">
        <v>5.3760000000000003</v>
      </c>
      <c r="F511" s="3">
        <f t="shared" si="22"/>
        <v>-8.1512122307063114E-3</v>
      </c>
      <c r="G511" s="3" cm="1">
        <f t="array" ref="G511">SUMPRODUCT(IF(((H511-$F$4:$F$515)/$B$10)&lt;=-1,0,IF(((H511-$F$4:$F$515)/$B$10)&gt;=1,1,(15/16)*(((H511-$F$4:$F$515)/$B$10)-(2/3)*((H511-$F$4:$F$515)/$B$10)^3+(1/5)*((H511-$F$4:$F$515)/$B$10)^5+8/15))))/COUNT($F$4:$F$515)</f>
        <v>2.7701274064739359E-3</v>
      </c>
      <c r="H511" s="1">
        <f t="shared" si="23"/>
        <v>-7.2228550312169043E-2</v>
      </c>
      <c r="K511" s="2">
        <v>0.01</v>
      </c>
      <c r="L511" s="3">
        <f t="shared" si="21"/>
        <v>-3.8928550312169082E-2</v>
      </c>
    </row>
    <row r="512" spans="4:12" ht="14.4" customHeight="1">
      <c r="D512" s="7">
        <v>42731</v>
      </c>
      <c r="E512" s="8">
        <v>5.38</v>
      </c>
      <c r="F512" s="8">
        <f t="shared" si="22"/>
        <v>7.4377095284445876E-4</v>
      </c>
      <c r="G512" s="8" cm="1">
        <f t="array" ref="G512">SUMPRODUCT(IF(((H512-$F$4:$F$515)/$B$10)&lt;=-1,0,IF(((H512-$F$4:$F$515)/$B$10)&gt;=1,1,(15/16)*(((H512-$F$4:$F$515)/$B$10)-(2/3)*((H512-$F$4:$F$515)/$B$10)^3+(1/5)*((H512-$F$4:$F$515)/$B$10)^5+8/15))))/COUNT($F$4:$F$515)</f>
        <v>2.844270244586472E-3</v>
      </c>
      <c r="H512" s="9">
        <f t="shared" si="23"/>
        <v>-7.1928550312169048E-2</v>
      </c>
      <c r="K512" s="7">
        <v>0.01</v>
      </c>
      <c r="L512" s="8">
        <f t="shared" si="21"/>
        <v>-3.8928550312169082E-2</v>
      </c>
    </row>
    <row r="513" spans="4:12" ht="14.4" customHeight="1">
      <c r="D513" s="2">
        <v>42732</v>
      </c>
      <c r="E513" s="3">
        <v>5.3789999999999996</v>
      </c>
      <c r="F513" s="3">
        <f t="shared" si="22"/>
        <v>-1.8589088258759179E-4</v>
      </c>
      <c r="G513" s="3" cm="1">
        <f t="array" ref="G513">SUMPRODUCT(IF(((H513-$F$4:$F$515)/$B$10)&lt;=-1,0,IF(((H513-$F$4:$F$515)/$B$10)&gt;=1,1,(15/16)*(((H513-$F$4:$F$515)/$B$10)-(2/3)*((H513-$F$4:$F$515)/$B$10)^3+(1/5)*((H513-$F$4:$F$515)/$B$10)^5+8/15))))/COUNT($F$4:$F$515)</f>
        <v>2.9189829227316416E-3</v>
      </c>
      <c r="H513" s="1">
        <f t="shared" si="23"/>
        <v>-7.1628550312169054E-2</v>
      </c>
      <c r="K513" s="2">
        <v>0.01</v>
      </c>
      <c r="L513" s="3">
        <f t="shared" si="21"/>
        <v>-3.8928550312169082E-2</v>
      </c>
    </row>
    <row r="514" spans="4:12" ht="14.4" customHeight="1">
      <c r="D514" s="7">
        <v>42733</v>
      </c>
      <c r="E514" s="8">
        <v>5.3280000000000003</v>
      </c>
      <c r="F514" s="8">
        <f t="shared" si="22"/>
        <v>-9.526550053017337E-3</v>
      </c>
      <c r="G514" s="8" cm="1">
        <f t="array" ref="G514">SUMPRODUCT(IF(((H514-$F$4:$F$515)/$B$10)&lt;=-1,0,IF(((H514-$F$4:$F$515)/$B$10)&gt;=1,1,(15/16)*(((H514-$F$4:$F$515)/$B$10)-(2/3)*((H514-$F$4:$F$515)/$B$10)^3+(1/5)*((H514-$F$4:$F$515)/$B$10)^5+8/15))))/COUNT($F$4:$F$515)</f>
        <v>2.9937670652577988E-3</v>
      </c>
      <c r="H514" s="9">
        <f t="shared" si="23"/>
        <v>-7.1328550312169059E-2</v>
      </c>
      <c r="K514" s="7">
        <v>0.01</v>
      </c>
      <c r="L514" s="8">
        <f t="shared" si="21"/>
        <v>-3.8928550312169082E-2</v>
      </c>
    </row>
    <row r="515" spans="4:12" ht="14.4" customHeight="1">
      <c r="D515" s="2">
        <v>42734</v>
      </c>
      <c r="E515" s="3">
        <v>5.36</v>
      </c>
      <c r="F515" s="3">
        <f t="shared" si="22"/>
        <v>5.9880418446226933E-3</v>
      </c>
      <c r="G515" s="3" cm="1">
        <f t="array" ref="G515">SUMPRODUCT(IF(((H515-$F$4:$F$515)/$B$10)&lt;=-1,0,IF(((H515-$F$4:$F$515)/$B$10)&gt;=1,1,(15/16)*(((H515-$F$4:$F$515)/$B$10)-(2/3)*((H515-$F$4:$F$515)/$B$10)^3+(1/5)*((H515-$F$4:$F$515)/$B$10)^5+8/15))))/COUNT($F$4:$F$515)</f>
        <v>3.0681235796330949E-3</v>
      </c>
      <c r="H515" s="1">
        <f t="shared" si="23"/>
        <v>-7.1028550312169064E-2</v>
      </c>
      <c r="K515" s="2">
        <v>0.01</v>
      </c>
      <c r="L515" s="3">
        <f t="shared" si="21"/>
        <v>-3.8928550312169082E-2</v>
      </c>
    </row>
    <row r="516" spans="4:12" ht="14.4" customHeight="1">
      <c r="D516" s="7">
        <v>42737</v>
      </c>
      <c r="E516" s="8">
        <v>5.4</v>
      </c>
      <c r="F516" s="8">
        <f t="shared" si="22"/>
        <v>7.4349784875179905E-3</v>
      </c>
      <c r="G516" s="8" cm="1">
        <f t="array" ref="G516">SUMPRODUCT(IF(((H516-$F$4:$F$515)/$B$10)&lt;=-1,0,IF(((H516-$F$4:$F$515)/$B$10)&gt;=1,1,(15/16)*(((H516-$F$4:$F$515)/$B$10)-(2/3)*((H516-$F$4:$F$515)/$B$10)^3+(1/5)*((H516-$F$4:$F$515)/$B$10)^5+8/15))))/COUNT($F$4:$F$515)</f>
        <v>3.1415578099364952E-3</v>
      </c>
      <c r="H516" s="9">
        <f t="shared" si="23"/>
        <v>-7.072855031216907E-2</v>
      </c>
      <c r="K516" s="7">
        <v>0.01</v>
      </c>
      <c r="L516" s="8">
        <f t="shared" ref="L516:L579" si="24">$B$7</f>
        <v>-3.8928550312169082E-2</v>
      </c>
    </row>
    <row r="517" spans="4:12" ht="14.4" customHeight="1">
      <c r="D517" s="2">
        <v>42738</v>
      </c>
      <c r="E517" s="3">
        <v>5.62</v>
      </c>
      <c r="F517" s="3">
        <f t="shared" ref="F517:F580" si="25">LN(E517/E516)</f>
        <v>3.9932710335371012E-2</v>
      </c>
      <c r="G517" s="3" cm="1">
        <f t="array" ref="G517">SUMPRODUCT(IF(((H517-$F$4:$F$515)/$B$10)&lt;=-1,0,IF(((H517-$F$4:$F$515)/$B$10)&gt;=1,1,(15/16)*(((H517-$F$4:$F$515)/$B$10)-(2/3)*((H517-$F$4:$F$515)/$B$10)^3+(1/5)*((H517-$F$4:$F$515)/$B$10)^5+8/15))))/COUNT($F$4:$F$515)</f>
        <v>3.2137953130924961E-3</v>
      </c>
      <c r="H517" s="1">
        <f t="shared" ref="H517:H580" si="26">H516+0.0003</f>
        <v>-7.0428550312169075E-2</v>
      </c>
      <c r="K517" s="2">
        <v>0.01</v>
      </c>
      <c r="L517" s="3">
        <f t="shared" si="24"/>
        <v>-3.8928550312169082E-2</v>
      </c>
    </row>
    <row r="518" spans="4:12" ht="14.4" customHeight="1">
      <c r="D518" s="7">
        <v>42739</v>
      </c>
      <c r="E518" s="8">
        <v>5.641</v>
      </c>
      <c r="F518" s="8">
        <f t="shared" si="25"/>
        <v>3.7296908522394213E-3</v>
      </c>
      <c r="G518" s="8" cm="1">
        <f t="array" ref="G518">SUMPRODUCT(IF(((H518-$F$4:$F$515)/$B$10)&lt;=-1,0,IF(((H518-$F$4:$F$515)/$B$10)&gt;=1,1,(15/16)*(((H518-$F$4:$F$515)/$B$10)-(2/3)*((H518-$F$4:$F$515)/$B$10)^3+(1/5)*((H518-$F$4:$F$515)/$B$10)^5+8/15))))/COUNT($F$4:$F$515)</f>
        <v>3.2851665020490767E-3</v>
      </c>
      <c r="H518" s="9">
        <f t="shared" si="26"/>
        <v>-7.012855031216908E-2</v>
      </c>
      <c r="K518" s="7">
        <v>0.01</v>
      </c>
      <c r="L518" s="8">
        <f t="shared" si="24"/>
        <v>-3.8928550312169082E-2</v>
      </c>
    </row>
    <row r="519" spans="4:12" ht="14.4" customHeight="1">
      <c r="D519" s="2">
        <v>42740</v>
      </c>
      <c r="E519" s="3">
        <v>5.5949999999999998</v>
      </c>
      <c r="F519" s="3">
        <f t="shared" si="25"/>
        <v>-8.1880129939505292E-3</v>
      </c>
      <c r="G519" s="3" cm="1">
        <f t="array" ref="G519">SUMPRODUCT(IF(((H519-$F$4:$F$515)/$B$10)&lt;=-1,0,IF(((H519-$F$4:$F$515)/$B$10)&gt;=1,1,(15/16)*(((H519-$F$4:$F$515)/$B$10)-(2/3)*((H519-$F$4:$F$515)/$B$10)^3+(1/5)*((H519-$F$4:$F$515)/$B$10)^5+8/15))))/COUNT($F$4:$F$515)</f>
        <v>3.3560361217461533E-3</v>
      </c>
      <c r="H519" s="1">
        <f t="shared" si="26"/>
        <v>-6.9828550312169085E-2</v>
      </c>
      <c r="K519" s="2">
        <v>0.01</v>
      </c>
      <c r="L519" s="3">
        <f t="shared" si="24"/>
        <v>-3.8928550312169082E-2</v>
      </c>
    </row>
    <row r="520" spans="4:12" ht="14.4" customHeight="1">
      <c r="D520" s="7">
        <v>42741</v>
      </c>
      <c r="E520" s="8">
        <v>5.5629999999999997</v>
      </c>
      <c r="F520" s="8">
        <f t="shared" si="25"/>
        <v>-5.7358106707323464E-3</v>
      </c>
      <c r="G520" s="8" cm="1">
        <f t="array" ref="G520">SUMPRODUCT(IF(((H520-$F$4:$F$515)/$B$10)&lt;=-1,0,IF(((H520-$F$4:$F$515)/$B$10)&gt;=1,1,(15/16)*(((H520-$F$4:$F$515)/$B$10)-(2/3)*((H520-$F$4:$F$515)/$B$10)^3+(1/5)*((H520-$F$4:$F$515)/$B$10)^5+8/15))))/COUNT($F$4:$F$515)</f>
        <v>3.4270233249368426E-3</v>
      </c>
      <c r="H520" s="9">
        <f t="shared" si="26"/>
        <v>-6.9528550312169091E-2</v>
      </c>
      <c r="K520" s="7">
        <v>0.01</v>
      </c>
      <c r="L520" s="8">
        <f t="shared" si="24"/>
        <v>-3.8928550312169082E-2</v>
      </c>
    </row>
    <row r="521" spans="4:12" ht="14.4" customHeight="1">
      <c r="D521" s="2">
        <v>42744</v>
      </c>
      <c r="E521" s="3">
        <v>5.4480000000000004</v>
      </c>
      <c r="F521" s="3">
        <f t="shared" si="25"/>
        <v>-2.0888962245944845E-2</v>
      </c>
      <c r="G521" s="3" cm="1">
        <f t="array" ref="G521">SUMPRODUCT(IF(((H521-$F$4:$F$515)/$B$10)&lt;=-1,0,IF(((H521-$F$4:$F$515)/$B$10)&gt;=1,1,(15/16)*(((H521-$F$4:$F$515)/$B$10)-(2/3)*((H521-$F$4:$F$515)/$B$10)^3+(1/5)*((H521-$F$4:$F$515)/$B$10)^5+8/15))))/COUNT($F$4:$F$515)</f>
        <v>3.4991697531081977E-3</v>
      </c>
      <c r="H521" s="1">
        <f t="shared" si="26"/>
        <v>-6.9228550312169096E-2</v>
      </c>
      <c r="K521" s="2">
        <v>0.01</v>
      </c>
      <c r="L521" s="3">
        <f t="shared" si="24"/>
        <v>-3.8928550312169082E-2</v>
      </c>
    </row>
    <row r="522" spans="4:12" ht="14.4" customHeight="1">
      <c r="D522" s="7">
        <v>42745</v>
      </c>
      <c r="E522" s="8">
        <v>5.4850000000000003</v>
      </c>
      <c r="F522" s="8">
        <f t="shared" si="25"/>
        <v>6.7685248799824061E-3</v>
      </c>
      <c r="G522" s="8" cm="1">
        <f t="array" ref="G522">SUMPRODUCT(IF(((H522-$F$4:$F$515)/$B$10)&lt;=-1,0,IF(((H522-$F$4:$F$515)/$B$10)&gt;=1,1,(15/16)*(((H522-$F$4:$F$515)/$B$10)-(2/3)*((H522-$F$4:$F$515)/$B$10)^3+(1/5)*((H522-$F$4:$F$515)/$B$10)^5+8/15))))/COUNT($F$4:$F$515)</f>
        <v>3.5733883952228625E-3</v>
      </c>
      <c r="H522" s="9">
        <f t="shared" si="26"/>
        <v>-6.8928550312169101E-2</v>
      </c>
      <c r="K522" s="7">
        <v>0.01</v>
      </c>
      <c r="L522" s="8">
        <f t="shared" si="24"/>
        <v>-3.8928550312169082E-2</v>
      </c>
    </row>
    <row r="523" spans="4:12" ht="14.4" customHeight="1">
      <c r="D523" s="2">
        <v>42746</v>
      </c>
      <c r="E523" s="3">
        <v>5.4370000000000003</v>
      </c>
      <c r="F523" s="3">
        <f t="shared" si="25"/>
        <v>-8.7896555634099961E-3</v>
      </c>
      <c r="G523" s="3" cm="1">
        <f t="array" ref="G523">SUMPRODUCT(IF(((H523-$F$4:$F$515)/$B$10)&lt;=-1,0,IF(((H523-$F$4:$F$515)/$B$10)&gt;=1,1,(15/16)*(((H523-$F$4:$F$515)/$B$10)-(2/3)*((H523-$F$4:$F$515)/$B$10)^3+(1/5)*((H523-$F$4:$F$515)/$B$10)^5+8/15))))/COUNT($F$4:$F$515)</f>
        <v>3.6504234997411259E-3</v>
      </c>
      <c r="H523" s="1">
        <f t="shared" si="26"/>
        <v>-6.8628550312169107E-2</v>
      </c>
      <c r="K523" s="2">
        <v>0.01</v>
      </c>
      <c r="L523" s="3">
        <f t="shared" si="24"/>
        <v>-3.8928550312169082E-2</v>
      </c>
    </row>
    <row r="524" spans="4:12" ht="14.4" customHeight="1">
      <c r="D524" s="7">
        <v>42747</v>
      </c>
      <c r="E524" s="8">
        <v>5.4379999999999997</v>
      </c>
      <c r="F524" s="8">
        <f t="shared" si="25"/>
        <v>1.8390804649532914E-4</v>
      </c>
      <c r="G524" s="8" cm="1">
        <f t="array" ref="G524">SUMPRODUCT(IF(((H524-$F$4:$F$515)/$B$10)&lt;=-1,0,IF(((H524-$F$4:$F$515)/$B$10)&gt;=1,1,(15/16)*(((H524-$F$4:$F$515)/$B$10)-(2/3)*((H524-$F$4:$F$515)/$B$10)^3+(1/5)*((H524-$F$4:$F$515)/$B$10)^5+8/15))))/COUNT($F$4:$F$515)</f>
        <v>3.730865609630994E-3</v>
      </c>
      <c r="H524" s="9">
        <f t="shared" si="26"/>
        <v>-6.8328550312169112E-2</v>
      </c>
      <c r="K524" s="7">
        <v>0.01</v>
      </c>
      <c r="L524" s="8">
        <f t="shared" si="24"/>
        <v>-3.8928550312169082E-2</v>
      </c>
    </row>
    <row r="525" spans="4:12" ht="14.4" customHeight="1">
      <c r="D525" s="2">
        <v>42748</v>
      </c>
      <c r="E525" s="3">
        <v>5.6059999999999999</v>
      </c>
      <c r="F525" s="3">
        <f t="shared" si="25"/>
        <v>3.0426106532317594E-2</v>
      </c>
      <c r="G525" s="3" cm="1">
        <f t="array" ref="G525">SUMPRODUCT(IF(((H525-$F$4:$F$515)/$B$10)&lt;=-1,0,IF(((H525-$F$4:$F$515)/$B$10)&gt;=1,1,(15/16)*(((H525-$F$4:$F$515)/$B$10)-(2/3)*((H525-$F$4:$F$515)/$B$10)^3+(1/5)*((H525-$F$4:$F$515)/$B$10)^5+8/15))))/COUNT($F$4:$F$515)</f>
        <v>3.8151665973782728E-3</v>
      </c>
      <c r="H525" s="1">
        <f t="shared" si="26"/>
        <v>-6.8028550312169117E-2</v>
      </c>
      <c r="K525" s="2">
        <v>0.01</v>
      </c>
      <c r="L525" s="3">
        <f t="shared" si="24"/>
        <v>-3.8928550312169082E-2</v>
      </c>
    </row>
    <row r="526" spans="4:12" ht="14.4" customHeight="1">
      <c r="D526" s="7">
        <v>42751</v>
      </c>
      <c r="E526" s="8">
        <v>5.577</v>
      </c>
      <c r="F526" s="8">
        <f t="shared" si="25"/>
        <v>-5.1864553351799094E-3</v>
      </c>
      <c r="G526" s="8" cm="1">
        <f t="array" ref="G526">SUMPRODUCT(IF(((H526-$F$4:$F$515)/$B$10)&lt;=-1,0,IF(((H526-$F$4:$F$515)/$B$10)&gt;=1,1,(15/16)*(((H526-$F$4:$F$515)/$B$10)-(2/3)*((H526-$F$4:$F$515)/$B$10)^3+(1/5)*((H526-$F$4:$F$515)/$B$10)^5+8/15))))/COUNT($F$4:$F$515)</f>
        <v>3.9036547122488115E-3</v>
      </c>
      <c r="H526" s="9">
        <f t="shared" si="26"/>
        <v>-6.7728550312169122E-2</v>
      </c>
      <c r="K526" s="7">
        <v>0.01</v>
      </c>
      <c r="L526" s="8">
        <f t="shared" si="24"/>
        <v>-3.8928550312169082E-2</v>
      </c>
    </row>
    <row r="527" spans="4:12" ht="14.4" customHeight="1">
      <c r="D527" s="2">
        <v>42752</v>
      </c>
      <c r="E527" s="3">
        <v>5.4880000000000004</v>
      </c>
      <c r="F527" s="3">
        <f t="shared" si="25"/>
        <v>-1.6087106983832422E-2</v>
      </c>
      <c r="G527" s="3" cm="1">
        <f t="array" ref="G527">SUMPRODUCT(IF(((H527-$F$4:$F$515)/$B$10)&lt;=-1,0,IF(((H527-$F$4:$F$515)/$B$10)&gt;=1,1,(15/16)*(((H527-$F$4:$F$515)/$B$10)-(2/3)*((H527-$F$4:$F$515)/$B$10)^3+(1/5)*((H527-$F$4:$F$515)/$B$10)^5+8/15))))/COUNT($F$4:$F$515)</f>
        <v>3.9967321097084335E-3</v>
      </c>
      <c r="H527" s="1">
        <f t="shared" si="26"/>
        <v>-6.7428550312169128E-2</v>
      </c>
      <c r="K527" s="2">
        <v>0.01</v>
      </c>
      <c r="L527" s="3">
        <f t="shared" si="24"/>
        <v>-3.8928550312169082E-2</v>
      </c>
    </row>
    <row r="528" spans="4:12" ht="14.4" customHeight="1">
      <c r="D528" s="7">
        <v>42753</v>
      </c>
      <c r="E528" s="8">
        <v>5.4509999999999996</v>
      </c>
      <c r="F528" s="8">
        <f t="shared" si="25"/>
        <v>-6.7648123414403936E-3</v>
      </c>
      <c r="G528" s="8" cm="1">
        <f t="array" ref="G528">SUMPRODUCT(IF(((H528-$F$4:$F$515)/$B$10)&lt;=-1,0,IF(((H528-$F$4:$F$515)/$B$10)&gt;=1,1,(15/16)*(((H528-$F$4:$F$515)/$B$10)-(2/3)*((H528-$F$4:$F$515)/$B$10)^3+(1/5)*((H528-$F$4:$F$515)/$B$10)^5+8/15))))/COUNT($F$4:$F$515)</f>
        <v>4.095308921267346E-3</v>
      </c>
      <c r="H528" s="9">
        <f t="shared" si="26"/>
        <v>-6.7128550312169133E-2</v>
      </c>
      <c r="K528" s="7">
        <v>0.01</v>
      </c>
      <c r="L528" s="8">
        <f t="shared" si="24"/>
        <v>-3.8928550312169082E-2</v>
      </c>
    </row>
    <row r="529" spans="4:12" ht="14.4" customHeight="1">
      <c r="D529" s="2">
        <v>42754</v>
      </c>
      <c r="E529" s="3">
        <v>5.5</v>
      </c>
      <c r="F529" s="3">
        <f t="shared" si="25"/>
        <v>8.9490141562814825E-3</v>
      </c>
      <c r="G529" s="3" cm="1">
        <f t="array" ref="G529">SUMPRODUCT(IF(((H529-$F$4:$F$515)/$B$10)&lt;=-1,0,IF(((H529-$F$4:$F$515)/$B$10)&gt;=1,1,(15/16)*(((H529-$F$4:$F$515)/$B$10)-(2/3)*((H529-$F$4:$F$515)/$B$10)^3+(1/5)*((H529-$F$4:$F$515)/$B$10)^5+8/15))))/COUNT($F$4:$F$515)</f>
        <v>4.200250276302519E-3</v>
      </c>
      <c r="H529" s="1">
        <f t="shared" si="26"/>
        <v>-6.6828550312169138E-2</v>
      </c>
      <c r="K529" s="2">
        <v>0.01</v>
      </c>
      <c r="L529" s="3">
        <f t="shared" si="24"/>
        <v>-3.8928550312169082E-2</v>
      </c>
    </row>
    <row r="530" spans="4:12" ht="14.4" customHeight="1">
      <c r="D530" s="7">
        <v>42755</v>
      </c>
      <c r="E530" s="8">
        <v>5.4950000000000001</v>
      </c>
      <c r="F530" s="8">
        <f t="shared" si="25"/>
        <v>-9.0950438284049986E-4</v>
      </c>
      <c r="G530" s="8" cm="1">
        <f t="array" ref="G530">SUMPRODUCT(IF(((H530-$F$4:$F$515)/$B$10)&lt;=-1,0,IF(((H530-$F$4:$F$515)/$B$10)&gt;=1,1,(15/16)*(((H530-$F$4:$F$515)/$B$10)-(2/3)*((H530-$F$4:$F$515)/$B$10)^3+(1/5)*((H530-$F$4:$F$515)/$B$10)^5+8/15))))/COUNT($F$4:$F$515)</f>
        <v>4.3122454201021823E-3</v>
      </c>
      <c r="H530" s="9">
        <f t="shared" si="26"/>
        <v>-6.6528550312169143E-2</v>
      </c>
      <c r="K530" s="7">
        <v>0.01</v>
      </c>
      <c r="L530" s="8">
        <f t="shared" si="24"/>
        <v>-3.8928550312169082E-2</v>
      </c>
    </row>
    <row r="531" spans="4:12" ht="14.4" customHeight="1">
      <c r="D531" s="2">
        <v>42758</v>
      </c>
      <c r="E531" s="3">
        <v>5.3550000000000004</v>
      </c>
      <c r="F531" s="3">
        <f t="shared" si="25"/>
        <v>-2.580788395587259E-2</v>
      </c>
      <c r="G531" s="3" cm="1">
        <f t="array" ref="G531">SUMPRODUCT(IF(((H531-$F$4:$F$515)/$B$10)&lt;=-1,0,IF(((H531-$F$4:$F$515)/$B$10)&gt;=1,1,(15/16)*(((H531-$F$4:$F$515)/$B$10)-(2/3)*((H531-$F$4:$F$515)/$B$10)^3+(1/5)*((H531-$F$4:$F$515)/$B$10)^5+8/15))))/COUNT($F$4:$F$515)</f>
        <v>4.431827760545932E-3</v>
      </c>
      <c r="H531" s="1">
        <f t="shared" si="26"/>
        <v>-6.6228550312169149E-2</v>
      </c>
      <c r="K531" s="2">
        <v>0.01</v>
      </c>
      <c r="L531" s="3">
        <f t="shared" si="24"/>
        <v>-3.8928550312169082E-2</v>
      </c>
    </row>
    <row r="532" spans="4:12" ht="14.4" customHeight="1">
      <c r="D532" s="7">
        <v>42759</v>
      </c>
      <c r="E532" s="8">
        <v>5.415</v>
      </c>
      <c r="F532" s="8">
        <f t="shared" si="25"/>
        <v>1.1142176553241803E-2</v>
      </c>
      <c r="G532" s="8" cm="1">
        <f t="array" ref="G532">SUMPRODUCT(IF(((H532-$F$4:$F$515)/$B$10)&lt;=-1,0,IF(((H532-$F$4:$F$515)/$B$10)&gt;=1,1,(15/16)*(((H532-$F$4:$F$515)/$B$10)-(2/3)*((H532-$F$4:$F$515)/$B$10)^3+(1/5)*((H532-$F$4:$F$515)/$B$10)^5+8/15))))/COUNT($F$4:$F$515)</f>
        <v>4.5594136272053181E-3</v>
      </c>
      <c r="H532" s="9">
        <f t="shared" si="26"/>
        <v>-6.5928550312169154E-2</v>
      </c>
      <c r="K532" s="7">
        <v>0.01</v>
      </c>
      <c r="L532" s="8">
        <f t="shared" si="24"/>
        <v>-3.8928550312169082E-2</v>
      </c>
    </row>
    <row r="533" spans="4:12" ht="14.4" customHeight="1">
      <c r="D533" s="2">
        <v>42760</v>
      </c>
      <c r="E533" s="3">
        <v>5.6890000000000001</v>
      </c>
      <c r="F533" s="3">
        <f t="shared" si="25"/>
        <v>4.936160531555641E-2</v>
      </c>
      <c r="G533" s="3" cm="1">
        <f t="array" ref="G533">SUMPRODUCT(IF(((H533-$F$4:$F$515)/$B$10)&lt;=-1,0,IF(((H533-$F$4:$F$515)/$B$10)&gt;=1,1,(15/16)*(((H533-$F$4:$F$515)/$B$10)-(2/3)*((H533-$F$4:$F$515)/$B$10)^3+(1/5)*((H533-$F$4:$F$515)/$B$10)^5+8/15))))/COUNT($F$4:$F$515)</f>
        <v>4.6957498529430529E-3</v>
      </c>
      <c r="H533" s="1">
        <f t="shared" si="26"/>
        <v>-6.5628550312169159E-2</v>
      </c>
      <c r="K533" s="2">
        <v>0.01</v>
      </c>
      <c r="L533" s="3">
        <f t="shared" si="24"/>
        <v>-3.8928550312169082E-2</v>
      </c>
    </row>
    <row r="534" spans="4:12" ht="14.4" customHeight="1">
      <c r="D534" s="7">
        <v>42761</v>
      </c>
      <c r="E534" s="8">
        <v>5.65</v>
      </c>
      <c r="F534" s="8">
        <f t="shared" si="25"/>
        <v>-6.8789406101607414E-3</v>
      </c>
      <c r="G534" s="8" cm="1">
        <f t="array" ref="G534">SUMPRODUCT(IF(((H534-$F$4:$F$515)/$B$10)&lt;=-1,0,IF(((H534-$F$4:$F$515)/$B$10)&gt;=1,1,(15/16)*(((H534-$F$4:$F$515)/$B$10)-(2/3)*((H534-$F$4:$F$515)/$B$10)^3+(1/5)*((H534-$F$4:$F$515)/$B$10)^5+8/15))))/COUNT($F$4:$F$515)</f>
        <v>4.8418818339192125E-3</v>
      </c>
      <c r="H534" s="9">
        <f t="shared" si="26"/>
        <v>-6.5328550312169165E-2</v>
      </c>
      <c r="K534" s="7">
        <v>0.01</v>
      </c>
      <c r="L534" s="8">
        <f t="shared" si="24"/>
        <v>-3.8928550312169082E-2</v>
      </c>
    </row>
    <row r="535" spans="4:12" ht="14.4" customHeight="1">
      <c r="D535" s="2">
        <v>42762</v>
      </c>
      <c r="E535" s="3">
        <v>5.64</v>
      </c>
      <c r="F535" s="3">
        <f t="shared" si="25"/>
        <v>-1.7714796483821156E-3</v>
      </c>
      <c r="G535" s="3" cm="1">
        <f t="array" ref="G535">SUMPRODUCT(IF(((H535-$F$4:$F$515)/$B$10)&lt;=-1,0,IF(((H535-$F$4:$F$515)/$B$10)&gt;=1,1,(15/16)*(((H535-$F$4:$F$515)/$B$10)-(2/3)*((H535-$F$4:$F$515)/$B$10)^3+(1/5)*((H535-$F$4:$F$515)/$B$10)^5+8/15))))/COUNT($F$4:$F$515)</f>
        <v>4.998687288030464E-3</v>
      </c>
      <c r="H535" s="1">
        <f t="shared" si="26"/>
        <v>-6.502855031216917E-2</v>
      </c>
      <c r="K535" s="2">
        <v>0.01</v>
      </c>
      <c r="L535" s="3">
        <f t="shared" si="24"/>
        <v>-3.8928550312169082E-2</v>
      </c>
    </row>
    <row r="536" spans="4:12" ht="14.4" customHeight="1">
      <c r="D536" s="7">
        <v>42765</v>
      </c>
      <c r="E536" s="8">
        <v>5.5640000000000001</v>
      </c>
      <c r="F536" s="8">
        <f t="shared" si="25"/>
        <v>-1.3566791448771017E-2</v>
      </c>
      <c r="G536" s="8" cm="1">
        <f t="array" ref="G536">SUMPRODUCT(IF(((H536-$F$4:$F$515)/$B$10)&lt;=-1,0,IF(((H536-$F$4:$F$515)/$B$10)&gt;=1,1,(15/16)*(((H536-$F$4:$F$515)/$B$10)-(2/3)*((H536-$F$4:$F$515)/$B$10)^3+(1/5)*((H536-$F$4:$F$515)/$B$10)^5+8/15))))/COUNT($F$4:$F$515)</f>
        <v>5.1668781602057243E-3</v>
      </c>
      <c r="H536" s="9">
        <f t="shared" si="26"/>
        <v>-6.4728550312169175E-2</v>
      </c>
      <c r="K536" s="7">
        <v>0.01</v>
      </c>
      <c r="L536" s="8">
        <f t="shared" si="24"/>
        <v>-3.8928550312169082E-2</v>
      </c>
    </row>
    <row r="537" spans="4:12" ht="14.4" customHeight="1">
      <c r="D537" s="2">
        <v>42766</v>
      </c>
      <c r="E537" s="3">
        <v>5.4850000000000003</v>
      </c>
      <c r="F537" s="3">
        <f t="shared" si="25"/>
        <v>-1.430018033400283E-2</v>
      </c>
      <c r="G537" s="3" cm="1">
        <f t="array" ref="G537">SUMPRODUCT(IF(((H537-$F$4:$F$515)/$B$10)&lt;=-1,0,IF(((H537-$F$4:$F$515)/$B$10)&gt;=1,1,(15/16)*(((H537-$F$4:$F$515)/$B$10)-(2/3)*((H537-$F$4:$F$515)/$B$10)^3+(1/5)*((H537-$F$4:$F$515)/$B$10)^5+8/15))))/COUNT($F$4:$F$515)</f>
        <v>5.3470256807562977E-3</v>
      </c>
      <c r="H537" s="1">
        <f t="shared" si="26"/>
        <v>-6.442855031216918E-2</v>
      </c>
      <c r="K537" s="2">
        <v>0.01</v>
      </c>
      <c r="L537" s="3">
        <f t="shared" si="24"/>
        <v>-3.8928550312169082E-2</v>
      </c>
    </row>
    <row r="538" spans="4:12" ht="14.4" customHeight="1">
      <c r="D538" s="7">
        <v>42767</v>
      </c>
      <c r="E538" s="8">
        <v>5.5789999999999997</v>
      </c>
      <c r="F538" s="8">
        <f t="shared" si="25"/>
        <v>1.6992455136197692E-2</v>
      </c>
      <c r="G538" s="8" cm="1">
        <f t="array" ref="G538">SUMPRODUCT(IF(((H538-$F$4:$F$515)/$B$10)&lt;=-1,0,IF(((H538-$F$4:$F$515)/$B$10)&gt;=1,1,(15/16)*(((H538-$F$4:$F$515)/$B$10)-(2/3)*((H538-$F$4:$F$515)/$B$10)^3+(1/5)*((H538-$F$4:$F$515)/$B$10)^5+8/15))))/COUNT($F$4:$F$515)</f>
        <v>5.5395754441830529E-3</v>
      </c>
      <c r="H538" s="9">
        <f t="shared" si="26"/>
        <v>-6.4128550312169186E-2</v>
      </c>
      <c r="K538" s="7">
        <v>0.01</v>
      </c>
      <c r="L538" s="8">
        <f t="shared" si="24"/>
        <v>-3.8928550312169082E-2</v>
      </c>
    </row>
    <row r="539" spans="4:12" ht="14.4" customHeight="1">
      <c r="D539" s="2">
        <v>42768</v>
      </c>
      <c r="E539" s="3">
        <v>5.569</v>
      </c>
      <c r="F539" s="3">
        <f t="shared" si="25"/>
        <v>-1.7940442558596736E-3</v>
      </c>
      <c r="G539" s="3" cm="1">
        <f t="array" ref="G539">SUMPRODUCT(IF(((H539-$F$4:$F$515)/$B$10)&lt;=-1,0,IF(((H539-$F$4:$F$515)/$B$10)&gt;=1,1,(15/16)*(((H539-$F$4:$F$515)/$B$10)-(2/3)*((H539-$F$4:$F$515)/$B$10)^3+(1/5)*((H539-$F$4:$F$515)/$B$10)^5+8/15))))/COUNT($F$4:$F$515)</f>
        <v>5.7444557860678392E-3</v>
      </c>
      <c r="H539" s="1">
        <f t="shared" si="26"/>
        <v>-6.3828550312169191E-2</v>
      </c>
      <c r="K539" s="2">
        <v>0.01</v>
      </c>
      <c r="L539" s="3">
        <f t="shared" si="24"/>
        <v>-3.8928550312169082E-2</v>
      </c>
    </row>
    <row r="540" spans="4:12" ht="14.4" customHeight="1">
      <c r="D540" s="7">
        <v>42769</v>
      </c>
      <c r="E540" s="8">
        <v>5.57</v>
      </c>
      <c r="F540" s="8">
        <f t="shared" si="25"/>
        <v>1.7954933166123351E-4</v>
      </c>
      <c r="G540" s="8" cm="1">
        <f t="array" ref="G540">SUMPRODUCT(IF(((H540-$F$4:$F$515)/$B$10)&lt;=-1,0,IF(((H540-$F$4:$F$515)/$B$10)&gt;=1,1,(15/16)*(((H540-$F$4:$F$515)/$B$10)-(2/3)*((H540-$F$4:$F$515)/$B$10)^3+(1/5)*((H540-$F$4:$F$515)/$B$10)^5+8/15))))/COUNT($F$4:$F$515)</f>
        <v>5.960891555743939E-3</v>
      </c>
      <c r="H540" s="9">
        <f t="shared" si="26"/>
        <v>-6.3528550312169196E-2</v>
      </c>
      <c r="K540" s="7">
        <v>0.01</v>
      </c>
      <c r="L540" s="8">
        <f t="shared" si="24"/>
        <v>-3.8928550312169082E-2</v>
      </c>
    </row>
    <row r="541" spans="4:12" ht="14.4" customHeight="1">
      <c r="D541" s="2">
        <v>42772</v>
      </c>
      <c r="E541" s="3">
        <v>5.5090000000000003</v>
      </c>
      <c r="F541" s="3">
        <f t="shared" si="25"/>
        <v>-1.1011935448613168E-2</v>
      </c>
      <c r="G541" s="3" cm="1">
        <f t="array" ref="G541">SUMPRODUCT(IF(((H541-$F$4:$F$515)/$B$10)&lt;=-1,0,IF(((H541-$F$4:$F$515)/$B$10)&gt;=1,1,(15/16)*(((H541-$F$4:$F$515)/$B$10)-(2/3)*((H541-$F$4:$F$515)/$B$10)^3+(1/5)*((H541-$F$4:$F$515)/$B$10)^5+8/15))))/COUNT($F$4:$F$515)</f>
        <v>6.1880271391347328E-3</v>
      </c>
      <c r="H541" s="1">
        <f t="shared" si="26"/>
        <v>-6.3228550312169202E-2</v>
      </c>
      <c r="K541" s="2">
        <v>0.01</v>
      </c>
      <c r="L541" s="3">
        <f t="shared" si="24"/>
        <v>-3.8928550312169082E-2</v>
      </c>
    </row>
    <row r="542" spans="4:12" ht="14.4" customHeight="1">
      <c r="D542" s="7">
        <v>42773</v>
      </c>
      <c r="E542" s="8">
        <v>5.399</v>
      </c>
      <c r="F542" s="8">
        <f t="shared" si="25"/>
        <v>-2.016936725442962E-2</v>
      </c>
      <c r="G542" s="8" cm="1">
        <f t="array" ref="G542">SUMPRODUCT(IF(((H542-$F$4:$F$515)/$B$10)&lt;=-1,0,IF(((H542-$F$4:$F$515)/$B$10)&gt;=1,1,(15/16)*(((H542-$F$4:$F$515)/$B$10)-(2/3)*((H542-$F$4:$F$515)/$B$10)^3+(1/5)*((H542-$F$4:$F$515)/$B$10)^5+8/15))))/COUNT($F$4:$F$515)</f>
        <v>6.4254637720846247E-3</v>
      </c>
      <c r="H542" s="9">
        <f t="shared" si="26"/>
        <v>-6.2928550312169207E-2</v>
      </c>
      <c r="K542" s="7">
        <v>0.01</v>
      </c>
      <c r="L542" s="8">
        <f t="shared" si="24"/>
        <v>-3.8928550312169082E-2</v>
      </c>
    </row>
    <row r="543" spans="4:12" ht="14.4" customHeight="1">
      <c r="D543" s="2">
        <v>42774</v>
      </c>
      <c r="E543" s="3">
        <v>5.2279999999999998</v>
      </c>
      <c r="F543" s="3">
        <f t="shared" si="25"/>
        <v>-3.2184955474174479E-2</v>
      </c>
      <c r="G543" s="3" cm="1">
        <f t="array" ref="G543">SUMPRODUCT(IF(((H543-$F$4:$F$515)/$B$10)&lt;=-1,0,IF(((H543-$F$4:$F$515)/$B$10)&gt;=1,1,(15/16)*(((H543-$F$4:$F$515)/$B$10)-(2/3)*((H543-$F$4:$F$515)/$B$10)^3+(1/5)*((H543-$F$4:$F$515)/$B$10)^5+8/15))))/COUNT($F$4:$F$515)</f>
        <v>6.6727704213695631E-3</v>
      </c>
      <c r="H543" s="1">
        <f t="shared" si="26"/>
        <v>-6.2628550312169212E-2</v>
      </c>
      <c r="K543" s="2">
        <v>0.01</v>
      </c>
      <c r="L543" s="3">
        <f t="shared" si="24"/>
        <v>-3.8928550312169082E-2</v>
      </c>
    </row>
    <row r="544" spans="4:12" ht="14.4" customHeight="1">
      <c r="D544" s="7">
        <v>42775</v>
      </c>
      <c r="E544" s="8">
        <v>5.327</v>
      </c>
      <c r="F544" s="8">
        <f t="shared" si="25"/>
        <v>1.875943217288658E-2</v>
      </c>
      <c r="G544" s="8" cm="1">
        <f t="array" ref="G544">SUMPRODUCT(IF(((H544-$F$4:$F$515)/$B$10)&lt;=-1,0,IF(((H544-$F$4:$F$515)/$B$10)&gt;=1,1,(15/16)*(((H544-$F$4:$F$515)/$B$10)-(2/3)*((H544-$F$4:$F$515)/$B$10)^3+(1/5)*((H544-$F$4:$F$515)/$B$10)^5+8/15))))/COUNT($F$4:$F$515)</f>
        <v>6.9292932148852472E-3</v>
      </c>
      <c r="H544" s="9">
        <f t="shared" si="26"/>
        <v>-6.2328550312169211E-2</v>
      </c>
      <c r="K544" s="7">
        <v>0.01</v>
      </c>
      <c r="L544" s="8">
        <f t="shared" si="24"/>
        <v>-3.8928550312169082E-2</v>
      </c>
    </row>
    <row r="545" spans="4:12" ht="14.4" customHeight="1">
      <c r="D545" s="2">
        <v>42776</v>
      </c>
      <c r="E545" s="3">
        <v>5.45</v>
      </c>
      <c r="F545" s="3">
        <f t="shared" si="25"/>
        <v>2.2827380740290688E-2</v>
      </c>
      <c r="G545" s="3" cm="1">
        <f t="array" ref="G545">SUMPRODUCT(IF(((H545-$F$4:$F$515)/$B$10)&lt;=-1,0,IF(((H545-$F$4:$F$515)/$B$10)&gt;=1,1,(15/16)*(((H545-$F$4:$F$515)/$B$10)-(2/3)*((H545-$F$4:$F$515)/$B$10)^3+(1/5)*((H545-$F$4:$F$515)/$B$10)^5+8/15))))/COUNT($F$4:$F$515)</f>
        <v>7.1941804193600195E-3</v>
      </c>
      <c r="H545" s="1">
        <f t="shared" si="26"/>
        <v>-6.2028550312169209E-2</v>
      </c>
      <c r="K545" s="2">
        <v>0.01</v>
      </c>
      <c r="L545" s="3">
        <f t="shared" si="24"/>
        <v>-3.8928550312169082E-2</v>
      </c>
    </row>
    <row r="546" spans="4:12" ht="14.4" customHeight="1">
      <c r="D546" s="7">
        <v>42779</v>
      </c>
      <c r="E546" s="8">
        <v>5.4790000000000001</v>
      </c>
      <c r="F546" s="8">
        <f t="shared" si="25"/>
        <v>5.3069938811259841E-3</v>
      </c>
      <c r="G546" s="8" cm="1">
        <f t="array" ref="G546">SUMPRODUCT(IF(((H546-$F$4:$F$515)/$B$10)&lt;=-1,0,IF(((H546-$F$4:$F$515)/$B$10)&gt;=1,1,(15/16)*(((H546-$F$4:$F$515)/$B$10)-(2/3)*((H546-$F$4:$F$515)/$B$10)^3+(1/5)*((H546-$F$4:$F$515)/$B$10)^5+8/15))))/COUNT($F$4:$F$515)</f>
        <v>7.4664074987050265E-3</v>
      </c>
      <c r="H546" s="9">
        <f t="shared" si="26"/>
        <v>-6.1728550312169207E-2</v>
      </c>
      <c r="K546" s="7">
        <v>0.01</v>
      </c>
      <c r="L546" s="8">
        <f t="shared" si="24"/>
        <v>-3.8928550312169082E-2</v>
      </c>
    </row>
    <row r="547" spans="4:12" ht="14.4" customHeight="1">
      <c r="D547" s="2">
        <v>42780</v>
      </c>
      <c r="E547" s="3">
        <v>5.52</v>
      </c>
      <c r="F547" s="3">
        <f t="shared" si="25"/>
        <v>7.4552577327251799E-3</v>
      </c>
      <c r="G547" s="3" cm="1">
        <f t="array" ref="G547">SUMPRODUCT(IF(((H547-$F$4:$F$515)/$B$10)&lt;=-1,0,IF(((H547-$F$4:$F$515)/$B$10)&gt;=1,1,(15/16)*(((H547-$F$4:$F$515)/$B$10)-(2/3)*((H547-$F$4:$F$515)/$B$10)^3+(1/5)*((H547-$F$4:$F$515)/$B$10)^5+8/15))))/COUNT($F$4:$F$515)</f>
        <v>7.7448859711679845E-3</v>
      </c>
      <c r="H547" s="1">
        <f t="shared" si="26"/>
        <v>-6.1428550312169206E-2</v>
      </c>
      <c r="K547" s="2">
        <v>0.01</v>
      </c>
      <c r="L547" s="3">
        <f t="shared" si="24"/>
        <v>-3.8928550312169082E-2</v>
      </c>
    </row>
    <row r="548" spans="4:12" ht="14.4" customHeight="1">
      <c r="D548" s="7">
        <v>42781</v>
      </c>
      <c r="E548" s="8">
        <v>5.64</v>
      </c>
      <c r="F548" s="8">
        <f t="shared" si="25"/>
        <v>2.1506205220963682E-2</v>
      </c>
      <c r="G548" s="8" cm="1">
        <f t="array" ref="G548">SUMPRODUCT(IF(((H548-$F$4:$F$515)/$B$10)&lt;=-1,0,IF(((H548-$F$4:$F$515)/$B$10)&gt;=1,1,(15/16)*(((H548-$F$4:$F$515)/$B$10)-(2/3)*((H548-$F$4:$F$515)/$B$10)^3+(1/5)*((H548-$F$4:$F$515)/$B$10)^5+8/15))))/COUNT($F$4:$F$515)</f>
        <v>8.0294333709472095E-3</v>
      </c>
      <c r="H548" s="9">
        <f t="shared" si="26"/>
        <v>-6.1128550312169204E-2</v>
      </c>
      <c r="K548" s="7">
        <v>0.01</v>
      </c>
      <c r="L548" s="8">
        <f t="shared" si="24"/>
        <v>-3.8928550312169082E-2</v>
      </c>
    </row>
    <row r="549" spans="4:12" ht="14.4" customHeight="1">
      <c r="D549" s="2">
        <v>42782</v>
      </c>
      <c r="E549" s="3">
        <v>5.601</v>
      </c>
      <c r="F549" s="3">
        <f t="shared" si="25"/>
        <v>-6.938912282272244E-3</v>
      </c>
      <c r="G549" s="3" cm="1">
        <f t="array" ref="G549">SUMPRODUCT(IF(((H549-$F$4:$F$515)/$B$10)&lt;=-1,0,IF(((H549-$F$4:$F$515)/$B$10)&gt;=1,1,(15/16)*(((H549-$F$4:$F$515)/$B$10)-(2/3)*((H549-$F$4:$F$515)/$B$10)^3+(1/5)*((H549-$F$4:$F$515)/$B$10)^5+8/15))))/COUNT($F$4:$F$515)</f>
        <v>8.3203680400421708E-3</v>
      </c>
      <c r="H549" s="1">
        <f t="shared" si="26"/>
        <v>-6.0828550312169202E-2</v>
      </c>
      <c r="K549" s="2">
        <v>0.01</v>
      </c>
      <c r="L549" s="3">
        <f t="shared" si="24"/>
        <v>-3.8928550312169082E-2</v>
      </c>
    </row>
    <row r="550" spans="4:12" ht="14.4" customHeight="1">
      <c r="D550" s="7">
        <v>42783</v>
      </c>
      <c r="E550" s="8">
        <v>5.4969999999999999</v>
      </c>
      <c r="F550" s="8">
        <f t="shared" si="25"/>
        <v>-1.8742664349171999E-2</v>
      </c>
      <c r="G550" s="8" cm="1">
        <f t="array" ref="G550">SUMPRODUCT(IF(((H550-$F$4:$F$515)/$B$10)&lt;=-1,0,IF(((H550-$F$4:$F$515)/$B$10)&gt;=1,1,(15/16)*(((H550-$F$4:$F$515)/$B$10)-(2/3)*((H550-$F$4:$F$515)/$B$10)^3+(1/5)*((H550-$F$4:$F$515)/$B$10)^5+8/15))))/COUNT($F$4:$F$515)</f>
        <v>8.6177286212163664E-3</v>
      </c>
      <c r="H550" s="9">
        <f t="shared" si="26"/>
        <v>-6.0528550312169201E-2</v>
      </c>
      <c r="K550" s="7">
        <v>0.01</v>
      </c>
      <c r="L550" s="8">
        <f t="shared" si="24"/>
        <v>-3.8928550312169082E-2</v>
      </c>
    </row>
    <row r="551" spans="4:12" ht="14.4" customHeight="1">
      <c r="D551" s="2">
        <v>42786</v>
      </c>
      <c r="E551" s="3">
        <v>5.3929999999999998</v>
      </c>
      <c r="F551" s="3">
        <f t="shared" si="25"/>
        <v>-1.9100672523433389E-2</v>
      </c>
      <c r="G551" s="3" cm="1">
        <f t="array" ref="G551">SUMPRODUCT(IF(((H551-$F$4:$F$515)/$B$10)&lt;=-1,0,IF(((H551-$F$4:$F$515)/$B$10)&gt;=1,1,(15/16)*(((H551-$F$4:$F$515)/$B$10)-(2/3)*((H551-$F$4:$F$515)/$B$10)^3+(1/5)*((H551-$F$4:$F$515)/$B$10)^5+8/15))))/COUNT($F$4:$F$515)</f>
        <v>8.9212872745438321E-3</v>
      </c>
      <c r="H551" s="1">
        <f t="shared" si="26"/>
        <v>-6.0228550312169199E-2</v>
      </c>
      <c r="K551" s="2">
        <v>0.01</v>
      </c>
      <c r="L551" s="3">
        <f t="shared" si="24"/>
        <v>-3.8928550312169082E-2</v>
      </c>
    </row>
    <row r="552" spans="4:12" ht="14.4" customHeight="1">
      <c r="D552" s="7">
        <v>42787</v>
      </c>
      <c r="E552" s="8">
        <v>5.3360000000000003</v>
      </c>
      <c r="F552" s="8">
        <f t="shared" si="25"/>
        <v>-1.0625507741767235E-2</v>
      </c>
      <c r="G552" s="8" cm="1">
        <f t="array" ref="G552">SUMPRODUCT(IF(((H552-$F$4:$F$515)/$B$10)&lt;=-1,0,IF(((H552-$F$4:$F$515)/$B$10)&gt;=1,1,(15/16)*(((H552-$F$4:$F$515)/$B$10)-(2/3)*((H552-$F$4:$F$515)/$B$10)^3+(1/5)*((H552-$F$4:$F$515)/$B$10)^5+8/15))))/COUNT($F$4:$F$515)</f>
        <v>9.2305849436358275E-3</v>
      </c>
      <c r="H552" s="9">
        <f t="shared" si="26"/>
        <v>-5.9928550312169197E-2</v>
      </c>
      <c r="K552" s="7">
        <v>0.01</v>
      </c>
      <c r="L552" s="8">
        <f t="shared" si="24"/>
        <v>-3.8928550312169082E-2</v>
      </c>
    </row>
    <row r="553" spans="4:12" ht="14.4" customHeight="1">
      <c r="D553" s="2">
        <v>42788</v>
      </c>
      <c r="E553" s="3">
        <v>5.3010000000000002</v>
      </c>
      <c r="F553" s="3">
        <f t="shared" si="25"/>
        <v>-6.580826607653625E-3</v>
      </c>
      <c r="G553" s="3" cm="1">
        <f t="array" ref="G553">SUMPRODUCT(IF(((H553-$F$4:$F$515)/$B$10)&lt;=-1,0,IF(((H553-$F$4:$F$515)/$B$10)&gt;=1,1,(15/16)*(((H553-$F$4:$F$515)/$B$10)-(2/3)*((H553-$F$4:$F$515)/$B$10)^3+(1/5)*((H553-$F$4:$F$515)/$B$10)^5+8/15))))/COUNT($F$4:$F$515)</f>
        <v>9.545182016681213E-3</v>
      </c>
      <c r="H553" s="1">
        <f t="shared" si="26"/>
        <v>-5.9628550312169196E-2</v>
      </c>
      <c r="K553" s="2">
        <v>0.01</v>
      </c>
      <c r="L553" s="3">
        <f t="shared" si="24"/>
        <v>-3.8928550312169082E-2</v>
      </c>
    </row>
    <row r="554" spans="4:12" ht="14.4" customHeight="1">
      <c r="D554" s="7">
        <v>42789</v>
      </c>
      <c r="E554" s="8">
        <v>5.2460000000000004</v>
      </c>
      <c r="F554" s="8">
        <f t="shared" si="25"/>
        <v>-1.0429600560987094E-2</v>
      </c>
      <c r="G554" s="8" cm="1">
        <f t="array" ref="G554">SUMPRODUCT(IF(((H554-$F$4:$F$515)/$B$10)&lt;=-1,0,IF(((H554-$F$4:$F$515)/$B$10)&gt;=1,1,(15/16)*(((H554-$F$4:$F$515)/$B$10)-(2/3)*((H554-$F$4:$F$515)/$B$10)^3+(1/5)*((H554-$F$4:$F$515)/$B$10)^5+8/15))))/COUNT($F$4:$F$515)</f>
        <v>9.8650659053068999E-3</v>
      </c>
      <c r="H554" s="9">
        <f t="shared" si="26"/>
        <v>-5.9328550312169194E-2</v>
      </c>
      <c r="K554" s="7">
        <v>0.01</v>
      </c>
      <c r="L554" s="8">
        <f t="shared" si="24"/>
        <v>-3.8928550312169082E-2</v>
      </c>
    </row>
    <row r="555" spans="4:12" ht="14.4" customHeight="1">
      <c r="D555" s="2">
        <v>42790</v>
      </c>
      <c r="E555" s="3">
        <v>5.15</v>
      </c>
      <c r="F555" s="3">
        <f t="shared" si="25"/>
        <v>-1.8469166769037215E-2</v>
      </c>
      <c r="G555" s="3" cm="1">
        <f t="array" ref="G555">SUMPRODUCT(IF(((H555-$F$4:$F$515)/$B$10)&lt;=-1,0,IF(((H555-$F$4:$F$515)/$B$10)&gt;=1,1,(15/16)*(((H555-$F$4:$F$515)/$B$10)-(2/3)*((H555-$F$4:$F$515)/$B$10)^3+(1/5)*((H555-$F$4:$F$515)/$B$10)^5+8/15))))/COUNT($F$4:$F$515)</f>
        <v>1.0190104170457315E-2</v>
      </c>
      <c r="H555" s="1">
        <f t="shared" si="26"/>
        <v>-5.9028550312169192E-2</v>
      </c>
      <c r="K555" s="2">
        <v>0.01</v>
      </c>
      <c r="L555" s="3">
        <f t="shared" si="24"/>
        <v>-3.8928550312169082E-2</v>
      </c>
    </row>
    <row r="556" spans="4:12" ht="14.4" customHeight="1">
      <c r="D556" s="7">
        <v>42793</v>
      </c>
      <c r="E556" s="8">
        <v>5.17</v>
      </c>
      <c r="F556" s="8">
        <f t="shared" si="25"/>
        <v>3.8759738446929397E-3</v>
      </c>
      <c r="G556" s="8" cm="1">
        <f t="array" ref="G556">SUMPRODUCT(IF(((H556-$F$4:$F$515)/$B$10)&lt;=-1,0,IF(((H556-$F$4:$F$515)/$B$10)&gt;=1,1,(15/16)*(((H556-$F$4:$F$515)/$B$10)-(2/3)*((H556-$F$4:$F$515)/$B$10)^3+(1/5)*((H556-$F$4:$F$515)/$B$10)^5+8/15))))/COUNT($F$4:$F$515)</f>
        <v>1.0519961362950454E-2</v>
      </c>
      <c r="H556" s="9">
        <f t="shared" si="26"/>
        <v>-5.8728550312169191E-2</v>
      </c>
      <c r="K556" s="7">
        <v>0.01</v>
      </c>
      <c r="L556" s="8">
        <f t="shared" si="24"/>
        <v>-3.8928550312169082E-2</v>
      </c>
    </row>
    <row r="557" spans="4:12" ht="14.4" customHeight="1">
      <c r="D557" s="2">
        <v>42794</v>
      </c>
      <c r="E557" s="3">
        <v>5.1509999999999998</v>
      </c>
      <c r="F557" s="3">
        <f t="shared" si="25"/>
        <v>-3.6818179368896635E-3</v>
      </c>
      <c r="G557" s="3" cm="1">
        <f t="array" ref="G557">SUMPRODUCT(IF(((H557-$F$4:$F$515)/$B$10)&lt;=-1,0,IF(((H557-$F$4:$F$515)/$B$10)&gt;=1,1,(15/16)*(((H557-$F$4:$F$515)/$B$10)-(2/3)*((H557-$F$4:$F$515)/$B$10)^3+(1/5)*((H557-$F$4:$F$515)/$B$10)^5+8/15))))/COUNT($F$4:$F$515)</f>
        <v>1.0854350121936317E-2</v>
      </c>
      <c r="H557" s="1">
        <f t="shared" si="26"/>
        <v>-5.8428550312169189E-2</v>
      </c>
      <c r="K557" s="2">
        <v>0.01</v>
      </c>
      <c r="L557" s="3">
        <f t="shared" si="24"/>
        <v>-3.8928550312169082E-2</v>
      </c>
    </row>
    <row r="558" spans="4:12" ht="14.4" customHeight="1">
      <c r="D558" s="7">
        <v>42795</v>
      </c>
      <c r="E558" s="8">
        <v>5.3609999999999998</v>
      </c>
      <c r="F558" s="8">
        <f t="shared" si="25"/>
        <v>3.9959654261952408E-2</v>
      </c>
      <c r="G558" s="8" cm="1">
        <f t="array" ref="G558">SUMPRODUCT(IF(((H558-$F$4:$F$515)/$B$10)&lt;=-1,0,IF(((H558-$F$4:$F$515)/$B$10)&gt;=1,1,(15/16)*(((H558-$F$4:$F$515)/$B$10)-(2/3)*((H558-$F$4:$F$515)/$B$10)^3+(1/5)*((H558-$F$4:$F$515)/$B$10)^5+8/15))))/COUNT($F$4:$F$515)</f>
        <v>1.1193450546097434E-2</v>
      </c>
      <c r="H558" s="9">
        <f t="shared" si="26"/>
        <v>-5.8128550312169187E-2</v>
      </c>
      <c r="K558" s="7">
        <v>0.01</v>
      </c>
      <c r="L558" s="8">
        <f t="shared" si="24"/>
        <v>-3.8928550312169082E-2</v>
      </c>
    </row>
    <row r="559" spans="4:12" ht="14.4" customHeight="1">
      <c r="D559" s="2">
        <v>42796</v>
      </c>
      <c r="E559" s="3">
        <v>5.3739999999999997</v>
      </c>
      <c r="F559" s="3">
        <f t="shared" si="25"/>
        <v>2.4219853478986827E-3</v>
      </c>
      <c r="G559" s="3" cm="1">
        <f t="array" ref="G559">SUMPRODUCT(IF(((H559-$F$4:$F$515)/$B$10)&lt;=-1,0,IF(((H559-$F$4:$F$515)/$B$10)&gt;=1,1,(15/16)*(((H559-$F$4:$F$515)/$B$10)-(2/3)*((H559-$F$4:$F$515)/$B$10)^3+(1/5)*((H559-$F$4:$F$515)/$B$10)^5+8/15))))/COUNT($F$4:$F$515)</f>
        <v>1.1537369603713066E-2</v>
      </c>
      <c r="H559" s="1">
        <f t="shared" si="26"/>
        <v>-5.7828550312169186E-2</v>
      </c>
      <c r="K559" s="2">
        <v>0.01</v>
      </c>
      <c r="L559" s="3">
        <f t="shared" si="24"/>
        <v>-3.8928550312169082E-2</v>
      </c>
    </row>
    <row r="560" spans="4:12" ht="14.4" customHeight="1">
      <c r="D560" s="7">
        <v>42797</v>
      </c>
      <c r="E560" s="8">
        <v>5.5279999999999996</v>
      </c>
      <c r="F560" s="8">
        <f t="shared" si="25"/>
        <v>2.8253576272069227E-2</v>
      </c>
      <c r="G560" s="8" cm="1">
        <f t="array" ref="G560">SUMPRODUCT(IF(((H560-$F$4:$F$515)/$B$10)&lt;=-1,0,IF(((H560-$F$4:$F$515)/$B$10)&gt;=1,1,(15/16)*(((H560-$F$4:$F$515)/$B$10)-(2/3)*((H560-$F$4:$F$515)/$B$10)^3+(1/5)*((H560-$F$4:$F$515)/$B$10)^5+8/15))))/COUNT($F$4:$F$515)</f>
        <v>1.1886109484038159E-2</v>
      </c>
      <c r="H560" s="9">
        <f t="shared" si="26"/>
        <v>-5.7528550312169184E-2</v>
      </c>
      <c r="K560" s="7">
        <v>0.01</v>
      </c>
      <c r="L560" s="8">
        <f t="shared" si="24"/>
        <v>-3.8928550312169082E-2</v>
      </c>
    </row>
    <row r="561" spans="4:12" ht="14.4" customHeight="1">
      <c r="D561" s="2">
        <v>42800</v>
      </c>
      <c r="E561" s="3">
        <v>5.4349999999999996</v>
      </c>
      <c r="F561" s="3">
        <f t="shared" si="25"/>
        <v>-1.6966565892196025E-2</v>
      </c>
      <c r="G561" s="3" cm="1">
        <f t="array" ref="G561">SUMPRODUCT(IF(((H561-$F$4:$F$515)/$B$10)&lt;=-1,0,IF(((H561-$F$4:$F$515)/$B$10)&gt;=1,1,(15/16)*(((H561-$F$4:$F$515)/$B$10)-(2/3)*((H561-$F$4:$F$515)/$B$10)^3+(1/5)*((H561-$F$4:$F$515)/$B$10)^5+8/15))))/COUNT($F$4:$F$515)</f>
        <v>1.2240105221079468E-2</v>
      </c>
      <c r="H561" s="1">
        <f t="shared" si="26"/>
        <v>-5.7228550312169182E-2</v>
      </c>
      <c r="K561" s="2">
        <v>0.01</v>
      </c>
      <c r="L561" s="3">
        <f t="shared" si="24"/>
        <v>-3.8928550312169082E-2</v>
      </c>
    </row>
    <row r="562" spans="4:12" ht="14.4" customHeight="1">
      <c r="D562" s="7">
        <v>42801</v>
      </c>
      <c r="E562" s="8">
        <v>5.41</v>
      </c>
      <c r="F562" s="8">
        <f t="shared" si="25"/>
        <v>-4.6104277147824974E-3</v>
      </c>
      <c r="G562" s="8" cm="1">
        <f t="array" ref="G562">SUMPRODUCT(IF(((H562-$F$4:$F$515)/$B$10)&lt;=-1,0,IF(((H562-$F$4:$F$515)/$B$10)&gt;=1,1,(15/16)*(((H562-$F$4:$F$515)/$B$10)-(2/3)*((H562-$F$4:$F$515)/$B$10)^3+(1/5)*((H562-$F$4:$F$515)/$B$10)^5+8/15))))/COUNT($F$4:$F$515)</f>
        <v>1.2599988720247351E-2</v>
      </c>
      <c r="H562" s="9">
        <f t="shared" si="26"/>
        <v>-5.6928550312169181E-2</v>
      </c>
      <c r="K562" s="7">
        <v>0.01</v>
      </c>
      <c r="L562" s="8">
        <f t="shared" si="24"/>
        <v>-3.8928550312169082E-2</v>
      </c>
    </row>
    <row r="563" spans="4:12" ht="14.4" customHeight="1">
      <c r="D563" s="2">
        <v>42802</v>
      </c>
      <c r="E563" s="3">
        <v>5.4349999999999996</v>
      </c>
      <c r="F563" s="3">
        <f t="shared" si="25"/>
        <v>4.6104277147825598E-3</v>
      </c>
      <c r="G563" s="3" cm="1">
        <f t="array" ref="G563">SUMPRODUCT(IF(((H563-$F$4:$F$515)/$B$10)&lt;=-1,0,IF(((H563-$F$4:$F$515)/$B$10)&gt;=1,1,(15/16)*(((H563-$F$4:$F$515)/$B$10)-(2/3)*((H563-$F$4:$F$515)/$B$10)^3+(1/5)*((H563-$F$4:$F$515)/$B$10)^5+8/15))))/COUNT($F$4:$F$515)</f>
        <v>1.2966294435059963E-2</v>
      </c>
      <c r="H563" s="1">
        <f t="shared" si="26"/>
        <v>-5.6628550312169179E-2</v>
      </c>
      <c r="K563" s="2">
        <v>0.01</v>
      </c>
      <c r="L563" s="3">
        <f t="shared" si="24"/>
        <v>-3.8928550312169082E-2</v>
      </c>
    </row>
    <row r="564" spans="4:12" ht="14.4" customHeight="1">
      <c r="D564" s="7">
        <v>42803</v>
      </c>
      <c r="E564" s="8">
        <v>5.5670000000000002</v>
      </c>
      <c r="F564" s="8">
        <f t="shared" si="25"/>
        <v>2.3996788628198141E-2</v>
      </c>
      <c r="G564" s="8" cm="1">
        <f t="array" ref="G564">SUMPRODUCT(IF(((H564-$F$4:$F$515)/$B$10)&lt;=-1,0,IF(((H564-$F$4:$F$515)/$B$10)&gt;=1,1,(15/16)*(((H564-$F$4:$F$515)/$B$10)-(2/3)*((H564-$F$4:$F$515)/$B$10)^3+(1/5)*((H564-$F$4:$F$515)/$B$10)^5+8/15))))/COUNT($F$4:$F$515)</f>
        <v>1.3339966945718826E-2</v>
      </c>
      <c r="H564" s="9">
        <f t="shared" si="26"/>
        <v>-5.6328550312169177E-2</v>
      </c>
      <c r="K564" s="7">
        <v>0.01</v>
      </c>
      <c r="L564" s="8">
        <f t="shared" si="24"/>
        <v>-3.8928550312169082E-2</v>
      </c>
    </row>
    <row r="565" spans="4:12" ht="14.4" customHeight="1">
      <c r="D565" s="2">
        <v>42804</v>
      </c>
      <c r="E565" s="3">
        <v>5.6589999999999998</v>
      </c>
      <c r="F565" s="3">
        <f t="shared" si="25"/>
        <v>1.6390888959015963E-2</v>
      </c>
      <c r="G565" s="3" cm="1">
        <f t="array" ref="G565">SUMPRODUCT(IF(((H565-$F$4:$F$515)/$B$10)&lt;=-1,0,IF(((H565-$F$4:$F$515)/$B$10)&gt;=1,1,(15/16)*(((H565-$F$4:$F$515)/$B$10)-(2/3)*((H565-$F$4:$F$515)/$B$10)^3+(1/5)*((H565-$F$4:$F$515)/$B$10)^5+8/15))))/COUNT($F$4:$F$515)</f>
        <v>1.3722251074445815E-2</v>
      </c>
      <c r="H565" s="1">
        <f t="shared" si="26"/>
        <v>-5.6028550312169176E-2</v>
      </c>
      <c r="K565" s="2">
        <v>0.01</v>
      </c>
      <c r="L565" s="3">
        <f t="shared" si="24"/>
        <v>-3.8928550312169082E-2</v>
      </c>
    </row>
    <row r="566" spans="4:12" ht="14.4" customHeight="1">
      <c r="D566" s="7">
        <v>42807</v>
      </c>
      <c r="E566" s="8">
        <v>5.6630000000000003</v>
      </c>
      <c r="F566" s="8">
        <f t="shared" si="25"/>
        <v>7.0658897128118598E-4</v>
      </c>
      <c r="G566" s="8" cm="1">
        <f t="array" ref="G566">SUMPRODUCT(IF(((H566-$F$4:$F$515)/$B$10)&lt;=-1,0,IF(((H566-$F$4:$F$515)/$B$10)&gt;=1,1,(15/16)*(((H566-$F$4:$F$515)/$B$10)-(2/3)*((H566-$F$4:$F$515)/$B$10)^3+(1/5)*((H566-$F$4:$F$515)/$B$10)^5+8/15))))/COUNT($F$4:$F$515)</f>
        <v>1.4114039791354329E-2</v>
      </c>
      <c r="H566" s="9">
        <f t="shared" si="26"/>
        <v>-5.5728550312169174E-2</v>
      </c>
      <c r="K566" s="7">
        <v>0.01</v>
      </c>
      <c r="L566" s="8">
        <f t="shared" si="24"/>
        <v>-3.8928550312169082E-2</v>
      </c>
    </row>
    <row r="567" spans="4:12" ht="14.4" customHeight="1">
      <c r="D567" s="2">
        <v>42808</v>
      </c>
      <c r="E567" s="3">
        <v>5.6130000000000004</v>
      </c>
      <c r="F567" s="3">
        <f t="shared" si="25"/>
        <v>-8.8684511716056822E-3</v>
      </c>
      <c r="G567" s="3" cm="1">
        <f t="array" ref="G567">SUMPRODUCT(IF(((H567-$F$4:$F$515)/$B$10)&lt;=-1,0,IF(((H567-$F$4:$F$515)/$B$10)&gt;=1,1,(15/16)*(((H567-$F$4:$F$515)/$B$10)-(2/3)*((H567-$F$4:$F$515)/$B$10)^3+(1/5)*((H567-$F$4:$F$515)/$B$10)^5+8/15))))/COUNT($F$4:$F$515)</f>
        <v>1.4515464023512073E-2</v>
      </c>
      <c r="H567" s="1">
        <f t="shared" si="26"/>
        <v>-5.5428550312169172E-2</v>
      </c>
      <c r="K567" s="2">
        <v>0.01</v>
      </c>
      <c r="L567" s="3">
        <f t="shared" si="24"/>
        <v>-3.8928550312169082E-2</v>
      </c>
    </row>
    <row r="568" spans="4:12" ht="14.4" customHeight="1">
      <c r="D568" s="7">
        <v>42809</v>
      </c>
      <c r="E568" s="8">
        <v>5.66</v>
      </c>
      <c r="F568" s="8">
        <f t="shared" si="25"/>
        <v>8.3385562550292638E-3</v>
      </c>
      <c r="G568" s="8" cm="1">
        <f t="array" ref="G568">SUMPRODUCT(IF(((H568-$F$4:$F$515)/$B$10)&lt;=-1,0,IF(((H568-$F$4:$F$515)/$B$10)&gt;=1,1,(15/16)*(((H568-$F$4:$F$515)/$B$10)-(2/3)*((H568-$F$4:$F$515)/$B$10)^3+(1/5)*((H568-$F$4:$F$515)/$B$10)^5+8/15))))/COUNT($F$4:$F$515)</f>
        <v>1.4926432970883011E-2</v>
      </c>
      <c r="H568" s="9">
        <f t="shared" si="26"/>
        <v>-5.5128550312169171E-2</v>
      </c>
      <c r="K568" s="7">
        <v>0.01</v>
      </c>
      <c r="L568" s="8">
        <f t="shared" si="24"/>
        <v>-3.8928550312169082E-2</v>
      </c>
    </row>
    <row r="569" spans="4:12" ht="14.4" customHeight="1">
      <c r="D569" s="2">
        <v>42810</v>
      </c>
      <c r="E569" s="3">
        <v>5.6669999999999998</v>
      </c>
      <c r="F569" s="3">
        <f t="shared" si="25"/>
        <v>1.2359849723905013E-3</v>
      </c>
      <c r="G569" s="3" cm="1">
        <f t="array" ref="G569">SUMPRODUCT(IF(((H569-$F$4:$F$515)/$B$10)&lt;=-1,0,IF(((H569-$F$4:$F$515)/$B$10)&gt;=1,1,(15/16)*(((H569-$F$4:$F$515)/$B$10)-(2/3)*((H569-$F$4:$F$515)/$B$10)^3+(1/5)*((H569-$F$4:$F$515)/$B$10)^5+8/15))))/COUNT($F$4:$F$515)</f>
        <v>1.5346370729753221E-2</v>
      </c>
      <c r="H569" s="1">
        <f t="shared" si="26"/>
        <v>-5.4828550312169169E-2</v>
      </c>
      <c r="K569" s="2">
        <v>0.01</v>
      </c>
      <c r="L569" s="3">
        <f t="shared" si="24"/>
        <v>-3.8928550312169082E-2</v>
      </c>
    </row>
    <row r="570" spans="4:12" ht="14.4" customHeight="1">
      <c r="D570" s="7">
        <v>42811</v>
      </c>
      <c r="E570" s="8">
        <v>5.6680000000000001</v>
      </c>
      <c r="F570" s="8">
        <f t="shared" si="25"/>
        <v>1.7644464095180527E-4</v>
      </c>
      <c r="G570" s="8" cm="1">
        <f t="array" ref="G570">SUMPRODUCT(IF(((H570-$F$4:$F$515)/$B$10)&lt;=-1,0,IF(((H570-$F$4:$F$515)/$B$10)&gt;=1,1,(15/16)*(((H570-$F$4:$F$515)/$B$10)-(2/3)*((H570-$F$4:$F$515)/$B$10)^3+(1/5)*((H570-$F$4:$F$515)/$B$10)^5+8/15))))/COUNT($F$4:$F$515)</f>
        <v>1.577404206100565E-2</v>
      </c>
      <c r="H570" s="9">
        <f t="shared" si="26"/>
        <v>-5.4528550312169168E-2</v>
      </c>
      <c r="K570" s="7">
        <v>0.01</v>
      </c>
      <c r="L570" s="8">
        <f t="shared" si="24"/>
        <v>-3.8928550312169082E-2</v>
      </c>
    </row>
    <row r="571" spans="4:12" ht="14.4" customHeight="1">
      <c r="D571" s="2">
        <v>42814</v>
      </c>
      <c r="E571" s="3">
        <v>5.6319999999999997</v>
      </c>
      <c r="F571" s="3">
        <f t="shared" si="25"/>
        <v>-6.371702972692783E-3</v>
      </c>
      <c r="G571" s="3" cm="1">
        <f t="array" ref="G571">SUMPRODUCT(IF(((H571-$F$4:$F$515)/$B$10)&lt;=-1,0,IF(((H571-$F$4:$F$515)/$B$10)&gt;=1,1,(15/16)*(((H571-$F$4:$F$515)/$B$10)-(2/3)*((H571-$F$4:$F$515)/$B$10)^3+(1/5)*((H571-$F$4:$F$515)/$B$10)^5+8/15))))/COUNT($F$4:$F$515)</f>
        <v>1.6208076929998962E-2</v>
      </c>
      <c r="H571" s="1">
        <f t="shared" si="26"/>
        <v>-5.4228550312169166E-2</v>
      </c>
      <c r="K571" s="2">
        <v>0.01</v>
      </c>
      <c r="L571" s="3">
        <f t="shared" si="24"/>
        <v>-3.8928550312169082E-2</v>
      </c>
    </row>
    <row r="572" spans="4:12" ht="14.4" customHeight="1">
      <c r="D572" s="7">
        <v>42815</v>
      </c>
      <c r="E572" s="8">
        <v>5.6280000000000001</v>
      </c>
      <c r="F572" s="8">
        <f t="shared" si="25"/>
        <v>-7.1047960359856292E-4</v>
      </c>
      <c r="G572" s="8" cm="1">
        <f t="array" ref="G572">SUMPRODUCT(IF(((H572-$F$4:$F$515)/$B$10)&lt;=-1,0,IF(((H572-$F$4:$F$515)/$B$10)&gt;=1,1,(15/16)*(((H572-$F$4:$F$515)/$B$10)-(2/3)*((H572-$F$4:$F$515)/$B$10)^3+(1/5)*((H572-$F$4:$F$515)/$B$10)^5+8/15))))/COUNT($F$4:$F$515)</f>
        <v>1.6647054833483395E-2</v>
      </c>
      <c r="H572" s="9">
        <f t="shared" si="26"/>
        <v>-5.3928550312169164E-2</v>
      </c>
      <c r="K572" s="7">
        <v>0.01</v>
      </c>
      <c r="L572" s="8">
        <f t="shared" si="24"/>
        <v>-3.8928550312169082E-2</v>
      </c>
    </row>
    <row r="573" spans="4:12" ht="14.4" customHeight="1">
      <c r="D573" s="2">
        <v>42816</v>
      </c>
      <c r="E573" s="3">
        <v>5.5789999999999997</v>
      </c>
      <c r="F573" s="3">
        <f t="shared" si="25"/>
        <v>-8.7445903887513748E-3</v>
      </c>
      <c r="G573" s="3" cm="1">
        <f t="array" ref="G573">SUMPRODUCT(IF(((H573-$F$4:$F$515)/$B$10)&lt;=-1,0,IF(((H573-$F$4:$F$515)/$B$10)&gt;=1,1,(15/16)*(((H573-$F$4:$F$515)/$B$10)-(2/3)*((H573-$F$4:$F$515)/$B$10)^3+(1/5)*((H573-$F$4:$F$515)/$B$10)^5+8/15))))/COUNT($F$4:$F$515)</f>
        <v>1.7089673868957572E-2</v>
      </c>
      <c r="H573" s="1">
        <f t="shared" si="26"/>
        <v>-5.3628550312169163E-2</v>
      </c>
      <c r="K573" s="2">
        <v>0.01</v>
      </c>
      <c r="L573" s="3">
        <f t="shared" si="24"/>
        <v>-3.8928550312169082E-2</v>
      </c>
    </row>
    <row r="574" spans="4:12" ht="14.4" customHeight="1">
      <c r="D574" s="7">
        <v>42817</v>
      </c>
      <c r="E574" s="8">
        <v>5.64</v>
      </c>
      <c r="F574" s="8">
        <f t="shared" si="25"/>
        <v>1.0874516646576285E-2</v>
      </c>
      <c r="G574" s="8" cm="1">
        <f t="array" ref="G574">SUMPRODUCT(IF(((H574-$F$4:$F$515)/$B$10)&lt;=-1,0,IF(((H574-$F$4:$F$515)/$B$10)&gt;=1,1,(15/16)*(((H574-$F$4:$F$515)/$B$10)-(2/3)*((H574-$F$4:$F$515)/$B$10)^3+(1/5)*((H574-$F$4:$F$515)/$B$10)^5+8/15))))/COUNT($F$4:$F$515)</f>
        <v>1.7535693526617074E-2</v>
      </c>
      <c r="H574" s="9">
        <f t="shared" si="26"/>
        <v>-5.3328550312169161E-2</v>
      </c>
      <c r="K574" s="7">
        <v>0.01</v>
      </c>
      <c r="L574" s="8">
        <f t="shared" si="24"/>
        <v>-3.8928550312169082E-2</v>
      </c>
    </row>
    <row r="575" spans="4:12" ht="14.4" customHeight="1">
      <c r="D575" s="2">
        <v>42818</v>
      </c>
      <c r="E575" s="3">
        <v>5.5910000000000002</v>
      </c>
      <c r="F575" s="3">
        <f t="shared" si="25"/>
        <v>-8.7259034654592147E-3</v>
      </c>
      <c r="G575" s="3" cm="1">
        <f t="array" ref="G575">SUMPRODUCT(IF(((H575-$F$4:$F$515)/$B$10)&lt;=-1,0,IF(((H575-$F$4:$F$515)/$B$10)&gt;=1,1,(15/16)*(((H575-$F$4:$F$515)/$B$10)-(2/3)*((H575-$F$4:$F$515)/$B$10)^3+(1/5)*((H575-$F$4:$F$515)/$B$10)^5+8/15))))/COUNT($F$4:$F$515)</f>
        <v>1.7985741371849905E-2</v>
      </c>
      <c r="H575" s="1">
        <f t="shared" si="26"/>
        <v>-5.3028550312169159E-2</v>
      </c>
      <c r="K575" s="2">
        <v>0.01</v>
      </c>
      <c r="L575" s="3">
        <f t="shared" si="24"/>
        <v>-3.8928550312169082E-2</v>
      </c>
    </row>
    <row r="576" spans="4:12" ht="14.4" customHeight="1">
      <c r="D576" s="7">
        <v>42821</v>
      </c>
      <c r="E576" s="8">
        <v>5.5629999999999997</v>
      </c>
      <c r="F576" s="8">
        <f t="shared" si="25"/>
        <v>-5.0206309513522139E-3</v>
      </c>
      <c r="G576" s="8" cm="1">
        <f t="array" ref="G576">SUMPRODUCT(IF(((H576-$F$4:$F$515)/$B$10)&lt;=-1,0,IF(((H576-$F$4:$F$515)/$B$10)&gt;=1,1,(15/16)*(((H576-$F$4:$F$515)/$B$10)-(2/3)*((H576-$F$4:$F$515)/$B$10)^3+(1/5)*((H576-$F$4:$F$515)/$B$10)^5+8/15))))/COUNT($F$4:$F$515)</f>
        <v>1.8440932432398211E-2</v>
      </c>
      <c r="H576" s="9">
        <f t="shared" si="26"/>
        <v>-5.2728550312169158E-2</v>
      </c>
      <c r="K576" s="7">
        <v>0.01</v>
      </c>
      <c r="L576" s="8">
        <f t="shared" si="24"/>
        <v>-3.8928550312169082E-2</v>
      </c>
    </row>
    <row r="577" spans="4:12" ht="14.4" customHeight="1">
      <c r="D577" s="2">
        <v>42822</v>
      </c>
      <c r="E577" s="3">
        <v>5.6710000000000003</v>
      </c>
      <c r="F577" s="3">
        <f t="shared" si="25"/>
        <v>1.922793793873499E-2</v>
      </c>
      <c r="G577" s="3" cm="1">
        <f t="array" ref="G577">SUMPRODUCT(IF(((H577-$F$4:$F$515)/$B$10)&lt;=-1,0,IF(((H577-$F$4:$F$515)/$B$10)&gt;=1,1,(15/16)*(((H577-$F$4:$F$515)/$B$10)-(2/3)*((H577-$F$4:$F$515)/$B$10)^3+(1/5)*((H577-$F$4:$F$515)/$B$10)^5+8/15))))/COUNT($F$4:$F$515)</f>
        <v>1.890274610658417E-2</v>
      </c>
      <c r="H577" s="1">
        <f t="shared" si="26"/>
        <v>-5.2428550312169156E-2</v>
      </c>
      <c r="K577" s="2">
        <v>0.01</v>
      </c>
      <c r="L577" s="3">
        <f t="shared" si="24"/>
        <v>-3.8928550312169082E-2</v>
      </c>
    </row>
    <row r="578" spans="4:12" ht="14.4" customHeight="1">
      <c r="D578" s="7">
        <v>42823</v>
      </c>
      <c r="E578" s="8">
        <v>5.6779999999999999</v>
      </c>
      <c r="F578" s="8">
        <f t="shared" si="25"/>
        <v>1.2335890188884457E-3</v>
      </c>
      <c r="G578" s="8" cm="1">
        <f t="array" ref="G578">SUMPRODUCT(IF(((H578-$F$4:$F$515)/$B$10)&lt;=-1,0,IF(((H578-$F$4:$F$515)/$B$10)&gt;=1,1,(15/16)*(((H578-$F$4:$F$515)/$B$10)-(2/3)*((H578-$F$4:$F$515)/$B$10)^3+(1/5)*((H578-$F$4:$F$515)/$B$10)^5+8/15))))/COUNT($F$4:$F$515)</f>
        <v>1.9372642420245195E-2</v>
      </c>
      <c r="H578" s="9">
        <f t="shared" si="26"/>
        <v>-5.2128550312169154E-2</v>
      </c>
      <c r="K578" s="7">
        <v>0.01</v>
      </c>
      <c r="L578" s="8">
        <f t="shared" si="24"/>
        <v>-3.8928550312169082E-2</v>
      </c>
    </row>
    <row r="579" spans="4:12" ht="14.4" customHeight="1">
      <c r="D579" s="2">
        <v>42824</v>
      </c>
      <c r="E579" s="3">
        <v>5.7229999999999999</v>
      </c>
      <c r="F579" s="3">
        <f t="shared" si="25"/>
        <v>7.8940853761856663E-3</v>
      </c>
      <c r="G579" s="3" cm="1">
        <f t="array" ref="G579">SUMPRODUCT(IF(((H579-$F$4:$F$515)/$B$10)&lt;=-1,0,IF(((H579-$F$4:$F$515)/$B$10)&gt;=1,1,(15/16)*(((H579-$F$4:$F$515)/$B$10)-(2/3)*((H579-$F$4:$F$515)/$B$10)^3+(1/5)*((H579-$F$4:$F$515)/$B$10)^5+8/15))))/COUNT($F$4:$F$515)</f>
        <v>1.9851687826712087E-2</v>
      </c>
      <c r="H579" s="1">
        <f t="shared" si="26"/>
        <v>-5.1828550312169153E-2</v>
      </c>
      <c r="K579" s="2">
        <v>0.01</v>
      </c>
      <c r="L579" s="3">
        <f t="shared" si="24"/>
        <v>-3.8928550312169082E-2</v>
      </c>
    </row>
    <row r="580" spans="4:12" ht="14.4" customHeight="1">
      <c r="D580" s="7">
        <v>42825</v>
      </c>
      <c r="E580" s="8">
        <v>5.7759999999999998</v>
      </c>
      <c r="F580" s="8">
        <f t="shared" si="25"/>
        <v>9.2182581635599191E-3</v>
      </c>
      <c r="G580" s="8" cm="1">
        <f t="array" ref="G580">SUMPRODUCT(IF(((H580-$F$4:$F$515)/$B$10)&lt;=-1,0,IF(((H580-$F$4:$F$515)/$B$10)&gt;=1,1,(15/16)*(((H580-$F$4:$F$515)/$B$10)-(2/3)*((H580-$F$4:$F$515)/$B$10)^3+(1/5)*((H580-$F$4:$F$515)/$B$10)^5+8/15))))/COUNT($F$4:$F$515)</f>
        <v>2.0340737414377266E-2</v>
      </c>
      <c r="H580" s="9">
        <f t="shared" si="26"/>
        <v>-5.1528550312169151E-2</v>
      </c>
      <c r="K580" s="7">
        <v>0.01</v>
      </c>
      <c r="L580" s="8">
        <f t="shared" ref="L580:L643" si="27">$B$7</f>
        <v>-3.8928550312169082E-2</v>
      </c>
    </row>
    <row r="581" spans="4:12" ht="14.4" customHeight="1">
      <c r="D581" s="2">
        <v>42828</v>
      </c>
      <c r="E581" s="3">
        <v>5.6890000000000001</v>
      </c>
      <c r="F581" s="3">
        <f t="shared" ref="F581:F644" si="28">LN(E581/E580)</f>
        <v>-1.5176915822014692E-2</v>
      </c>
      <c r="G581" s="3" cm="1">
        <f t="array" ref="G581">SUMPRODUCT(IF(((H581-$F$4:$F$515)/$B$10)&lt;=-1,0,IF(((H581-$F$4:$F$515)/$B$10)&gt;=1,1,(15/16)*(((H581-$F$4:$F$515)/$B$10)-(2/3)*((H581-$F$4:$F$515)/$B$10)^3+(1/5)*((H581-$F$4:$F$515)/$B$10)^5+8/15))))/COUNT($F$4:$F$515)</f>
        <v>2.0840954390113908E-2</v>
      </c>
      <c r="H581" s="1">
        <f t="shared" ref="H581:H644" si="29">H580+0.0003</f>
        <v>-5.1228550312169149E-2</v>
      </c>
      <c r="K581" s="2">
        <v>0.01</v>
      </c>
      <c r="L581" s="3">
        <f t="shared" si="27"/>
        <v>-3.8928550312169082E-2</v>
      </c>
    </row>
    <row r="582" spans="4:12" ht="14.4" customHeight="1">
      <c r="D582" s="7">
        <v>42829</v>
      </c>
      <c r="E582" s="8">
        <v>5.65</v>
      </c>
      <c r="F582" s="8">
        <f t="shared" si="28"/>
        <v>-6.8789406101607414E-3</v>
      </c>
      <c r="G582" s="8" cm="1">
        <f t="array" ref="G582">SUMPRODUCT(IF(((H582-$F$4:$F$515)/$B$10)&lt;=-1,0,IF(((H582-$F$4:$F$515)/$B$10)&gt;=1,1,(15/16)*(((H582-$F$4:$F$515)/$B$10)-(2/3)*((H582-$F$4:$F$515)/$B$10)^3+(1/5)*((H582-$F$4:$F$515)/$B$10)^5+8/15))))/COUNT($F$4:$F$515)</f>
        <v>2.1352869640632592E-2</v>
      </c>
      <c r="H582" s="9">
        <f t="shared" si="29"/>
        <v>-5.0928550312169148E-2</v>
      </c>
      <c r="K582" s="7">
        <v>0.01</v>
      </c>
      <c r="L582" s="8">
        <f t="shared" si="27"/>
        <v>-3.8928550312169082E-2</v>
      </c>
    </row>
    <row r="583" spans="4:12" ht="14.4" customHeight="1">
      <c r="D583" s="2">
        <v>42830</v>
      </c>
      <c r="E583" s="3">
        <v>5.6619999999999999</v>
      </c>
      <c r="F583" s="3">
        <f t="shared" si="28"/>
        <v>2.1216415313581889E-3</v>
      </c>
      <c r="G583" s="3" cm="1">
        <f t="array" ref="G583">SUMPRODUCT(IF(((H583-$F$4:$F$515)/$B$10)&lt;=-1,0,IF(((H583-$F$4:$F$515)/$B$10)&gt;=1,1,(15/16)*(((H583-$F$4:$F$515)/$B$10)-(2/3)*((H583-$F$4:$F$515)/$B$10)^3+(1/5)*((H583-$F$4:$F$515)/$B$10)^5+8/15))))/COUNT($F$4:$F$515)</f>
        <v>2.1876586283478081E-2</v>
      </c>
      <c r="H583" s="1">
        <f t="shared" si="29"/>
        <v>-5.0628550312169146E-2</v>
      </c>
      <c r="K583" s="2">
        <v>0.01</v>
      </c>
      <c r="L583" s="3">
        <f t="shared" si="27"/>
        <v>-3.8928550312169082E-2</v>
      </c>
    </row>
    <row r="584" spans="4:12" ht="14.4" customHeight="1">
      <c r="D584" s="7">
        <v>42831</v>
      </c>
      <c r="E584" s="8">
        <v>5.7060000000000004</v>
      </c>
      <c r="F584" s="8">
        <f t="shared" si="28"/>
        <v>7.7410661016004776E-3</v>
      </c>
      <c r="G584" s="8" cm="1">
        <f t="array" ref="G584">SUMPRODUCT(IF(((H584-$F$4:$F$515)/$B$10)&lt;=-1,0,IF(((H584-$F$4:$F$515)/$B$10)&gt;=1,1,(15/16)*(((H584-$F$4:$F$515)/$B$10)-(2/3)*((H584-$F$4:$F$515)/$B$10)^3+(1/5)*((H584-$F$4:$F$515)/$B$10)^5+8/15))))/COUNT($F$4:$F$515)</f>
        <v>2.2412348660732939E-2</v>
      </c>
      <c r="H584" s="9">
        <f t="shared" si="29"/>
        <v>-5.0328550312169144E-2</v>
      </c>
      <c r="K584" s="7">
        <v>0.01</v>
      </c>
      <c r="L584" s="8">
        <f t="shared" si="27"/>
        <v>-3.8928550312169082E-2</v>
      </c>
    </row>
    <row r="585" spans="4:12" ht="14.4" customHeight="1">
      <c r="D585" s="2">
        <v>42832</v>
      </c>
      <c r="E585" s="3">
        <v>5.75</v>
      </c>
      <c r="F585" s="3">
        <f t="shared" si="28"/>
        <v>7.6816020179506965E-3</v>
      </c>
      <c r="G585" s="3" cm="1">
        <f t="array" ref="G585">SUMPRODUCT(IF(((H585-$F$4:$F$515)/$B$10)&lt;=-1,0,IF(((H585-$F$4:$F$515)/$B$10)&gt;=1,1,(15/16)*(((H585-$F$4:$F$515)/$B$10)-(2/3)*((H585-$F$4:$F$515)/$B$10)^3+(1/5)*((H585-$F$4:$F$515)/$B$10)^5+8/15))))/COUNT($F$4:$F$515)</f>
        <v>2.2960131292176927E-2</v>
      </c>
      <c r="H585" s="1">
        <f t="shared" si="29"/>
        <v>-5.0028550312169143E-2</v>
      </c>
      <c r="K585" s="2">
        <v>0.01</v>
      </c>
      <c r="L585" s="3">
        <f t="shared" si="27"/>
        <v>-3.8928550312169082E-2</v>
      </c>
    </row>
    <row r="586" spans="4:12" ht="14.4" customHeight="1">
      <c r="D586" s="7">
        <v>42835</v>
      </c>
      <c r="E586" s="8">
        <v>5.6970000000000001</v>
      </c>
      <c r="F586" s="8">
        <f t="shared" si="28"/>
        <v>-9.2601343110005722E-3</v>
      </c>
      <c r="G586" s="8" cm="1">
        <f t="array" ref="G586">SUMPRODUCT(IF(((H586-$F$4:$F$515)/$B$10)&lt;=-1,0,IF(((H586-$F$4:$F$515)/$B$10)&gt;=1,1,(15/16)*(((H586-$F$4:$F$515)/$B$10)-(2/3)*((H586-$F$4:$F$515)/$B$10)^3+(1/5)*((H586-$F$4:$F$515)/$B$10)^5+8/15))))/COUNT($F$4:$F$515)</f>
        <v>2.3520159132876584E-2</v>
      </c>
      <c r="H586" s="9">
        <f t="shared" si="29"/>
        <v>-4.9728550312169141E-2</v>
      </c>
      <c r="K586" s="7">
        <v>0.01</v>
      </c>
      <c r="L586" s="8">
        <f t="shared" si="27"/>
        <v>-3.8928550312169082E-2</v>
      </c>
    </row>
    <row r="587" spans="4:12" ht="14.4" customHeight="1">
      <c r="D587" s="2">
        <v>42836</v>
      </c>
      <c r="E587" s="3">
        <v>5.6260000000000003</v>
      </c>
      <c r="F587" s="3">
        <f t="shared" si="28"/>
        <v>-1.2541010430593325E-2</v>
      </c>
      <c r="G587" s="3" cm="1">
        <f t="array" ref="G587">SUMPRODUCT(IF(((H587-$F$4:$F$515)/$B$10)&lt;=-1,0,IF(((H587-$F$4:$F$515)/$B$10)&gt;=1,1,(15/16)*(((H587-$F$4:$F$515)/$B$10)-(2/3)*((H587-$F$4:$F$515)/$B$10)^3+(1/5)*((H587-$F$4:$F$515)/$B$10)^5+8/15))))/COUNT($F$4:$F$515)</f>
        <v>2.4092693582269533E-2</v>
      </c>
      <c r="H587" s="1">
        <f t="shared" si="29"/>
        <v>-4.9428550312169139E-2</v>
      </c>
      <c r="K587" s="2">
        <v>0.01</v>
      </c>
      <c r="L587" s="3">
        <f t="shared" si="27"/>
        <v>-3.8928550312169082E-2</v>
      </c>
    </row>
    <row r="588" spans="4:12" ht="14.4" customHeight="1">
      <c r="D588" s="7">
        <v>42837</v>
      </c>
      <c r="E588" s="8">
        <v>5.5439999999999996</v>
      </c>
      <c r="F588" s="8">
        <f t="shared" si="28"/>
        <v>-1.4682448180063179E-2</v>
      </c>
      <c r="G588" s="8" cm="1">
        <f t="array" ref="G588">SUMPRODUCT(IF(((H588-$F$4:$F$515)/$B$10)&lt;=-1,0,IF(((H588-$F$4:$F$515)/$B$10)&gt;=1,1,(15/16)*(((H588-$F$4:$F$515)/$B$10)-(2/3)*((H588-$F$4:$F$515)/$B$10)^3+(1/5)*((H588-$F$4:$F$515)/$B$10)^5+8/15))))/COUNT($F$4:$F$515)</f>
        <v>2.4677734450749028E-2</v>
      </c>
      <c r="H588" s="9">
        <f t="shared" si="29"/>
        <v>-4.9128550312169138E-2</v>
      </c>
      <c r="K588" s="7">
        <v>0.01</v>
      </c>
      <c r="L588" s="8">
        <f t="shared" si="27"/>
        <v>-3.8928550312169082E-2</v>
      </c>
    </row>
    <row r="589" spans="4:12" ht="14.4" customHeight="1">
      <c r="D589" s="2">
        <v>42838</v>
      </c>
      <c r="E589" s="3">
        <v>5.41</v>
      </c>
      <c r="F589" s="3">
        <f t="shared" si="28"/>
        <v>-2.4467169029211845E-2</v>
      </c>
      <c r="G589" s="3" cm="1">
        <f t="array" ref="G589">SUMPRODUCT(IF(((H589-$F$4:$F$515)/$B$10)&lt;=-1,0,IF(((H589-$F$4:$F$515)/$B$10)&gt;=1,1,(15/16)*(((H589-$F$4:$F$515)/$B$10)-(2/3)*((H589-$F$4:$F$515)/$B$10)^3+(1/5)*((H589-$F$4:$F$515)/$B$10)^5+8/15))))/COUNT($F$4:$F$515)</f>
        <v>2.5275101055918663E-2</v>
      </c>
      <c r="H589" s="1">
        <f t="shared" si="29"/>
        <v>-4.8828550312169136E-2</v>
      </c>
      <c r="K589" s="2">
        <v>0.01</v>
      </c>
      <c r="L589" s="3">
        <f t="shared" si="27"/>
        <v>-3.8928550312169082E-2</v>
      </c>
    </row>
    <row r="590" spans="4:12" ht="14.4" customHeight="1">
      <c r="D590" s="7">
        <v>42843</v>
      </c>
      <c r="E590" s="8">
        <v>5.4189999999999996</v>
      </c>
      <c r="F590" s="8">
        <f t="shared" si="28"/>
        <v>1.6622037255868681E-3</v>
      </c>
      <c r="G590" s="8" cm="1">
        <f t="array" ref="G590">SUMPRODUCT(IF(((H590-$F$4:$F$515)/$B$10)&lt;=-1,0,IF(((H590-$F$4:$F$515)/$B$10)&gt;=1,1,(15/16)*(((H590-$F$4:$F$515)/$B$10)-(2/3)*((H590-$F$4:$F$515)/$B$10)^3+(1/5)*((H590-$F$4:$F$515)/$B$10)^5+8/15))))/COUNT($F$4:$F$515)</f>
        <v>2.5884734280896507E-2</v>
      </c>
      <c r="H590" s="9">
        <f t="shared" si="29"/>
        <v>-4.8528550312169134E-2</v>
      </c>
      <c r="K590" s="7">
        <v>0.01</v>
      </c>
      <c r="L590" s="8">
        <f t="shared" si="27"/>
        <v>-3.8928550312169082E-2</v>
      </c>
    </row>
    <row r="591" spans="4:12" ht="14.4" customHeight="1">
      <c r="D591" s="2">
        <v>42844</v>
      </c>
      <c r="E591" s="3">
        <v>5.5380000000000003</v>
      </c>
      <c r="F591" s="3">
        <f t="shared" si="28"/>
        <v>2.1722128164793061E-2</v>
      </c>
      <c r="G591" s="3" cm="1">
        <f t="array" ref="G591">SUMPRODUCT(IF(((H591-$F$4:$F$515)/$B$10)&lt;=-1,0,IF(((H591-$F$4:$F$515)/$B$10)&gt;=1,1,(15/16)*(((H591-$F$4:$F$515)/$B$10)-(2/3)*((H591-$F$4:$F$515)/$B$10)^3+(1/5)*((H591-$F$4:$F$515)/$B$10)^5+8/15))))/COUNT($F$4:$F$515)</f>
        <v>2.650624669557422E-2</v>
      </c>
      <c r="H591" s="1">
        <f t="shared" si="29"/>
        <v>-4.8228550312169133E-2</v>
      </c>
      <c r="K591" s="2">
        <v>0.01</v>
      </c>
      <c r="L591" s="3">
        <f t="shared" si="27"/>
        <v>-3.8928550312169082E-2</v>
      </c>
    </row>
    <row r="592" spans="4:12" ht="14.4" customHeight="1">
      <c r="D592" s="7">
        <v>42845</v>
      </c>
      <c r="E592" s="8">
        <v>5.702</v>
      </c>
      <c r="F592" s="8">
        <f t="shared" si="28"/>
        <v>2.9183565741710046E-2</v>
      </c>
      <c r="G592" s="8" cm="1">
        <f t="array" ref="G592">SUMPRODUCT(IF(((H592-$F$4:$F$515)/$B$10)&lt;=-1,0,IF(((H592-$F$4:$F$515)/$B$10)&gt;=1,1,(15/16)*(((H592-$F$4:$F$515)/$B$10)-(2/3)*((H592-$F$4:$F$515)/$B$10)^3+(1/5)*((H592-$F$4:$F$515)/$B$10)^5+8/15))))/COUNT($F$4:$F$515)</f>
        <v>2.7138907631576968E-2</v>
      </c>
      <c r="H592" s="9">
        <f t="shared" si="29"/>
        <v>-4.7928550312169131E-2</v>
      </c>
      <c r="K592" s="7">
        <v>0.01</v>
      </c>
      <c r="L592" s="8">
        <f t="shared" si="27"/>
        <v>-3.8928550312169082E-2</v>
      </c>
    </row>
    <row r="593" spans="4:12" ht="14.4" customHeight="1">
      <c r="D593" s="2">
        <v>42846</v>
      </c>
      <c r="E593" s="3">
        <v>5.7930000000000001</v>
      </c>
      <c r="F593" s="3">
        <f t="shared" si="28"/>
        <v>1.5833301624006875E-2</v>
      </c>
      <c r="G593" s="3" cm="1">
        <f t="array" ref="G593">SUMPRODUCT(IF(((H593-$F$4:$F$515)/$B$10)&lt;=-1,0,IF(((H593-$F$4:$F$515)/$B$10)&gt;=1,1,(15/16)*(((H593-$F$4:$F$515)/$B$10)-(2/3)*((H593-$F$4:$F$515)/$B$10)^3+(1/5)*((H593-$F$4:$F$515)/$B$10)^5+8/15))))/COUNT($F$4:$F$515)</f>
        <v>2.7781851942096505E-2</v>
      </c>
      <c r="H593" s="1">
        <f t="shared" si="29"/>
        <v>-4.7628550312169129E-2</v>
      </c>
      <c r="K593" s="2">
        <v>0.01</v>
      </c>
      <c r="L593" s="3">
        <f t="shared" si="27"/>
        <v>-3.8928550312169082E-2</v>
      </c>
    </row>
    <row r="594" spans="4:12" ht="14.4" customHeight="1">
      <c r="D594" s="7">
        <v>42849</v>
      </c>
      <c r="E594" s="8">
        <v>6.3159999999999998</v>
      </c>
      <c r="F594" s="8">
        <f t="shared" si="28"/>
        <v>8.6435804278908512E-2</v>
      </c>
      <c r="G594" s="8" cm="1">
        <f t="array" ref="G594">SUMPRODUCT(IF(((H594-$F$4:$F$515)/$B$10)&lt;=-1,0,IF(((H594-$F$4:$F$515)/$B$10)&gt;=1,1,(15/16)*(((H594-$F$4:$F$515)/$B$10)-(2/3)*((H594-$F$4:$F$515)/$B$10)^3+(1/5)*((H594-$F$4:$F$515)/$B$10)^5+8/15))))/COUNT($F$4:$F$515)</f>
        <v>2.8434155177310752E-2</v>
      </c>
      <c r="H594" s="9">
        <f t="shared" si="29"/>
        <v>-4.7328550312169128E-2</v>
      </c>
      <c r="K594" s="7">
        <v>0.01</v>
      </c>
      <c r="L594" s="8">
        <f t="shared" si="27"/>
        <v>-3.8928550312169082E-2</v>
      </c>
    </row>
    <row r="595" spans="4:12" ht="14.4" customHeight="1">
      <c r="D595" s="2">
        <v>42850</v>
      </c>
      <c r="E595" s="3">
        <v>6.3479999999999999</v>
      </c>
      <c r="F595" s="3">
        <f t="shared" si="28"/>
        <v>5.0537062707669382E-3</v>
      </c>
      <c r="G595" s="3" cm="1">
        <f t="array" ref="G595">SUMPRODUCT(IF(((H595-$F$4:$F$515)/$B$10)&lt;=-1,0,IF(((H595-$F$4:$F$515)/$B$10)&gt;=1,1,(15/16)*(((H595-$F$4:$F$515)/$B$10)-(2/3)*((H595-$F$4:$F$515)/$B$10)^3+(1/5)*((H595-$F$4:$F$515)/$B$10)^5+8/15))))/COUNT($F$4:$F$515)</f>
        <v>2.9095011142381125E-2</v>
      </c>
      <c r="H595" s="1">
        <f t="shared" si="29"/>
        <v>-4.7028550312169126E-2</v>
      </c>
      <c r="K595" s="2">
        <v>0.01</v>
      </c>
      <c r="L595" s="3">
        <f t="shared" si="27"/>
        <v>-3.8928550312169082E-2</v>
      </c>
    </row>
    <row r="596" spans="4:12" ht="14.4" customHeight="1">
      <c r="D596" s="7">
        <v>42851</v>
      </c>
      <c r="E596" s="8">
        <v>6.4039999999999999</v>
      </c>
      <c r="F596" s="8">
        <f t="shared" si="28"/>
        <v>8.7829924703056225E-3</v>
      </c>
      <c r="G596" s="8" cm="1">
        <f t="array" ref="G596">SUMPRODUCT(IF(((H596-$F$4:$F$515)/$B$10)&lt;=-1,0,IF(((H596-$F$4:$F$515)/$B$10)&gt;=1,1,(15/16)*(((H596-$F$4:$F$515)/$B$10)-(2/3)*((H596-$F$4:$F$515)/$B$10)^3+(1/5)*((H596-$F$4:$F$515)/$B$10)^5+8/15))))/COUNT($F$4:$F$515)</f>
        <v>2.976519965999893E-2</v>
      </c>
      <c r="H596" s="9">
        <f t="shared" si="29"/>
        <v>-4.6728550312169125E-2</v>
      </c>
      <c r="K596" s="7">
        <v>0.01</v>
      </c>
      <c r="L596" s="8">
        <f t="shared" si="27"/>
        <v>-3.8928550312169082E-2</v>
      </c>
    </row>
    <row r="597" spans="4:12" ht="14.4" customHeight="1">
      <c r="D597" s="2">
        <v>42852</v>
      </c>
      <c r="E597" s="3">
        <v>6.3579999999999997</v>
      </c>
      <c r="F597" s="3">
        <f t="shared" si="28"/>
        <v>-7.2089326458573411E-3</v>
      </c>
      <c r="G597" s="3" cm="1">
        <f t="array" ref="G597">SUMPRODUCT(IF(((H597-$F$4:$F$515)/$B$10)&lt;=-1,0,IF(((H597-$F$4:$F$515)/$B$10)&gt;=1,1,(15/16)*(((H597-$F$4:$F$515)/$B$10)-(2/3)*((H597-$F$4:$F$515)/$B$10)^3+(1/5)*((H597-$F$4:$F$515)/$B$10)^5+8/15))))/COUNT($F$4:$F$515)</f>
        <v>3.0446076564362226E-2</v>
      </c>
      <c r="H597" s="1">
        <f t="shared" si="29"/>
        <v>-4.6428550312169123E-2</v>
      </c>
      <c r="K597" s="2">
        <v>0.01</v>
      </c>
      <c r="L597" s="3">
        <f t="shared" si="27"/>
        <v>-3.8928550312169082E-2</v>
      </c>
    </row>
    <row r="598" spans="4:12" ht="14.4" customHeight="1">
      <c r="D598" s="7">
        <v>42853</v>
      </c>
      <c r="E598" s="8">
        <v>6.3869999999999996</v>
      </c>
      <c r="F598" s="8">
        <f t="shared" si="28"/>
        <v>4.5508120908411276E-3</v>
      </c>
      <c r="G598" s="8" cm="1">
        <f t="array" ref="G598">SUMPRODUCT(IF(((H598-$F$4:$F$515)/$B$10)&lt;=-1,0,IF(((H598-$F$4:$F$515)/$B$10)&gt;=1,1,(15/16)*(((H598-$F$4:$F$515)/$B$10)-(2/3)*((H598-$F$4:$F$515)/$B$10)^3+(1/5)*((H598-$F$4:$F$515)/$B$10)^5+8/15))))/COUNT($F$4:$F$515)</f>
        <v>3.1138039884979721E-2</v>
      </c>
      <c r="H598" s="9">
        <f t="shared" si="29"/>
        <v>-4.6128550312169121E-2</v>
      </c>
      <c r="K598" s="7">
        <v>0.01</v>
      </c>
      <c r="L598" s="8">
        <f t="shared" si="27"/>
        <v>-3.8928550312169082E-2</v>
      </c>
    </row>
    <row r="599" spans="4:12" ht="14.4" customHeight="1">
      <c r="D599" s="2">
        <v>42857</v>
      </c>
      <c r="E599" s="3">
        <v>6.44</v>
      </c>
      <c r="F599" s="3">
        <f t="shared" si="28"/>
        <v>8.2638655368103362E-3</v>
      </c>
      <c r="G599" s="3" cm="1">
        <f t="array" ref="G599">SUMPRODUCT(IF(((H599-$F$4:$F$515)/$B$10)&lt;=-1,0,IF(((H599-$F$4:$F$515)/$B$10)&gt;=1,1,(15/16)*(((H599-$F$4:$F$515)/$B$10)-(2/3)*((H599-$F$4:$F$515)/$B$10)^3+(1/5)*((H599-$F$4:$F$515)/$B$10)^5+8/15))))/COUNT($F$4:$F$515)</f>
        <v>3.1841087321368186E-2</v>
      </c>
      <c r="H599" s="1">
        <f t="shared" si="29"/>
        <v>-4.582855031216912E-2</v>
      </c>
      <c r="K599" s="2">
        <v>0.01</v>
      </c>
      <c r="L599" s="3">
        <f t="shared" si="27"/>
        <v>-3.8928550312169082E-2</v>
      </c>
    </row>
    <row r="600" spans="4:12" ht="14.4" customHeight="1">
      <c r="D600" s="7">
        <v>42858</v>
      </c>
      <c r="E600" s="8">
        <v>6.423</v>
      </c>
      <c r="F600" s="8">
        <f t="shared" si="28"/>
        <v>-2.6432418406068352E-3</v>
      </c>
      <c r="G600" s="8" cm="1">
        <f t="array" ref="G600">SUMPRODUCT(IF(((H600-$F$4:$F$515)/$B$10)&lt;=-1,0,IF(((H600-$F$4:$F$515)/$B$10)&gt;=1,1,(15/16)*(((H600-$F$4:$F$515)/$B$10)-(2/3)*((H600-$F$4:$F$515)/$B$10)^3+(1/5)*((H600-$F$4:$F$515)/$B$10)^5+8/15))))/COUNT($F$4:$F$515)</f>
        <v>3.2554914404525445E-2</v>
      </c>
      <c r="H600" s="9">
        <f t="shared" si="29"/>
        <v>-4.5528550312169118E-2</v>
      </c>
      <c r="K600" s="7">
        <v>0.01</v>
      </c>
      <c r="L600" s="8">
        <f t="shared" si="27"/>
        <v>-3.8928550312169082E-2</v>
      </c>
    </row>
    <row r="601" spans="4:12" ht="14.4" customHeight="1">
      <c r="D601" s="2">
        <v>42859</v>
      </c>
      <c r="E601" s="3">
        <v>6.4850000000000003</v>
      </c>
      <c r="F601" s="3">
        <f t="shared" si="28"/>
        <v>9.6065194927518038E-3</v>
      </c>
      <c r="G601" s="3" cm="1">
        <f t="array" ref="G601">SUMPRODUCT(IF(((H601-$F$4:$F$515)/$B$10)&lt;=-1,0,IF(((H601-$F$4:$F$515)/$B$10)&gt;=1,1,(15/16)*(((H601-$F$4:$F$515)/$B$10)-(2/3)*((H601-$F$4:$F$515)/$B$10)^3+(1/5)*((H601-$F$4:$F$515)/$B$10)^5+8/15))))/COUNT($F$4:$F$515)</f>
        <v>3.3278998887140643E-2</v>
      </c>
      <c r="H601" s="1">
        <f t="shared" si="29"/>
        <v>-4.5228550312169116E-2</v>
      </c>
      <c r="K601" s="2">
        <v>0.01</v>
      </c>
      <c r="L601" s="3">
        <f t="shared" si="27"/>
        <v>-3.8928550312169082E-2</v>
      </c>
    </row>
    <row r="602" spans="4:12" ht="14.4" customHeight="1">
      <c r="D602" s="7">
        <v>42860</v>
      </c>
      <c r="E602" s="8">
        <v>6.5759999999999996</v>
      </c>
      <c r="F602" s="8">
        <f t="shared" si="28"/>
        <v>1.3934839985471495E-2</v>
      </c>
      <c r="G602" s="8" cm="1">
        <f t="array" ref="G602">SUMPRODUCT(IF(((H602-$F$4:$F$515)/$B$10)&lt;=-1,0,IF(((H602-$F$4:$F$515)/$B$10)&gt;=1,1,(15/16)*(((H602-$F$4:$F$515)/$B$10)-(2/3)*((H602-$F$4:$F$515)/$B$10)^3+(1/5)*((H602-$F$4:$F$515)/$B$10)^5+8/15))))/COUNT($F$4:$F$515)</f>
        <v>3.4012414104286154E-2</v>
      </c>
      <c r="H602" s="9">
        <f t="shared" si="29"/>
        <v>-4.4928550312169115E-2</v>
      </c>
      <c r="K602" s="7">
        <v>0.01</v>
      </c>
      <c r="L602" s="8">
        <f t="shared" si="27"/>
        <v>-3.8928550312169082E-2</v>
      </c>
    </row>
    <row r="603" spans="4:12" ht="14.4" customHeight="1">
      <c r="D603" s="2">
        <v>42863</v>
      </c>
      <c r="E603" s="3">
        <v>6.4640000000000004</v>
      </c>
      <c r="F603" s="3">
        <f t="shared" si="28"/>
        <v>-1.7178336535084403E-2</v>
      </c>
      <c r="G603" s="3" cm="1">
        <f t="array" ref="G603">SUMPRODUCT(IF(((H603-$F$4:$F$515)/$B$10)&lt;=-1,0,IF(((H603-$F$4:$F$515)/$B$10)&gt;=1,1,(15/16)*(((H603-$F$4:$F$515)/$B$10)-(2/3)*((H603-$F$4:$F$515)/$B$10)^3+(1/5)*((H603-$F$4:$F$515)/$B$10)^5+8/15))))/COUNT($F$4:$F$515)</f>
        <v>3.4753583182308465E-2</v>
      </c>
      <c r="H603" s="1">
        <f t="shared" si="29"/>
        <v>-4.4628550312169113E-2</v>
      </c>
      <c r="K603" s="2">
        <v>0.01</v>
      </c>
      <c r="L603" s="3">
        <f t="shared" si="27"/>
        <v>-3.8928550312169082E-2</v>
      </c>
    </row>
    <row r="604" spans="4:12" ht="14.4" customHeight="1">
      <c r="D604" s="7">
        <v>42864</v>
      </c>
      <c r="E604" s="8">
        <v>6.4450000000000003</v>
      </c>
      <c r="F604" s="8">
        <f t="shared" si="28"/>
        <v>-2.9436848276435616E-3</v>
      </c>
      <c r="G604" s="8" cm="1">
        <f t="array" ref="G604">SUMPRODUCT(IF(((H604-$F$4:$F$515)/$B$10)&lt;=-1,0,IF(((H604-$F$4:$F$515)/$B$10)&gt;=1,1,(15/16)*(((H604-$F$4:$F$515)/$B$10)-(2/3)*((H604-$F$4:$F$515)/$B$10)^3+(1/5)*((H604-$F$4:$F$515)/$B$10)^5+8/15))))/COUNT($F$4:$F$515)</f>
        <v>3.5501820493288122E-2</v>
      </c>
      <c r="H604" s="9">
        <f t="shared" si="29"/>
        <v>-4.4328550312169111E-2</v>
      </c>
      <c r="K604" s="7">
        <v>0.01</v>
      </c>
      <c r="L604" s="8">
        <f t="shared" si="27"/>
        <v>-3.8928550312169082E-2</v>
      </c>
    </row>
    <row r="605" spans="4:12" ht="14.4" customHeight="1">
      <c r="D605" s="2">
        <v>42865</v>
      </c>
      <c r="E605" s="3">
        <v>6.5250000000000004</v>
      </c>
      <c r="F605" s="3">
        <f t="shared" si="28"/>
        <v>1.2336316817606321E-2</v>
      </c>
      <c r="G605" s="3" cm="1">
        <f t="array" ref="G605">SUMPRODUCT(IF(((H605-$F$4:$F$515)/$B$10)&lt;=-1,0,IF(((H605-$F$4:$F$515)/$B$10)&gt;=1,1,(15/16)*(((H605-$F$4:$F$515)/$B$10)-(2/3)*((H605-$F$4:$F$515)/$B$10)^3+(1/5)*((H605-$F$4:$F$515)/$B$10)^5+8/15))))/COUNT($F$4:$F$515)</f>
        <v>3.6256944988970669E-2</v>
      </c>
      <c r="H605" s="1">
        <f t="shared" si="29"/>
        <v>-4.402855031216911E-2</v>
      </c>
      <c r="K605" s="2">
        <v>0.01</v>
      </c>
      <c r="L605" s="3">
        <f t="shared" si="27"/>
        <v>-3.8928550312169082E-2</v>
      </c>
    </row>
    <row r="606" spans="4:12" ht="14.4" customHeight="1">
      <c r="D606" s="7">
        <v>42866</v>
      </c>
      <c r="E606" s="8">
        <v>6.4560000000000004</v>
      </c>
      <c r="F606" s="8">
        <f t="shared" si="28"/>
        <v>-1.0631022241109424E-2</v>
      </c>
      <c r="G606" s="8" cm="1">
        <f t="array" ref="G606">SUMPRODUCT(IF(((H606-$F$4:$F$515)/$B$10)&lt;=-1,0,IF(((H606-$F$4:$F$515)/$B$10)&gt;=1,1,(15/16)*(((H606-$F$4:$F$515)/$B$10)-(2/3)*((H606-$F$4:$F$515)/$B$10)^3+(1/5)*((H606-$F$4:$F$515)/$B$10)^5+8/15))))/COUNT($F$4:$F$515)</f>
        <v>3.7018366497931242E-2</v>
      </c>
      <c r="H606" s="9">
        <f t="shared" si="29"/>
        <v>-4.3728550312169108E-2</v>
      </c>
      <c r="K606" s="7">
        <v>0.01</v>
      </c>
      <c r="L606" s="8">
        <f t="shared" si="27"/>
        <v>-3.8928550312169082E-2</v>
      </c>
    </row>
    <row r="607" spans="4:12" ht="14.4" customHeight="1">
      <c r="D607" s="2">
        <v>42867</v>
      </c>
      <c r="E607" s="3">
        <v>6.4039999999999999</v>
      </c>
      <c r="F607" s="3">
        <f t="shared" si="28"/>
        <v>-8.0871358331794652E-3</v>
      </c>
      <c r="G607" s="3" cm="1">
        <f t="array" ref="G607">SUMPRODUCT(IF(((H607-$F$4:$F$515)/$B$10)&lt;=-1,0,IF(((H607-$F$4:$F$515)/$B$10)&gt;=1,1,(15/16)*(((H607-$F$4:$F$515)/$B$10)-(2/3)*((H607-$F$4:$F$515)/$B$10)^3+(1/5)*((H607-$F$4:$F$515)/$B$10)^5+8/15))))/COUNT($F$4:$F$515)</f>
        <v>3.778491622580582E-2</v>
      </c>
      <c r="H607" s="1">
        <f t="shared" si="29"/>
        <v>-4.3428550312169106E-2</v>
      </c>
      <c r="K607" s="2">
        <v>0.01</v>
      </c>
      <c r="L607" s="3">
        <f t="shared" si="27"/>
        <v>-3.8928550312169082E-2</v>
      </c>
    </row>
    <row r="608" spans="4:12" ht="14.4" customHeight="1">
      <c r="D608" s="7">
        <v>42870</v>
      </c>
      <c r="E608" s="8">
        <v>6.5620000000000003</v>
      </c>
      <c r="F608" s="8">
        <f t="shared" si="28"/>
        <v>2.4372639404441693E-2</v>
      </c>
      <c r="G608" s="8" cm="1">
        <f t="array" ref="G608">SUMPRODUCT(IF(((H608-$F$4:$F$515)/$B$10)&lt;=-1,0,IF(((H608-$F$4:$F$515)/$B$10)&gt;=1,1,(15/16)*(((H608-$F$4:$F$515)/$B$10)-(2/3)*((H608-$F$4:$F$515)/$B$10)^3+(1/5)*((H608-$F$4:$F$515)/$B$10)^5+8/15))))/COUNT($F$4:$F$515)</f>
        <v>3.8555815351112056E-2</v>
      </c>
      <c r="H608" s="9">
        <f t="shared" si="29"/>
        <v>-4.3128550312169105E-2</v>
      </c>
      <c r="K608" s="7">
        <v>0.01</v>
      </c>
      <c r="L608" s="8">
        <f t="shared" si="27"/>
        <v>-3.8928550312169082E-2</v>
      </c>
    </row>
    <row r="609" spans="4:12" ht="14.4" customHeight="1">
      <c r="D609" s="2">
        <v>42871</v>
      </c>
      <c r="E609" s="3">
        <v>6.5519999999999996</v>
      </c>
      <c r="F609" s="3">
        <f t="shared" si="28"/>
        <v>-1.5250879881416536E-3</v>
      </c>
      <c r="G609" s="3" cm="1">
        <f t="array" ref="G609">SUMPRODUCT(IF(((H609-$F$4:$F$515)/$B$10)&lt;=-1,0,IF(((H609-$F$4:$F$515)/$B$10)&gt;=1,1,(15/16)*(((H609-$F$4:$F$515)/$B$10)-(2/3)*((H609-$F$4:$F$515)/$B$10)^3+(1/5)*((H609-$F$4:$F$515)/$B$10)^5+8/15))))/COUNT($F$4:$F$515)</f>
        <v>3.9330247517792481E-2</v>
      </c>
      <c r="H609" s="1">
        <f t="shared" si="29"/>
        <v>-4.2828550312169103E-2</v>
      </c>
      <c r="K609" s="2">
        <v>0.01</v>
      </c>
      <c r="L609" s="3">
        <f t="shared" si="27"/>
        <v>-3.8928550312169082E-2</v>
      </c>
    </row>
    <row r="610" spans="4:12" ht="14.4" customHeight="1">
      <c r="D610" s="7">
        <v>42872</v>
      </c>
      <c r="E610" s="8">
        <v>6.343</v>
      </c>
      <c r="F610" s="8">
        <f t="shared" si="28"/>
        <v>-3.2418503899008209E-2</v>
      </c>
      <c r="G610" s="8" cm="1">
        <f t="array" ref="G610">SUMPRODUCT(IF(((H610-$F$4:$F$515)/$B$10)&lt;=-1,0,IF(((H610-$F$4:$F$515)/$B$10)&gt;=1,1,(15/16)*(((H610-$F$4:$F$515)/$B$10)-(2/3)*((H610-$F$4:$F$515)/$B$10)^3+(1/5)*((H610-$F$4:$F$515)/$B$10)^5+8/15))))/COUNT($F$4:$F$515)</f>
        <v>4.010737007008229E-2</v>
      </c>
      <c r="H610" s="9">
        <f t="shared" si="29"/>
        <v>-4.2528550312169101E-2</v>
      </c>
      <c r="K610" s="7">
        <v>0.01</v>
      </c>
      <c r="L610" s="8">
        <f t="shared" si="27"/>
        <v>-3.8928550312169082E-2</v>
      </c>
    </row>
    <row r="611" spans="4:12" ht="14.4" customHeight="1">
      <c r="D611" s="2">
        <v>42873</v>
      </c>
      <c r="E611" s="3">
        <v>6.2539999999999996</v>
      </c>
      <c r="F611" s="3">
        <f t="shared" si="28"/>
        <v>-1.4130583616110646E-2</v>
      </c>
      <c r="G611" s="3" cm="1">
        <f t="array" ref="G611">SUMPRODUCT(IF(((H611-$F$4:$F$515)/$B$10)&lt;=-1,0,IF(((H611-$F$4:$F$515)/$B$10)&gt;=1,1,(15/16)*(((H611-$F$4:$F$515)/$B$10)-(2/3)*((H611-$F$4:$F$515)/$B$10)^3+(1/5)*((H611-$F$4:$F$515)/$B$10)^5+8/15))))/COUNT($F$4:$F$515)</f>
        <v>4.0887396013416066E-2</v>
      </c>
      <c r="H611" s="1">
        <f t="shared" si="29"/>
        <v>-4.22285503121691E-2</v>
      </c>
      <c r="K611" s="2">
        <v>0.01</v>
      </c>
      <c r="L611" s="3">
        <f t="shared" si="27"/>
        <v>-3.8928550312169082E-2</v>
      </c>
    </row>
    <row r="612" spans="4:12" ht="14.4" customHeight="1">
      <c r="D612" s="7">
        <v>42874</v>
      </c>
      <c r="E612" s="8">
        <v>6.3470000000000004</v>
      </c>
      <c r="F612" s="8">
        <f t="shared" si="28"/>
        <v>1.476100128868355E-2</v>
      </c>
      <c r="G612" s="8" cm="1">
        <f t="array" ref="G612">SUMPRODUCT(IF(((H612-$F$4:$F$515)/$B$10)&lt;=-1,0,IF(((H612-$F$4:$F$515)/$B$10)&gt;=1,1,(15/16)*(((H612-$F$4:$F$515)/$B$10)-(2/3)*((H612-$F$4:$F$515)/$B$10)^3+(1/5)*((H612-$F$4:$F$515)/$B$10)^5+8/15))))/COUNT($F$4:$F$515)</f>
        <v>4.1670779498224834E-2</v>
      </c>
      <c r="H612" s="9">
        <f t="shared" si="29"/>
        <v>-4.1928550312169098E-2</v>
      </c>
      <c r="K612" s="7">
        <v>0.01</v>
      </c>
      <c r="L612" s="8">
        <f t="shared" si="27"/>
        <v>-3.8928550312169082E-2</v>
      </c>
    </row>
    <row r="613" spans="4:12" ht="14.4" customHeight="1">
      <c r="D613" s="2">
        <v>42877</v>
      </c>
      <c r="E613" s="3">
        <v>6.2809999999999997</v>
      </c>
      <c r="F613" s="3">
        <f t="shared" si="28"/>
        <v>-1.0453056852089481E-2</v>
      </c>
      <c r="G613" s="3" cm="1">
        <f t="array" ref="G613">SUMPRODUCT(IF(((H613-$F$4:$F$515)/$B$10)&lt;=-1,0,IF(((H613-$F$4:$F$515)/$B$10)&gt;=1,1,(15/16)*(((H613-$F$4:$F$515)/$B$10)-(2/3)*((H613-$F$4:$F$515)/$B$10)^3+(1/5)*((H613-$F$4:$F$515)/$B$10)^5+8/15))))/COUNT($F$4:$F$515)</f>
        <v>4.2457403288157093E-2</v>
      </c>
      <c r="H613" s="1">
        <f t="shared" si="29"/>
        <v>-4.1628550312169096E-2</v>
      </c>
      <c r="K613" s="2">
        <v>0.01</v>
      </c>
      <c r="L613" s="3">
        <f t="shared" si="27"/>
        <v>-3.8928550312169082E-2</v>
      </c>
    </row>
    <row r="614" spans="4:12" ht="14.4" customHeight="1">
      <c r="D614" s="7">
        <v>42878</v>
      </c>
      <c r="E614" s="8">
        <v>6.444</v>
      </c>
      <c r="F614" s="8">
        <f t="shared" si="28"/>
        <v>2.5620261842484261E-2</v>
      </c>
      <c r="G614" s="8" cm="1">
        <f t="array" ref="G614">SUMPRODUCT(IF(((H614-$F$4:$F$515)/$B$10)&lt;=-1,0,IF(((H614-$F$4:$F$515)/$B$10)&gt;=1,1,(15/16)*(((H614-$F$4:$F$515)/$B$10)-(2/3)*((H614-$F$4:$F$515)/$B$10)^3+(1/5)*((H614-$F$4:$F$515)/$B$10)^5+8/15))))/COUNT($F$4:$F$515)</f>
        <v>4.324752043679761E-2</v>
      </c>
      <c r="H614" s="9">
        <f t="shared" si="29"/>
        <v>-4.1328550312169095E-2</v>
      </c>
      <c r="K614" s="7">
        <v>0.01</v>
      </c>
      <c r="L614" s="8">
        <f t="shared" si="27"/>
        <v>-3.8928550312169082E-2</v>
      </c>
    </row>
    <row r="615" spans="4:12" ht="14.4" customHeight="1">
      <c r="D615" s="2">
        <v>42879</v>
      </c>
      <c r="E615" s="3">
        <v>6.5250000000000004</v>
      </c>
      <c r="F615" s="3">
        <f t="shared" si="28"/>
        <v>1.2491487894029272E-2</v>
      </c>
      <c r="G615" s="3" cm="1">
        <f t="array" ref="G615">SUMPRODUCT(IF(((H615-$F$4:$F$515)/$B$10)&lt;=-1,0,IF(((H615-$F$4:$F$515)/$B$10)&gt;=1,1,(15/16)*(((H615-$F$4:$F$515)/$B$10)-(2/3)*((H615-$F$4:$F$515)/$B$10)^3+(1/5)*((H615-$F$4:$F$515)/$B$10)^5+8/15))))/COUNT($F$4:$F$515)</f>
        <v>4.4041582953205975E-2</v>
      </c>
      <c r="H615" s="1">
        <f t="shared" si="29"/>
        <v>-4.1028550312169093E-2</v>
      </c>
      <c r="K615" s="2">
        <v>0.01</v>
      </c>
      <c r="L615" s="3">
        <f t="shared" si="27"/>
        <v>-3.8928550312169082E-2</v>
      </c>
    </row>
    <row r="616" spans="4:12" ht="14.4" customHeight="1">
      <c r="D616" s="7">
        <v>42880</v>
      </c>
      <c r="E616" s="8">
        <v>6.4749999999999996</v>
      </c>
      <c r="F616" s="8">
        <f t="shared" si="28"/>
        <v>-7.6923456231557255E-3</v>
      </c>
      <c r="G616" s="8" cm="1">
        <f t="array" ref="G616">SUMPRODUCT(IF(((H616-$F$4:$F$515)/$B$10)&lt;=-1,0,IF(((H616-$F$4:$F$515)/$B$10)&gt;=1,1,(15/16)*(((H616-$F$4:$F$515)/$B$10)-(2/3)*((H616-$F$4:$F$515)/$B$10)^3+(1/5)*((H616-$F$4:$F$515)/$B$10)^5+8/15))))/COUNT($F$4:$F$515)</f>
        <v>4.4840410007414393E-2</v>
      </c>
      <c r="H616" s="9">
        <f t="shared" si="29"/>
        <v>-4.0728550312169091E-2</v>
      </c>
      <c r="K616" s="7">
        <v>0.01</v>
      </c>
      <c r="L616" s="8">
        <f t="shared" si="27"/>
        <v>-3.8928550312169082E-2</v>
      </c>
    </row>
    <row r="617" spans="4:12" ht="14.4" customHeight="1">
      <c r="D617" s="2">
        <v>42881</v>
      </c>
      <c r="E617" s="3">
        <v>6.1210000000000004</v>
      </c>
      <c r="F617" s="3">
        <f t="shared" si="28"/>
        <v>-5.6223125716668571E-2</v>
      </c>
      <c r="G617" s="3" cm="1">
        <f t="array" ref="G617">SUMPRODUCT(IF(((H617-$F$4:$F$515)/$B$10)&lt;=-1,0,IF(((H617-$F$4:$F$515)/$B$10)&gt;=1,1,(15/16)*(((H617-$F$4:$F$515)/$B$10)-(2/3)*((H617-$F$4:$F$515)/$B$10)^3+(1/5)*((H617-$F$4:$F$515)/$B$10)^5+8/15))))/COUNT($F$4:$F$515)</f>
        <v>4.5645638576937923E-2</v>
      </c>
      <c r="H617" s="1">
        <f t="shared" si="29"/>
        <v>-4.042855031216909E-2</v>
      </c>
      <c r="K617" s="2">
        <v>0.01</v>
      </c>
      <c r="L617" s="3">
        <f t="shared" si="27"/>
        <v>-3.8928550312169082E-2</v>
      </c>
    </row>
    <row r="618" spans="4:12" ht="14.4" customHeight="1">
      <c r="D618" s="7">
        <v>42884</v>
      </c>
      <c r="E618" s="8">
        <v>6.0960000000000001</v>
      </c>
      <c r="F618" s="8">
        <f t="shared" si="28"/>
        <v>-4.0926634845877058E-3</v>
      </c>
      <c r="G618" s="8" cm="1">
        <f t="array" ref="G618">SUMPRODUCT(IF(((H618-$F$4:$F$515)/$B$10)&lt;=-1,0,IF(((H618-$F$4:$F$515)/$B$10)&gt;=1,1,(15/16)*(((H618-$F$4:$F$515)/$B$10)-(2/3)*((H618-$F$4:$F$515)/$B$10)^3+(1/5)*((H618-$F$4:$F$515)/$B$10)^5+8/15))))/COUNT($F$4:$F$515)</f>
        <v>4.6459110136795677E-2</v>
      </c>
      <c r="H618" s="9">
        <f t="shared" si="29"/>
        <v>-4.0128550312169088E-2</v>
      </c>
      <c r="K618" s="7">
        <v>0.01</v>
      </c>
      <c r="L618" s="8">
        <f t="shared" si="27"/>
        <v>-3.8928550312169082E-2</v>
      </c>
    </row>
    <row r="619" spans="4:12" ht="14.4" customHeight="1">
      <c r="D619" s="2">
        <v>42885</v>
      </c>
      <c r="E619" s="3">
        <v>5.9370000000000003</v>
      </c>
      <c r="F619" s="3">
        <f t="shared" si="28"/>
        <v>-2.6428863095806734E-2</v>
      </c>
      <c r="G619" s="3" cm="1">
        <f t="array" ref="G619">SUMPRODUCT(IF(((H619-$F$4:$F$515)/$B$10)&lt;=-1,0,IF(((H619-$F$4:$F$515)/$B$10)&gt;=1,1,(15/16)*(((H619-$F$4:$F$515)/$B$10)-(2/3)*((H619-$F$4:$F$515)/$B$10)^3+(1/5)*((H619-$F$4:$F$515)/$B$10)^5+8/15))))/COUNT($F$4:$F$515)</f>
        <v>4.7283251153163772E-2</v>
      </c>
      <c r="H619" s="1">
        <f t="shared" si="29"/>
        <v>-3.9828550312169086E-2</v>
      </c>
      <c r="K619" s="2">
        <v>0.01</v>
      </c>
      <c r="L619" s="3">
        <f t="shared" si="27"/>
        <v>-3.8928550312169082E-2</v>
      </c>
    </row>
    <row r="620" spans="4:12" ht="14.4" customHeight="1">
      <c r="D620" s="7">
        <v>42886</v>
      </c>
      <c r="E620" s="8">
        <v>5.88</v>
      </c>
      <c r="F620" s="8">
        <f t="shared" si="28"/>
        <v>-9.6471933780029138E-3</v>
      </c>
      <c r="G620" s="8" cm="1">
        <f t="array" ref="G620">SUMPRODUCT(IF(((H620-$F$4:$F$515)/$B$10)&lt;=-1,0,IF(((H620-$F$4:$F$515)/$B$10)&gt;=1,1,(15/16)*(((H620-$F$4:$F$515)/$B$10)-(2/3)*((H620-$F$4:$F$515)/$B$10)^3+(1/5)*((H620-$F$4:$F$515)/$B$10)^5+8/15))))/COUNT($F$4:$F$515)</f>
        <v>4.8120888647171789E-2</v>
      </c>
      <c r="H620" s="9">
        <f t="shared" si="29"/>
        <v>-3.9528550312169085E-2</v>
      </c>
      <c r="K620" s="7">
        <v>0.01</v>
      </c>
      <c r="L620" s="8">
        <f t="shared" si="27"/>
        <v>-3.8928550312169082E-2</v>
      </c>
    </row>
    <row r="621" spans="4:12" ht="14.4" customHeight="1">
      <c r="D621" s="2">
        <v>42887</v>
      </c>
      <c r="E621" s="3">
        <v>5.9560000000000004</v>
      </c>
      <c r="F621" s="3">
        <f t="shared" si="28"/>
        <v>1.2842352911227079E-2</v>
      </c>
      <c r="G621" s="3" cm="1">
        <f t="array" ref="G621">SUMPRODUCT(IF(((H621-$F$4:$F$515)/$B$10)&lt;=-1,0,IF(((H621-$F$4:$F$515)/$B$10)&gt;=1,1,(15/16)*(((H621-$F$4:$F$515)/$B$10)-(2/3)*((H621-$F$4:$F$515)/$B$10)^3+(1/5)*((H621-$F$4:$F$515)/$B$10)^5+8/15))))/COUNT($F$4:$F$515)</f>
        <v>4.8975633715622871E-2</v>
      </c>
      <c r="H621" s="1">
        <f t="shared" si="29"/>
        <v>-3.9228550312169083E-2</v>
      </c>
      <c r="K621" s="2">
        <v>0.01</v>
      </c>
      <c r="L621" s="3">
        <f t="shared" si="27"/>
        <v>-3.8928550312169082E-2</v>
      </c>
    </row>
    <row r="622" spans="4:12" ht="14.4" customHeight="1">
      <c r="D622" s="7">
        <v>42888</v>
      </c>
      <c r="E622" s="8">
        <v>5.9630000000000001</v>
      </c>
      <c r="F622" s="8">
        <f t="shared" si="28"/>
        <v>1.1745953192061973E-3</v>
      </c>
      <c r="G622" s="8" cm="1">
        <f t="array" ref="G622">SUMPRODUCT(IF(((H622-$F$4:$F$515)/$B$10)&lt;=-1,0,IF(((H622-$F$4:$F$515)/$B$10)&gt;=1,1,(15/16)*(((H622-$F$4:$F$515)/$B$10)-(2/3)*((H622-$F$4:$F$515)/$B$10)^3+(1/5)*((H622-$F$4:$F$515)/$B$10)^5+8/15))))/COUNT($F$4:$F$515)</f>
        <v>4.9852071124740688E-2</v>
      </c>
      <c r="H622" s="9">
        <f t="shared" si="29"/>
        <v>-3.8928550312169082E-2</v>
      </c>
      <c r="K622" s="7">
        <v>0.01</v>
      </c>
      <c r="L622" s="8">
        <f t="shared" si="27"/>
        <v>-3.8928550312169082E-2</v>
      </c>
    </row>
    <row r="623" spans="4:12" ht="14.4" customHeight="1">
      <c r="D623" s="2">
        <v>42891</v>
      </c>
      <c r="E623" s="3">
        <v>5.9139999999999997</v>
      </c>
      <c r="F623" s="3">
        <f t="shared" si="28"/>
        <v>-8.2512887106834156E-3</v>
      </c>
      <c r="G623" s="3" cm="1">
        <f t="array" ref="G623">SUMPRODUCT(IF(((H623-$F$4:$F$515)/$B$10)&lt;=-1,0,IF(((H623-$F$4:$F$515)/$B$10)&gt;=1,1,(15/16)*(((H623-$F$4:$F$515)/$B$10)-(2/3)*((H623-$F$4:$F$515)/$B$10)^3+(1/5)*((H623-$F$4:$F$515)/$B$10)^5+8/15))))/COUNT($F$4:$F$515)</f>
        <v>5.075368272601679E-2</v>
      </c>
      <c r="H623" s="1">
        <f t="shared" si="29"/>
        <v>-3.862855031216908E-2</v>
      </c>
      <c r="K623" s="2">
        <v>0.01</v>
      </c>
      <c r="L623" s="3">
        <f t="shared" si="27"/>
        <v>-3.8928550312169082E-2</v>
      </c>
    </row>
    <row r="624" spans="4:12" ht="14.4" customHeight="1">
      <c r="D624" s="7">
        <v>42892</v>
      </c>
      <c r="E624" s="8">
        <v>5.8410000000000002</v>
      </c>
      <c r="F624" s="8">
        <f t="shared" si="28"/>
        <v>-1.2420406372113113E-2</v>
      </c>
      <c r="G624" s="8" cm="1">
        <f t="array" ref="G624">SUMPRODUCT(IF(((H624-$F$4:$F$515)/$B$10)&lt;=-1,0,IF(((H624-$F$4:$F$515)/$B$10)&gt;=1,1,(15/16)*(((H624-$F$4:$F$515)/$B$10)-(2/3)*((H624-$F$4:$F$515)/$B$10)^3+(1/5)*((H624-$F$4:$F$515)/$B$10)^5+8/15))))/COUNT($F$4:$F$515)</f>
        <v>5.1683022678568794E-2</v>
      </c>
      <c r="H624" s="9">
        <f t="shared" si="29"/>
        <v>-3.8328550312169078E-2</v>
      </c>
      <c r="K624" s="7">
        <v>0.01</v>
      </c>
      <c r="L624" s="8">
        <f t="shared" si="27"/>
        <v>-3.8928550312169082E-2</v>
      </c>
    </row>
    <row r="625" spans="4:12" ht="14.4" customHeight="1">
      <c r="D625" s="2">
        <v>42893</v>
      </c>
      <c r="E625" s="3">
        <v>5.8719999999999999</v>
      </c>
      <c r="F625" s="3">
        <f t="shared" si="28"/>
        <v>5.2932762540419858E-3</v>
      </c>
      <c r="G625" s="3" cm="1">
        <f t="array" ref="G625">SUMPRODUCT(IF(((H625-$F$4:$F$515)/$B$10)&lt;=-1,0,IF(((H625-$F$4:$F$515)/$B$10)&gt;=1,1,(15/16)*(((H625-$F$4:$F$515)/$B$10)-(2/3)*((H625-$F$4:$F$515)/$B$10)^3+(1/5)*((H625-$F$4:$F$515)/$B$10)^5+8/15))))/COUNT($F$4:$F$515)</f>
        <v>5.2642788708885252E-2</v>
      </c>
      <c r="H625" s="1">
        <f t="shared" si="29"/>
        <v>-3.8028550312169077E-2</v>
      </c>
      <c r="K625" s="2">
        <v>0.01</v>
      </c>
      <c r="L625" s="3">
        <f t="shared" si="27"/>
        <v>-3.8928550312169082E-2</v>
      </c>
    </row>
    <row r="626" spans="4:12" ht="14.4" customHeight="1">
      <c r="D626" s="7">
        <v>42894</v>
      </c>
      <c r="E626" s="8">
        <v>5.9619999999999997</v>
      </c>
      <c r="F626" s="8">
        <f t="shared" si="28"/>
        <v>1.5210703943665263E-2</v>
      </c>
      <c r="G626" s="8" cm="1">
        <f t="array" ref="G626">SUMPRODUCT(IF(((H626-$F$4:$F$515)/$B$10)&lt;=-1,0,IF(((H626-$F$4:$F$515)/$B$10)&gt;=1,1,(15/16)*(((H626-$F$4:$F$515)/$B$10)-(2/3)*((H626-$F$4:$F$515)/$B$10)^3+(1/5)*((H626-$F$4:$F$515)/$B$10)^5+8/15))))/COUNT($F$4:$F$515)</f>
        <v>5.3634907840059011E-2</v>
      </c>
      <c r="H626" s="9">
        <f t="shared" si="29"/>
        <v>-3.7728550312169075E-2</v>
      </c>
      <c r="K626" s="7">
        <v>0.01</v>
      </c>
      <c r="L626" s="8">
        <f t="shared" si="27"/>
        <v>-3.8928550312169082E-2</v>
      </c>
    </row>
    <row r="627" spans="4:12" ht="14.4" customHeight="1">
      <c r="D627" s="2">
        <v>42895</v>
      </c>
      <c r="E627" s="3">
        <v>6.0629999999999997</v>
      </c>
      <c r="F627" s="3">
        <f t="shared" si="28"/>
        <v>1.6798731833713932E-2</v>
      </c>
      <c r="G627" s="3" cm="1">
        <f t="array" ref="G627">SUMPRODUCT(IF(((H627-$F$4:$F$515)/$B$10)&lt;=-1,0,IF(((H627-$F$4:$F$515)/$B$10)&gt;=1,1,(15/16)*(((H627-$F$4:$F$515)/$B$10)-(2/3)*((H627-$F$4:$F$515)/$B$10)^3+(1/5)*((H627-$F$4:$F$515)/$B$10)^5+8/15))))/COUNT($F$4:$F$515)</f>
        <v>5.4661271229262828E-2</v>
      </c>
      <c r="H627" s="1">
        <f t="shared" si="29"/>
        <v>-3.7428550312169073E-2</v>
      </c>
      <c r="K627" s="2">
        <v>0.01</v>
      </c>
      <c r="L627" s="3">
        <f t="shared" si="27"/>
        <v>-3.8928550312169082E-2</v>
      </c>
    </row>
    <row r="628" spans="4:12" ht="14.4" customHeight="1">
      <c r="D628" s="7">
        <v>42898</v>
      </c>
      <c r="E628" s="8">
        <v>5.9619999999999997</v>
      </c>
      <c r="F628" s="8">
        <f t="shared" si="28"/>
        <v>-1.6798731833713953E-2</v>
      </c>
      <c r="G628" s="8" cm="1">
        <f t="array" ref="G628">SUMPRODUCT(IF(((H628-$F$4:$F$515)/$B$10)&lt;=-1,0,IF(((H628-$F$4:$F$515)/$B$10)&gt;=1,1,(15/16)*(((H628-$F$4:$F$515)/$B$10)-(2/3)*((H628-$F$4:$F$515)/$B$10)^3+(1/5)*((H628-$F$4:$F$515)/$B$10)^5+8/15))))/COUNT($F$4:$F$515)</f>
        <v>5.572381398709899E-2</v>
      </c>
      <c r="H628" s="9">
        <f t="shared" si="29"/>
        <v>-3.7128550312169072E-2</v>
      </c>
      <c r="K628" s="7">
        <v>0.01</v>
      </c>
      <c r="L628" s="8">
        <f t="shared" si="27"/>
        <v>-3.8928550312169082E-2</v>
      </c>
    </row>
    <row r="629" spans="4:12" ht="14.4" customHeight="1">
      <c r="D629" s="2">
        <v>42899</v>
      </c>
      <c r="E629" s="3">
        <v>5.9980000000000002</v>
      </c>
      <c r="F629" s="3">
        <f t="shared" si="28"/>
        <v>6.0200850709378239E-3</v>
      </c>
      <c r="G629" s="3" cm="1">
        <f t="array" ref="G629">SUMPRODUCT(IF(((H629-$F$4:$F$515)/$B$10)&lt;=-1,0,IF(((H629-$F$4:$F$515)/$B$10)&gt;=1,1,(15/16)*(((H629-$F$4:$F$515)/$B$10)-(2/3)*((H629-$F$4:$F$515)/$B$10)^3+(1/5)*((H629-$F$4:$F$515)/$B$10)^5+8/15))))/COUNT($F$4:$F$515)</f>
        <v>5.6824637740408662E-2</v>
      </c>
      <c r="H629" s="1">
        <f t="shared" si="29"/>
        <v>-3.682855031216907E-2</v>
      </c>
      <c r="K629" s="2">
        <v>0.01</v>
      </c>
      <c r="L629" s="3">
        <f t="shared" si="27"/>
        <v>-3.8928550312169082E-2</v>
      </c>
    </row>
    <row r="630" spans="4:12" ht="14.4" customHeight="1">
      <c r="D630" s="7">
        <v>42900</v>
      </c>
      <c r="E630" s="8">
        <v>5.8129999999999997</v>
      </c>
      <c r="F630" s="8">
        <f t="shared" si="28"/>
        <v>-3.1329291607603962E-2</v>
      </c>
      <c r="G630" s="8" cm="1">
        <f t="array" ref="G630">SUMPRODUCT(IF(((H630-$F$4:$F$515)/$B$10)&lt;=-1,0,IF(((H630-$F$4:$F$515)/$B$10)&gt;=1,1,(15/16)*(((H630-$F$4:$F$515)/$B$10)-(2/3)*((H630-$F$4:$F$515)/$B$10)^3+(1/5)*((H630-$F$4:$F$515)/$B$10)^5+8/15))))/COUNT($F$4:$F$515)</f>
        <v>5.7964556120044981E-2</v>
      </c>
      <c r="H630" s="9">
        <f t="shared" si="29"/>
        <v>-3.6528550312169068E-2</v>
      </c>
      <c r="K630" s="7">
        <v>0.01</v>
      </c>
      <c r="L630" s="8">
        <f t="shared" si="27"/>
        <v>-3.8928550312169082E-2</v>
      </c>
    </row>
    <row r="631" spans="4:12" ht="14.4" customHeight="1">
      <c r="D631" s="2">
        <v>42901</v>
      </c>
      <c r="E631" s="3">
        <v>5.8209999999999997</v>
      </c>
      <c r="F631" s="3">
        <f t="shared" si="28"/>
        <v>1.3752795703850108E-3</v>
      </c>
      <c r="G631" s="3" cm="1">
        <f t="array" ref="G631">SUMPRODUCT(IF(((H631-$F$4:$F$515)/$B$10)&lt;=-1,0,IF(((H631-$F$4:$F$515)/$B$10)&gt;=1,1,(15/16)*(((H631-$F$4:$F$515)/$B$10)-(2/3)*((H631-$F$4:$F$515)/$B$10)^3+(1/5)*((H631-$F$4:$F$515)/$B$10)^5+8/15))))/COUNT($F$4:$F$515)</f>
        <v>5.9143399405767003E-2</v>
      </c>
      <c r="H631" s="1">
        <f t="shared" si="29"/>
        <v>-3.6228550312169067E-2</v>
      </c>
      <c r="K631" s="2">
        <v>0.01</v>
      </c>
      <c r="L631" s="3">
        <f t="shared" si="27"/>
        <v>-3.8928550312169082E-2</v>
      </c>
    </row>
    <row r="632" spans="4:12" ht="14.4" customHeight="1">
      <c r="D632" s="7">
        <v>42902</v>
      </c>
      <c r="E632" s="8">
        <v>5.8289999999999997</v>
      </c>
      <c r="F632" s="8">
        <f t="shared" si="28"/>
        <v>1.3733907738143459E-3</v>
      </c>
      <c r="G632" s="8" cm="1">
        <f t="array" ref="G632">SUMPRODUCT(IF(((H632-$F$4:$F$515)/$B$10)&lt;=-1,0,IF(((H632-$F$4:$F$515)/$B$10)&gt;=1,1,(15/16)*(((H632-$F$4:$F$515)/$B$10)-(2/3)*((H632-$F$4:$F$515)/$B$10)^3+(1/5)*((H632-$F$4:$F$515)/$B$10)^5+8/15))))/COUNT($F$4:$F$515)</f>
        <v>6.036003054514931E-2</v>
      </c>
      <c r="H632" s="9">
        <f t="shared" si="29"/>
        <v>-3.5928550312169065E-2</v>
      </c>
      <c r="K632" s="7">
        <v>0.01</v>
      </c>
      <c r="L632" s="8">
        <f t="shared" si="27"/>
        <v>-3.8928550312169082E-2</v>
      </c>
    </row>
    <row r="633" spans="4:12" ht="14.4" customHeight="1">
      <c r="D633" s="2">
        <v>42905</v>
      </c>
      <c r="E633" s="3">
        <v>5.9550000000000001</v>
      </c>
      <c r="F633" s="3">
        <f t="shared" si="28"/>
        <v>2.1385743743850695E-2</v>
      </c>
      <c r="G633" s="3" cm="1">
        <f t="array" ref="G633">SUMPRODUCT(IF(((H633-$F$4:$F$515)/$B$10)&lt;=-1,0,IF(((H633-$F$4:$F$515)/$B$10)&gt;=1,1,(15/16)*(((H633-$F$4:$F$515)/$B$10)-(2/3)*((H633-$F$4:$F$515)/$B$10)^3+(1/5)*((H633-$F$4:$F$515)/$B$10)^5+8/15))))/COUNT($F$4:$F$515)</f>
        <v>6.1613388558631861E-2</v>
      </c>
      <c r="H633" s="1">
        <f t="shared" si="29"/>
        <v>-3.5628550312169063E-2</v>
      </c>
      <c r="K633" s="2">
        <v>0.01</v>
      </c>
      <c r="L633" s="3">
        <f t="shared" si="27"/>
        <v>-3.8928550312169082E-2</v>
      </c>
    </row>
    <row r="634" spans="4:12" ht="14.4" customHeight="1">
      <c r="D634" s="7">
        <v>42906</v>
      </c>
      <c r="E634" s="8">
        <v>5.915</v>
      </c>
      <c r="F634" s="8">
        <f t="shared" si="28"/>
        <v>-6.7397053769132778E-3</v>
      </c>
      <c r="G634" s="8" cm="1">
        <f t="array" ref="G634">SUMPRODUCT(IF(((H634-$F$4:$F$515)/$B$10)&lt;=-1,0,IF(((H634-$F$4:$F$515)/$B$10)&gt;=1,1,(15/16)*(((H634-$F$4:$F$515)/$B$10)-(2/3)*((H634-$F$4:$F$515)/$B$10)^3+(1/5)*((H634-$F$4:$F$515)/$B$10)^5+8/15))))/COUNT($F$4:$F$515)</f>
        <v>6.2902992588714068E-2</v>
      </c>
      <c r="H634" s="9">
        <f t="shared" si="29"/>
        <v>-3.5328550312169062E-2</v>
      </c>
      <c r="K634" s="7">
        <v>0.01</v>
      </c>
      <c r="L634" s="8">
        <f t="shared" si="27"/>
        <v>-3.8928550312169082E-2</v>
      </c>
    </row>
    <row r="635" spans="4:12" ht="14.4" customHeight="1">
      <c r="D635" s="2">
        <v>42907</v>
      </c>
      <c r="E635" s="3">
        <v>5.8659999999999997</v>
      </c>
      <c r="F635" s="3">
        <f t="shared" si="28"/>
        <v>-8.318526875090871E-3</v>
      </c>
      <c r="G635" s="3" cm="1">
        <f t="array" ref="G635">SUMPRODUCT(IF(((H635-$F$4:$F$515)/$B$10)&lt;=-1,0,IF(((H635-$F$4:$F$515)/$B$10)&gt;=1,1,(15/16)*(((H635-$F$4:$F$515)/$B$10)-(2/3)*((H635-$F$4:$F$515)/$B$10)^3+(1/5)*((H635-$F$4:$F$515)/$B$10)^5+8/15))))/COUNT($F$4:$F$515)</f>
        <v>6.42277642686232E-2</v>
      </c>
      <c r="H635" s="1">
        <f t="shared" si="29"/>
        <v>-3.502855031216906E-2</v>
      </c>
      <c r="K635" s="2">
        <v>0.01</v>
      </c>
      <c r="L635" s="3">
        <f t="shared" si="27"/>
        <v>-3.8928550312169082E-2</v>
      </c>
    </row>
    <row r="636" spans="4:12" ht="14.4" customHeight="1">
      <c r="D636" s="7">
        <v>42908</v>
      </c>
      <c r="E636" s="8">
        <v>5.8890000000000002</v>
      </c>
      <c r="F636" s="8">
        <f t="shared" si="28"/>
        <v>3.9132334071744681E-3</v>
      </c>
      <c r="G636" s="8" cm="1">
        <f t="array" ref="G636">SUMPRODUCT(IF(((H636-$F$4:$F$515)/$B$10)&lt;=-1,0,IF(((H636-$F$4:$F$515)/$B$10)&gt;=1,1,(15/16)*(((H636-$F$4:$F$515)/$B$10)-(2/3)*((H636-$F$4:$F$515)/$B$10)^3+(1/5)*((H636-$F$4:$F$515)/$B$10)^5+8/15))))/COUNT($F$4:$F$515)</f>
        <v>6.5585894051960955E-2</v>
      </c>
      <c r="H636" s="9">
        <f t="shared" si="29"/>
        <v>-3.4728550312169058E-2</v>
      </c>
      <c r="K636" s="7">
        <v>0.01</v>
      </c>
      <c r="L636" s="8">
        <f t="shared" si="27"/>
        <v>-3.8928550312169082E-2</v>
      </c>
    </row>
    <row r="637" spans="4:12" ht="14.4" customHeight="1">
      <c r="D637" s="2">
        <v>42909</v>
      </c>
      <c r="E637" s="3">
        <v>5.8120000000000003</v>
      </c>
      <c r="F637" s="3">
        <f t="shared" si="28"/>
        <v>-1.3161458254397188E-2</v>
      </c>
      <c r="G637" s="3" cm="1">
        <f t="array" ref="G637">SUMPRODUCT(IF(((H637-$F$4:$F$515)/$B$10)&lt;=-1,0,IF(((H637-$F$4:$F$515)/$B$10)&gt;=1,1,(15/16)*(((H637-$F$4:$F$515)/$B$10)-(2/3)*((H637-$F$4:$F$515)/$B$10)^3+(1/5)*((H637-$F$4:$F$515)/$B$10)^5+8/15))))/COUNT($F$4:$F$515)</f>
        <v>6.6974943609436677E-2</v>
      </c>
      <c r="H637" s="1">
        <f t="shared" si="29"/>
        <v>-3.4428550312169057E-2</v>
      </c>
      <c r="K637" s="2">
        <v>0.01</v>
      </c>
      <c r="L637" s="3">
        <f t="shared" si="27"/>
        <v>-3.8928550312169082E-2</v>
      </c>
    </row>
    <row r="638" spans="4:12" ht="14.4" customHeight="1">
      <c r="D638" s="7">
        <v>42912</v>
      </c>
      <c r="E638" s="8">
        <v>5.8970000000000002</v>
      </c>
      <c r="F638" s="8">
        <f t="shared" si="28"/>
        <v>1.4519001310330655E-2</v>
      </c>
      <c r="G638" s="8" cm="1">
        <f t="array" ref="G638">SUMPRODUCT(IF(((H638-$F$4:$F$515)/$B$10)&lt;=-1,0,IF(((H638-$F$4:$F$515)/$B$10)&gt;=1,1,(15/16)*(((H638-$F$4:$F$515)/$B$10)-(2/3)*((H638-$F$4:$F$515)/$B$10)^3+(1/5)*((H638-$F$4:$F$515)/$B$10)^5+8/15))))/COUNT($F$4:$F$515)</f>
        <v>6.8392271855003947E-2</v>
      </c>
      <c r="H638" s="9">
        <f t="shared" si="29"/>
        <v>-3.4128550312169055E-2</v>
      </c>
      <c r="K638" s="7">
        <v>0.01</v>
      </c>
      <c r="L638" s="8">
        <f t="shared" si="27"/>
        <v>-3.8928550312169082E-2</v>
      </c>
    </row>
    <row r="639" spans="4:12" ht="14.4" customHeight="1">
      <c r="D639" s="2">
        <v>42913</v>
      </c>
      <c r="E639" s="3">
        <v>5.9450000000000003</v>
      </c>
      <c r="F639" s="3">
        <f t="shared" si="28"/>
        <v>8.1067831243780766E-3</v>
      </c>
      <c r="G639" s="3" cm="1">
        <f t="array" ref="G639">SUMPRODUCT(IF(((H639-$F$4:$F$515)/$B$10)&lt;=-1,0,IF(((H639-$F$4:$F$515)/$B$10)&gt;=1,1,(15/16)*(((H639-$F$4:$F$515)/$B$10)-(2/3)*((H639-$F$4:$F$515)/$B$10)^3+(1/5)*((H639-$F$4:$F$515)/$B$10)^5+8/15))))/COUNT($F$4:$F$515)</f>
        <v>6.9835472839182067E-2</v>
      </c>
      <c r="H639" s="1">
        <f t="shared" si="29"/>
        <v>-3.3828550312169053E-2</v>
      </c>
      <c r="K639" s="2">
        <v>0.01</v>
      </c>
      <c r="L639" s="3">
        <f t="shared" si="27"/>
        <v>-3.8928550312169082E-2</v>
      </c>
    </row>
    <row r="640" spans="4:12" ht="14.4" customHeight="1">
      <c r="D640" s="7">
        <v>42914</v>
      </c>
      <c r="E640" s="8">
        <v>6.0789999999999997</v>
      </c>
      <c r="F640" s="8">
        <f t="shared" si="28"/>
        <v>2.2289678623840209E-2</v>
      </c>
      <c r="G640" s="8" cm="1">
        <f t="array" ref="G640">SUMPRODUCT(IF(((H640-$F$4:$F$515)/$B$10)&lt;=-1,0,IF(((H640-$F$4:$F$515)/$B$10)&gt;=1,1,(15/16)*(((H640-$F$4:$F$515)/$B$10)-(2/3)*((H640-$F$4:$F$515)/$B$10)^3+(1/5)*((H640-$F$4:$F$515)/$B$10)^5+8/15))))/COUNT($F$4:$F$515)</f>
        <v>7.1303225719199559E-2</v>
      </c>
      <c r="H640" s="9">
        <f t="shared" si="29"/>
        <v>-3.3528550312169052E-2</v>
      </c>
      <c r="K640" s="7">
        <v>0.01</v>
      </c>
      <c r="L640" s="8">
        <f t="shared" si="27"/>
        <v>-3.8928550312169082E-2</v>
      </c>
    </row>
    <row r="641" spans="4:12" ht="14.4" customHeight="1">
      <c r="D641" s="2">
        <v>42915</v>
      </c>
      <c r="E641" s="3">
        <v>6.0019999999999998</v>
      </c>
      <c r="F641" s="3">
        <f t="shared" si="28"/>
        <v>-1.2747461748410042E-2</v>
      </c>
      <c r="G641" s="3" cm="1">
        <f t="array" ref="G641">SUMPRODUCT(IF(((H641-$F$4:$F$515)/$B$10)&lt;=-1,0,IF(((H641-$F$4:$F$515)/$B$10)&gt;=1,1,(15/16)*(((H641-$F$4:$F$515)/$B$10)-(2/3)*((H641-$F$4:$F$515)/$B$10)^3+(1/5)*((H641-$F$4:$F$515)/$B$10)^5+8/15))))/COUNT($F$4:$F$515)</f>
        <v>7.2794894818122069E-2</v>
      </c>
      <c r="H641" s="1">
        <f t="shared" si="29"/>
        <v>-3.322855031216905E-2</v>
      </c>
      <c r="K641" s="2">
        <v>0.01</v>
      </c>
      <c r="L641" s="3">
        <f t="shared" si="27"/>
        <v>-3.8928550312169082E-2</v>
      </c>
    </row>
    <row r="642" spans="4:12" ht="14.4" customHeight="1">
      <c r="D642" s="7">
        <v>42916</v>
      </c>
      <c r="E642" s="8">
        <v>5.8769999999999998</v>
      </c>
      <c r="F642" s="8">
        <f t="shared" si="28"/>
        <v>-2.1046319387662018E-2</v>
      </c>
      <c r="G642" s="8" cm="1">
        <f t="array" ref="G642">SUMPRODUCT(IF(((H642-$F$4:$F$515)/$B$10)&lt;=-1,0,IF(((H642-$F$4:$F$515)/$B$10)&gt;=1,1,(15/16)*(((H642-$F$4:$F$515)/$B$10)-(2/3)*((H642-$F$4:$F$515)/$B$10)^3+(1/5)*((H642-$F$4:$F$515)/$B$10)^5+8/15))))/COUNT($F$4:$F$515)</f>
        <v>7.4309350625892404E-2</v>
      </c>
      <c r="H642" s="9">
        <f t="shared" si="29"/>
        <v>-3.2928550312169048E-2</v>
      </c>
      <c r="K642" s="7">
        <v>0.01</v>
      </c>
      <c r="L642" s="8">
        <f t="shared" si="27"/>
        <v>-3.8928550312169082E-2</v>
      </c>
    </row>
    <row r="643" spans="4:12" ht="14.4" customHeight="1">
      <c r="D643" s="2">
        <v>42919</v>
      </c>
      <c r="E643" s="3">
        <v>6.0960000000000001</v>
      </c>
      <c r="F643" s="3">
        <f t="shared" si="28"/>
        <v>3.6586390753831903E-2</v>
      </c>
      <c r="G643" s="3" cm="1">
        <f t="array" ref="G643">SUMPRODUCT(IF(((H643-$F$4:$F$515)/$B$10)&lt;=-1,0,IF(((H643-$F$4:$F$515)/$B$10)&gt;=1,1,(15/16)*(((H643-$F$4:$F$515)/$B$10)-(2/3)*((H643-$F$4:$F$515)/$B$10)^3+(1/5)*((H643-$F$4:$F$515)/$B$10)^5+8/15))))/COUNT($F$4:$F$515)</f>
        <v>7.5845436158328797E-2</v>
      </c>
      <c r="H643" s="1">
        <f t="shared" si="29"/>
        <v>-3.2628550312169047E-2</v>
      </c>
      <c r="K643" s="2">
        <v>0.01</v>
      </c>
      <c r="L643" s="3">
        <f t="shared" si="27"/>
        <v>-3.8928550312169082E-2</v>
      </c>
    </row>
    <row r="644" spans="4:12" ht="14.4" customHeight="1">
      <c r="D644" s="7">
        <v>42920</v>
      </c>
      <c r="E644" s="8">
        <v>6.0659999999999998</v>
      </c>
      <c r="F644" s="8">
        <f t="shared" si="28"/>
        <v>-4.9334091179557768E-3</v>
      </c>
      <c r="G644" s="8" cm="1">
        <f t="array" ref="G644">SUMPRODUCT(IF(((H644-$F$4:$F$515)/$B$10)&lt;=-1,0,IF(((H644-$F$4:$F$515)/$B$10)&gt;=1,1,(15/16)*(((H644-$F$4:$F$515)/$B$10)-(2/3)*((H644-$F$4:$F$515)/$B$10)^3+(1/5)*((H644-$F$4:$F$515)/$B$10)^5+8/15))))/COUNT($F$4:$F$515)</f>
        <v>7.7402410004327141E-2</v>
      </c>
      <c r="H644" s="9">
        <f t="shared" si="29"/>
        <v>-3.2328550312169045E-2</v>
      </c>
      <c r="K644" s="7">
        <v>0.01</v>
      </c>
      <c r="L644" s="8">
        <f t="shared" ref="L644:L707" si="30">$B$7</f>
        <v>-3.8928550312169082E-2</v>
      </c>
    </row>
    <row r="645" spans="4:12" ht="14.4" customHeight="1">
      <c r="D645" s="2">
        <v>42921</v>
      </c>
      <c r="E645" s="3">
        <v>6.0270000000000001</v>
      </c>
      <c r="F645" s="3">
        <f t="shared" ref="F645:F708" si="31">LN(E645/E644)</f>
        <v>-6.4500347654822925E-3</v>
      </c>
      <c r="G645" s="3" cm="1">
        <f t="array" ref="G645">SUMPRODUCT(IF(((H645-$F$4:$F$515)/$B$10)&lt;=-1,0,IF(((H645-$F$4:$F$515)/$B$10)&gt;=1,1,(15/16)*(((H645-$F$4:$F$515)/$B$10)-(2/3)*((H645-$F$4:$F$515)/$B$10)^3+(1/5)*((H645-$F$4:$F$515)/$B$10)^5+8/15))))/COUNT($F$4:$F$515)</f>
        <v>7.897958179374831E-2</v>
      </c>
      <c r="H645" s="1">
        <f t="shared" ref="H645:H708" si="32">H644+0.0003</f>
        <v>-3.2028550312169043E-2</v>
      </c>
      <c r="K645" s="2">
        <v>0.01</v>
      </c>
      <c r="L645" s="3">
        <f t="shared" si="30"/>
        <v>-3.8928550312169082E-2</v>
      </c>
    </row>
    <row r="646" spans="4:12" ht="14.4" customHeight="1">
      <c r="D646" s="7">
        <v>42922</v>
      </c>
      <c r="E646" s="8">
        <v>6.1349999999999998</v>
      </c>
      <c r="F646" s="8">
        <f t="shared" si="31"/>
        <v>1.7760703661967591E-2</v>
      </c>
      <c r="G646" s="8" cm="1">
        <f t="array" ref="G646">SUMPRODUCT(IF(((H646-$F$4:$F$515)/$B$10)&lt;=-1,0,IF(((H646-$F$4:$F$515)/$B$10)&gt;=1,1,(15/16)*(((H646-$F$4:$F$515)/$B$10)-(2/3)*((H646-$F$4:$F$515)/$B$10)^3+(1/5)*((H646-$F$4:$F$515)/$B$10)^5+8/15))))/COUNT($F$4:$F$515)</f>
        <v>8.0575596686954659E-2</v>
      </c>
      <c r="H646" s="9">
        <f t="shared" si="32"/>
        <v>-3.1728550312169042E-2</v>
      </c>
      <c r="K646" s="7">
        <v>0.01</v>
      </c>
      <c r="L646" s="8">
        <f t="shared" si="30"/>
        <v>-3.8928550312169082E-2</v>
      </c>
    </row>
    <row r="647" spans="4:12" ht="14.4" customHeight="1">
      <c r="D647" s="2">
        <v>42923</v>
      </c>
      <c r="E647" s="3">
        <v>6.101</v>
      </c>
      <c r="F647" s="3">
        <f t="shared" si="31"/>
        <v>-5.5573859931593479E-3</v>
      </c>
      <c r="G647" s="3" cm="1">
        <f t="array" ref="G647">SUMPRODUCT(IF(((H647-$F$4:$F$515)/$B$10)&lt;=-1,0,IF(((H647-$F$4:$F$515)/$B$10)&gt;=1,1,(15/16)*(((H647-$F$4:$F$515)/$B$10)-(2/3)*((H647-$F$4:$F$515)/$B$10)^3+(1/5)*((H647-$F$4:$F$515)/$B$10)^5+8/15))))/COUNT($F$4:$F$515)</f>
        <v>8.2189492579763754E-2</v>
      </c>
      <c r="H647" s="1">
        <f t="shared" si="32"/>
        <v>-3.142855031216904E-2</v>
      </c>
      <c r="K647" s="2">
        <v>0.01</v>
      </c>
      <c r="L647" s="3">
        <f t="shared" si="30"/>
        <v>-3.8928550312169082E-2</v>
      </c>
    </row>
    <row r="648" spans="4:12" ht="14.4" customHeight="1">
      <c r="D648" s="7">
        <v>42926</v>
      </c>
      <c r="E648" s="8">
        <v>6.109</v>
      </c>
      <c r="F648" s="8">
        <f t="shared" si="31"/>
        <v>1.3104014979145844E-3</v>
      </c>
      <c r="G648" s="8" cm="1">
        <f t="array" ref="G648">SUMPRODUCT(IF(((H648-$F$4:$F$515)/$B$10)&lt;=-1,0,IF(((H648-$F$4:$F$515)/$B$10)&gt;=1,1,(15/16)*(((H648-$F$4:$F$515)/$B$10)-(2/3)*((H648-$F$4:$F$515)/$B$10)^3+(1/5)*((H648-$F$4:$F$515)/$B$10)^5+8/15))))/COUNT($F$4:$F$515)</f>
        <v>8.3820314623928388E-2</v>
      </c>
      <c r="H648" s="9">
        <f t="shared" si="32"/>
        <v>-3.1128550312169039E-2</v>
      </c>
      <c r="K648" s="7">
        <v>0.01</v>
      </c>
      <c r="L648" s="8">
        <f t="shared" si="30"/>
        <v>-3.8928550312169082E-2</v>
      </c>
    </row>
    <row r="649" spans="4:12" ht="14.4" customHeight="1">
      <c r="D649" s="2">
        <v>42927</v>
      </c>
      <c r="E649" s="3">
        <v>6.0890000000000004</v>
      </c>
      <c r="F649" s="3">
        <f t="shared" si="31"/>
        <v>-3.279229041192786E-3</v>
      </c>
      <c r="G649" s="3" cm="1">
        <f t="array" ref="G649">SUMPRODUCT(IF(((H649-$F$4:$F$515)/$B$10)&lt;=-1,0,IF(((H649-$F$4:$F$515)/$B$10)&gt;=1,1,(15/16)*(((H649-$F$4:$F$515)/$B$10)-(2/3)*((H649-$F$4:$F$515)/$B$10)^3+(1/5)*((H649-$F$4:$F$515)/$B$10)^5+8/15))))/COUNT($F$4:$F$515)</f>
        <v>8.546661113263887E-2</v>
      </c>
      <c r="H649" s="1">
        <f t="shared" si="32"/>
        <v>-3.0828550312169037E-2</v>
      </c>
      <c r="K649" s="2">
        <v>0.01</v>
      </c>
      <c r="L649" s="3">
        <f t="shared" si="30"/>
        <v>-3.8928550312169082E-2</v>
      </c>
    </row>
    <row r="650" spans="4:12" ht="14.4" customHeight="1">
      <c r="D650" s="7">
        <v>42928</v>
      </c>
      <c r="E650" s="8">
        <v>6.101</v>
      </c>
      <c r="F650" s="8">
        <f t="shared" si="31"/>
        <v>1.9688275432782113E-3</v>
      </c>
      <c r="G650" s="8" cm="1">
        <f t="array" ref="G650">SUMPRODUCT(IF(((H650-$F$4:$F$515)/$B$10)&lt;=-1,0,IF(((H650-$F$4:$F$515)/$B$10)&gt;=1,1,(15/16)*(((H650-$F$4:$F$515)/$B$10)-(2/3)*((H650-$F$4:$F$515)/$B$10)^3+(1/5)*((H650-$F$4:$F$515)/$B$10)^5+8/15))))/COUNT($F$4:$F$515)</f>
        <v>8.7126935981102827E-2</v>
      </c>
      <c r="H650" s="9">
        <f t="shared" si="32"/>
        <v>-3.0528550312169035E-2</v>
      </c>
      <c r="K650" s="7">
        <v>0.01</v>
      </c>
      <c r="L650" s="8">
        <f t="shared" si="30"/>
        <v>-3.8928550312169082E-2</v>
      </c>
    </row>
    <row r="651" spans="4:12" ht="14.4" customHeight="1">
      <c r="D651" s="2">
        <v>42929</v>
      </c>
      <c r="E651" s="3">
        <v>6.2050000000000001</v>
      </c>
      <c r="F651" s="3">
        <f t="shared" si="31"/>
        <v>1.6902726486855126E-2</v>
      </c>
      <c r="G651" s="3" cm="1">
        <f t="array" ref="G651">SUMPRODUCT(IF(((H651-$F$4:$F$515)/$B$10)&lt;=-1,0,IF(((H651-$F$4:$F$515)/$B$10)&gt;=1,1,(15/16)*(((H651-$F$4:$F$515)/$B$10)-(2/3)*((H651-$F$4:$F$515)/$B$10)^3+(1/5)*((H651-$F$4:$F$515)/$B$10)^5+8/15))))/COUNT($F$4:$F$515)</f>
        <v>8.8799812344480811E-2</v>
      </c>
      <c r="H651" s="1">
        <f t="shared" si="32"/>
        <v>-3.0228550312169034E-2</v>
      </c>
      <c r="K651" s="2">
        <v>0.01</v>
      </c>
      <c r="L651" s="3">
        <f t="shared" si="30"/>
        <v>-3.8928550312169082E-2</v>
      </c>
    </row>
    <row r="652" spans="4:12" ht="14.4" customHeight="1">
      <c r="D652" s="7">
        <v>42930</v>
      </c>
      <c r="E652" s="8">
        <v>6.1239999999999997</v>
      </c>
      <c r="F652" s="8">
        <f t="shared" si="31"/>
        <v>-1.3139940861133308E-2</v>
      </c>
      <c r="G652" s="8" cm="1">
        <f t="array" ref="G652">SUMPRODUCT(IF(((H652-$F$4:$F$515)/$B$10)&lt;=-1,0,IF(((H652-$F$4:$F$515)/$B$10)&gt;=1,1,(15/16)*(((H652-$F$4:$F$515)/$B$10)-(2/3)*((H652-$F$4:$F$515)/$B$10)^3+(1/5)*((H652-$F$4:$F$515)/$B$10)^5+8/15))))/COUNT($F$4:$F$515)</f>
        <v>9.0484328679660622E-2</v>
      </c>
      <c r="H652" s="9">
        <f t="shared" si="32"/>
        <v>-2.9928550312169032E-2</v>
      </c>
      <c r="K652" s="7">
        <v>0.01</v>
      </c>
      <c r="L652" s="8">
        <f t="shared" si="30"/>
        <v>-3.8928550312169082E-2</v>
      </c>
    </row>
    <row r="653" spans="4:12" ht="14.4" customHeight="1">
      <c r="D653" s="2">
        <v>42933</v>
      </c>
      <c r="E653" s="3">
        <v>6.0860000000000003</v>
      </c>
      <c r="F653" s="3">
        <f t="shared" si="31"/>
        <v>-6.22442632065785E-3</v>
      </c>
      <c r="G653" s="3" cm="1">
        <f t="array" ref="G653">SUMPRODUCT(IF(((H653-$F$4:$F$515)/$B$10)&lt;=-1,0,IF(((H653-$F$4:$F$515)/$B$10)&gt;=1,1,(15/16)*(((H653-$F$4:$F$515)/$B$10)-(2/3)*((H653-$F$4:$F$515)/$B$10)^3+(1/5)*((H653-$F$4:$F$515)/$B$10)^5+8/15))))/COUNT($F$4:$F$515)</f>
        <v>9.217951712032843E-2</v>
      </c>
      <c r="H653" s="1">
        <f t="shared" si="32"/>
        <v>-2.962855031216903E-2</v>
      </c>
      <c r="K653" s="2">
        <v>0.01</v>
      </c>
      <c r="L653" s="3">
        <f t="shared" si="30"/>
        <v>-3.8928550312169082E-2</v>
      </c>
    </row>
    <row r="654" spans="4:12" ht="14.4" customHeight="1">
      <c r="D654" s="7">
        <v>42934</v>
      </c>
      <c r="E654" s="8">
        <v>5.98</v>
      </c>
      <c r="F654" s="8">
        <f t="shared" si="31"/>
        <v>-1.7570483512238971E-2</v>
      </c>
      <c r="G654" s="8" cm="1">
        <f t="array" ref="G654">SUMPRODUCT(IF(((H654-$F$4:$F$515)/$B$10)&lt;=-1,0,IF(((H654-$F$4:$F$515)/$B$10)&gt;=1,1,(15/16)*(((H654-$F$4:$F$515)/$B$10)-(2/3)*((H654-$F$4:$F$515)/$B$10)^3+(1/5)*((H654-$F$4:$F$515)/$B$10)^5+8/15))))/COUNT($F$4:$F$515)</f>
        <v>9.3884768259286211E-2</v>
      </c>
      <c r="H654" s="9">
        <f t="shared" si="32"/>
        <v>-2.9328550312169029E-2</v>
      </c>
      <c r="K654" s="7">
        <v>0.01</v>
      </c>
      <c r="L654" s="8">
        <f t="shared" si="30"/>
        <v>-3.8928550312169082E-2</v>
      </c>
    </row>
    <row r="655" spans="4:12" ht="14.4" customHeight="1">
      <c r="D655" s="2">
        <v>42935</v>
      </c>
      <c r="E655" s="3">
        <v>6.0110000000000001</v>
      </c>
      <c r="F655" s="3">
        <f t="shared" si="31"/>
        <v>5.1705560944846551E-3</v>
      </c>
      <c r="G655" s="3" cm="1">
        <f t="array" ref="G655">SUMPRODUCT(IF(((H655-$F$4:$F$515)/$B$10)&lt;=-1,0,IF(((H655-$F$4:$F$515)/$B$10)&gt;=1,1,(15/16)*(((H655-$F$4:$F$515)/$B$10)-(2/3)*((H655-$F$4:$F$515)/$B$10)^3+(1/5)*((H655-$F$4:$F$515)/$B$10)^5+8/15))))/COUNT($F$4:$F$515)</f>
        <v>9.559981062250604E-2</v>
      </c>
      <c r="H655" s="1">
        <f t="shared" si="32"/>
        <v>-2.9028550312169027E-2</v>
      </c>
      <c r="K655" s="2">
        <v>0.01</v>
      </c>
      <c r="L655" s="3">
        <f t="shared" si="30"/>
        <v>-3.8928550312169082E-2</v>
      </c>
    </row>
    <row r="656" spans="4:12" ht="14.4" customHeight="1">
      <c r="D656" s="7">
        <v>42936</v>
      </c>
      <c r="E656" s="8">
        <v>6.0069999999999997</v>
      </c>
      <c r="F656" s="8">
        <f t="shared" si="31"/>
        <v>-6.6566818900064219E-4</v>
      </c>
      <c r="G656" s="8" cm="1">
        <f t="array" ref="G656">SUMPRODUCT(IF(((H656-$F$4:$F$515)/$B$10)&lt;=-1,0,IF(((H656-$F$4:$F$515)/$B$10)&gt;=1,1,(15/16)*(((H656-$F$4:$F$515)/$B$10)-(2/3)*((H656-$F$4:$F$515)/$B$10)^3+(1/5)*((H656-$F$4:$F$515)/$B$10)^5+8/15))))/COUNT($F$4:$F$515)</f>
        <v>9.732457992089652E-2</v>
      </c>
      <c r="H656" s="9">
        <f t="shared" si="32"/>
        <v>-2.8728550312169025E-2</v>
      </c>
      <c r="K656" s="7">
        <v>0.01</v>
      </c>
      <c r="L656" s="8">
        <f t="shared" si="30"/>
        <v>-3.8928550312169082E-2</v>
      </c>
    </row>
    <row r="657" spans="4:12" ht="14.4" customHeight="1">
      <c r="D657" s="2">
        <v>42937</v>
      </c>
      <c r="E657" s="3">
        <v>5.92</v>
      </c>
      <c r="F657" s="3">
        <f t="shared" si="31"/>
        <v>-1.4589006972109981E-2</v>
      </c>
      <c r="G657" s="3" cm="1">
        <f t="array" ref="G657">SUMPRODUCT(IF(((H657-$F$4:$F$515)/$B$10)&lt;=-1,0,IF(((H657-$F$4:$F$515)/$B$10)&gt;=1,1,(15/16)*(((H657-$F$4:$F$515)/$B$10)-(2/3)*((H657-$F$4:$F$515)/$B$10)^3+(1/5)*((H657-$F$4:$F$515)/$B$10)^5+8/15))))/COUNT($F$4:$F$515)</f>
        <v>9.9059825077985539E-2</v>
      </c>
      <c r="H657" s="1">
        <f t="shared" si="32"/>
        <v>-2.8428550312169024E-2</v>
      </c>
      <c r="K657" s="2">
        <v>0.01</v>
      </c>
      <c r="L657" s="3">
        <f t="shared" si="30"/>
        <v>-3.8928550312169082E-2</v>
      </c>
    </row>
    <row r="658" spans="4:12" ht="14.4" customHeight="1">
      <c r="D658" s="7">
        <v>42940</v>
      </c>
      <c r="E658" s="8">
        <v>6.0170000000000003</v>
      </c>
      <c r="F658" s="8">
        <f t="shared" si="31"/>
        <v>1.6252347342300424E-2</v>
      </c>
      <c r="G658" s="8" cm="1">
        <f t="array" ref="G658">SUMPRODUCT(IF(((H658-$F$4:$F$515)/$B$10)&lt;=-1,0,IF(((H658-$F$4:$F$515)/$B$10)&gt;=1,1,(15/16)*(((H658-$F$4:$F$515)/$B$10)-(2/3)*((H658-$F$4:$F$515)/$B$10)^3+(1/5)*((H658-$F$4:$F$515)/$B$10)^5+8/15))))/COUNT($F$4:$F$515)</f>
        <v>0.10080836015335796</v>
      </c>
      <c r="H658" s="9">
        <f t="shared" si="32"/>
        <v>-2.8128550312169022E-2</v>
      </c>
      <c r="K658" s="7">
        <v>0.01</v>
      </c>
      <c r="L658" s="8">
        <f t="shared" si="30"/>
        <v>-3.8928550312169082E-2</v>
      </c>
    </row>
    <row r="659" spans="4:12" ht="14.4" customHeight="1">
      <c r="D659" s="2">
        <v>42941</v>
      </c>
      <c r="E659" s="3">
        <v>6.1429999999999998</v>
      </c>
      <c r="F659" s="3">
        <f t="shared" si="31"/>
        <v>2.0724425943575462E-2</v>
      </c>
      <c r="G659" s="3" cm="1">
        <f t="array" ref="G659">SUMPRODUCT(IF(((H659-$F$4:$F$515)/$B$10)&lt;=-1,0,IF(((H659-$F$4:$F$515)/$B$10)&gt;=1,1,(15/16)*(((H659-$F$4:$F$515)/$B$10)-(2/3)*((H659-$F$4:$F$515)/$B$10)^3+(1/5)*((H659-$F$4:$F$515)/$B$10)^5+8/15))))/COUNT($F$4:$F$515)</f>
        <v>0.10257353209425818</v>
      </c>
      <c r="H659" s="1">
        <f t="shared" si="32"/>
        <v>-2.782855031216902E-2</v>
      </c>
      <c r="K659" s="2">
        <v>0.01</v>
      </c>
      <c r="L659" s="3">
        <f t="shared" si="30"/>
        <v>-3.8928550312169082E-2</v>
      </c>
    </row>
    <row r="660" spans="4:12" ht="14.4" customHeight="1">
      <c r="D660" s="7">
        <v>42942</v>
      </c>
      <c r="E660" s="8">
        <v>6.1760000000000002</v>
      </c>
      <c r="F660" s="8">
        <f t="shared" si="31"/>
        <v>5.3575905406848161E-3</v>
      </c>
      <c r="G660" s="8" cm="1">
        <f t="array" ref="G660">SUMPRODUCT(IF(((H660-$F$4:$F$515)/$B$10)&lt;=-1,0,IF(((H660-$F$4:$F$515)/$B$10)&gt;=1,1,(15/16)*(((H660-$F$4:$F$515)/$B$10)-(2/3)*((H660-$F$4:$F$515)/$B$10)^3+(1/5)*((H660-$F$4:$F$515)/$B$10)^5+8/15))))/COUNT($F$4:$F$515)</f>
        <v>0.104358931031413</v>
      </c>
      <c r="H660" s="9">
        <f t="shared" si="32"/>
        <v>-2.7528550312169019E-2</v>
      </c>
      <c r="K660" s="7">
        <v>0.01</v>
      </c>
      <c r="L660" s="8">
        <f t="shared" si="30"/>
        <v>-3.8928550312169082E-2</v>
      </c>
    </row>
    <row r="661" spans="4:12" ht="14.4" customHeight="1">
      <c r="D661" s="2">
        <v>42943</v>
      </c>
      <c r="E661" s="3">
        <v>6.1790000000000003</v>
      </c>
      <c r="F661" s="3">
        <f t="shared" si="31"/>
        <v>4.8563335636756536E-4</v>
      </c>
      <c r="G661" s="3" cm="1">
        <f t="array" ref="G661">SUMPRODUCT(IF(((H661-$F$4:$F$515)/$B$10)&lt;=-1,0,IF(((H661-$F$4:$F$515)/$B$10)&gt;=1,1,(15/16)*(((H661-$F$4:$F$515)/$B$10)-(2/3)*((H661-$F$4:$F$515)/$B$10)^3+(1/5)*((H661-$F$4:$F$515)/$B$10)^5+8/15))))/COUNT($F$4:$F$515)</f>
        <v>0.10616889537601007</v>
      </c>
      <c r="H661" s="1">
        <f t="shared" si="32"/>
        <v>-2.7228550312169017E-2</v>
      </c>
      <c r="K661" s="2">
        <v>0.01</v>
      </c>
      <c r="L661" s="3">
        <f t="shared" si="30"/>
        <v>-3.8928550312169082E-2</v>
      </c>
    </row>
    <row r="662" spans="4:12" ht="14.4" customHeight="1">
      <c r="D662" s="7">
        <v>42944</v>
      </c>
      <c r="E662" s="8">
        <v>6.2</v>
      </c>
      <c r="F662" s="8">
        <f t="shared" si="31"/>
        <v>3.3928459722033953E-3</v>
      </c>
      <c r="G662" s="8" cm="1">
        <f t="array" ref="G662">SUMPRODUCT(IF(((H662-$F$4:$F$515)/$B$10)&lt;=-1,0,IF(((H662-$F$4:$F$515)/$B$10)&gt;=1,1,(15/16)*(((H662-$F$4:$F$515)/$B$10)-(2/3)*((H662-$F$4:$F$515)/$B$10)^3+(1/5)*((H662-$F$4:$F$515)/$B$10)^5+8/15))))/COUNT($F$4:$F$515)</f>
        <v>0.10800795755492261</v>
      </c>
      <c r="H662" s="9">
        <f t="shared" si="32"/>
        <v>-2.6928550312169015E-2</v>
      </c>
      <c r="K662" s="7">
        <v>0.01</v>
      </c>
      <c r="L662" s="8">
        <f t="shared" si="30"/>
        <v>-3.8928550312169082E-2</v>
      </c>
    </row>
    <row r="663" spans="4:12" ht="14.4" customHeight="1">
      <c r="D663" s="2">
        <v>42947</v>
      </c>
      <c r="E663" s="3">
        <v>6.1429999999999998</v>
      </c>
      <c r="F663" s="3">
        <f t="shared" si="31"/>
        <v>-9.2360698692555906E-3</v>
      </c>
      <c r="G663" s="3" cm="1">
        <f t="array" ref="G663">SUMPRODUCT(IF(((H663-$F$4:$F$515)/$B$10)&lt;=-1,0,IF(((H663-$F$4:$F$515)/$B$10)&gt;=1,1,(15/16)*(((H663-$F$4:$F$515)/$B$10)-(2/3)*((H663-$F$4:$F$515)/$B$10)^3+(1/5)*((H663-$F$4:$F$515)/$B$10)^5+8/15))))/COUNT($F$4:$F$515)</f>
        <v>0.1098806808240536</v>
      </c>
      <c r="H663" s="1">
        <f t="shared" si="32"/>
        <v>-2.6628550312169014E-2</v>
      </c>
      <c r="K663" s="2">
        <v>0.01</v>
      </c>
      <c r="L663" s="3">
        <f t="shared" si="30"/>
        <v>-3.8928550312169082E-2</v>
      </c>
    </row>
    <row r="664" spans="4:12" ht="14.4" customHeight="1">
      <c r="D664" s="7">
        <v>42948</v>
      </c>
      <c r="E664" s="8">
        <v>6.1879999999999997</v>
      </c>
      <c r="F664" s="8">
        <f t="shared" si="31"/>
        <v>7.2987105290294235E-3</v>
      </c>
      <c r="G664" s="8" cm="1">
        <f t="array" ref="G664">SUMPRODUCT(IF(((H664-$F$4:$F$515)/$B$10)&lt;=-1,0,IF(((H664-$F$4:$F$515)/$B$10)&gt;=1,1,(15/16)*(((H664-$F$4:$F$515)/$B$10)-(2/3)*((H664-$F$4:$F$515)/$B$10)^3+(1/5)*((H664-$F$4:$F$515)/$B$10)^5+8/15))))/COUNT($F$4:$F$515)</f>
        <v>0.11179204201274033</v>
      </c>
      <c r="H664" s="9">
        <f t="shared" si="32"/>
        <v>-2.6328550312169012E-2</v>
      </c>
      <c r="K664" s="7">
        <v>0.01</v>
      </c>
      <c r="L664" s="8">
        <f t="shared" si="30"/>
        <v>-3.8928550312169082E-2</v>
      </c>
    </row>
    <row r="665" spans="4:12" ht="14.4" customHeight="1">
      <c r="D665" s="2">
        <v>42949</v>
      </c>
      <c r="E665" s="3">
        <v>6.2140000000000004</v>
      </c>
      <c r="F665" s="3">
        <f t="shared" si="31"/>
        <v>4.1928782600361781E-3</v>
      </c>
      <c r="G665" s="3" cm="1">
        <f t="array" ref="G665">SUMPRODUCT(IF(((H665-$F$4:$F$515)/$B$10)&lt;=-1,0,IF(((H665-$F$4:$F$515)/$B$10)&gt;=1,1,(15/16)*(((H665-$F$4:$F$515)/$B$10)-(2/3)*((H665-$F$4:$F$515)/$B$10)^3+(1/5)*((H665-$F$4:$F$515)/$B$10)^5+8/15))))/COUNT($F$4:$F$515)</f>
        <v>0.11374723857593222</v>
      </c>
      <c r="H665" s="1">
        <f t="shared" si="32"/>
        <v>-2.602855031216901E-2</v>
      </c>
      <c r="K665" s="2">
        <v>0.01</v>
      </c>
      <c r="L665" s="3">
        <f t="shared" si="30"/>
        <v>-3.8928550312169082E-2</v>
      </c>
    </row>
    <row r="666" spans="4:12" ht="14.4" customHeight="1">
      <c r="D666" s="7">
        <v>42950</v>
      </c>
      <c r="E666" s="8">
        <v>6.3570000000000002</v>
      </c>
      <c r="F666" s="8">
        <f t="shared" si="31"/>
        <v>2.2751756983416027E-2</v>
      </c>
      <c r="G666" s="8" cm="1">
        <f t="array" ref="G666">SUMPRODUCT(IF(((H666-$F$4:$F$515)/$B$10)&lt;=-1,0,IF(((H666-$F$4:$F$515)/$B$10)&gt;=1,1,(15/16)*(((H666-$F$4:$F$515)/$B$10)-(2/3)*((H666-$F$4:$F$515)/$B$10)^3+(1/5)*((H666-$F$4:$F$515)/$B$10)^5+8/15))))/COUNT($F$4:$F$515)</f>
        <v>0.11575133370106669</v>
      </c>
      <c r="H666" s="9">
        <f t="shared" si="32"/>
        <v>-2.5728550312169009E-2</v>
      </c>
      <c r="K666" s="7">
        <v>0.01</v>
      </c>
      <c r="L666" s="8">
        <f t="shared" si="30"/>
        <v>-3.8928550312169082E-2</v>
      </c>
    </row>
    <row r="667" spans="4:12" ht="14.4" customHeight="1">
      <c r="D667" s="2">
        <v>42951</v>
      </c>
      <c r="E667" s="3">
        <v>6.5309999999999997</v>
      </c>
      <c r="F667" s="3">
        <f t="shared" si="31"/>
        <v>2.7003502966248264E-2</v>
      </c>
      <c r="G667" s="3" cm="1">
        <f t="array" ref="G667">SUMPRODUCT(IF(((H667-$F$4:$F$515)/$B$10)&lt;=-1,0,IF(((H667-$F$4:$F$515)/$B$10)&gt;=1,1,(15/16)*(((H667-$F$4:$F$515)/$B$10)-(2/3)*((H667-$F$4:$F$515)/$B$10)^3+(1/5)*((H667-$F$4:$F$515)/$B$10)^5+8/15))))/COUNT($F$4:$F$515)</f>
        <v>0.11780945726173285</v>
      </c>
      <c r="H667" s="1">
        <f t="shared" si="32"/>
        <v>-2.5428550312169007E-2</v>
      </c>
      <c r="K667" s="2">
        <v>0.01</v>
      </c>
      <c r="L667" s="3">
        <f t="shared" si="30"/>
        <v>-3.8928550312169082E-2</v>
      </c>
    </row>
    <row r="668" spans="4:12" ht="14.4" customHeight="1">
      <c r="D668" s="7">
        <v>42954</v>
      </c>
      <c r="E668" s="8">
        <v>6.6150000000000002</v>
      </c>
      <c r="F668" s="8">
        <f t="shared" si="31"/>
        <v>1.2779726646399021E-2</v>
      </c>
      <c r="G668" s="8" cm="1">
        <f t="array" ref="G668">SUMPRODUCT(IF(((H668-$F$4:$F$515)/$B$10)&lt;=-1,0,IF(((H668-$F$4:$F$515)/$B$10)&gt;=1,1,(15/16)*(((H668-$F$4:$F$515)/$B$10)-(2/3)*((H668-$F$4:$F$515)/$B$10)^3+(1/5)*((H668-$F$4:$F$515)/$B$10)^5+8/15))))/COUNT($F$4:$F$515)</f>
        <v>0.1199257965292931</v>
      </c>
      <c r="H668" s="9">
        <f t="shared" si="32"/>
        <v>-2.5128550312169005E-2</v>
      </c>
      <c r="K668" s="7">
        <v>0.01</v>
      </c>
      <c r="L668" s="8">
        <f t="shared" si="30"/>
        <v>-3.8928550312169082E-2</v>
      </c>
    </row>
    <row r="669" spans="4:12" ht="14.4" customHeight="1">
      <c r="D669" s="2">
        <v>42955</v>
      </c>
      <c r="E669" s="3">
        <v>6.68</v>
      </c>
      <c r="F669" s="3">
        <f t="shared" si="31"/>
        <v>9.778189981635264E-3</v>
      </c>
      <c r="G669" s="3" cm="1">
        <f t="array" ref="G669">SUMPRODUCT(IF(((H669-$F$4:$F$515)/$B$10)&lt;=-1,0,IF(((H669-$F$4:$F$515)/$B$10)&gt;=1,1,(15/16)*(((H669-$F$4:$F$515)/$B$10)-(2/3)*((H669-$F$4:$F$515)/$B$10)^3+(1/5)*((H669-$F$4:$F$515)/$B$10)^5+8/15))))/COUNT($F$4:$F$515)</f>
        <v>0.12210300720956779</v>
      </c>
      <c r="H669" s="1">
        <f t="shared" si="32"/>
        <v>-2.4828550312169004E-2</v>
      </c>
      <c r="K669" s="2">
        <v>0.01</v>
      </c>
      <c r="L669" s="3">
        <f t="shared" si="30"/>
        <v>-3.8928550312169082E-2</v>
      </c>
    </row>
    <row r="670" spans="4:12" ht="14.4" customHeight="1">
      <c r="D670" s="7">
        <v>42956</v>
      </c>
      <c r="E670" s="8">
        <v>6.556</v>
      </c>
      <c r="F670" s="8">
        <f t="shared" si="31"/>
        <v>-1.8737326666971039E-2</v>
      </c>
      <c r="G670" s="8" cm="1">
        <f t="array" ref="G670">SUMPRODUCT(IF(((H670-$F$4:$F$515)/$B$10)&lt;=-1,0,IF(((H670-$F$4:$F$515)/$B$10)&gt;=1,1,(15/16)*(((H670-$F$4:$F$515)/$B$10)-(2/3)*((H670-$F$4:$F$515)/$B$10)^3+(1/5)*((H670-$F$4:$F$515)/$B$10)^5+8/15))))/COUNT($F$4:$F$515)</f>
        <v>0.12434213651132976</v>
      </c>
      <c r="H670" s="9">
        <f t="shared" si="32"/>
        <v>-2.4528550312169002E-2</v>
      </c>
      <c r="K670" s="7">
        <v>0.01</v>
      </c>
      <c r="L670" s="8">
        <f t="shared" si="30"/>
        <v>-3.8928550312169082E-2</v>
      </c>
    </row>
    <row r="671" spans="4:12" ht="14.4" customHeight="1">
      <c r="D671" s="2">
        <v>42957</v>
      </c>
      <c r="E671" s="3">
        <v>6.524</v>
      </c>
      <c r="F671" s="3">
        <f t="shared" si="31"/>
        <v>-4.8929761228158376E-3</v>
      </c>
      <c r="G671" s="3" cm="1">
        <f t="array" ref="G671">SUMPRODUCT(IF(((H671-$F$4:$F$515)/$B$10)&lt;=-1,0,IF(((H671-$F$4:$F$515)/$B$10)&gt;=1,1,(15/16)*(((H671-$F$4:$F$515)/$B$10)-(2/3)*((H671-$F$4:$F$515)/$B$10)^3+(1/5)*((H671-$F$4:$F$515)/$B$10)^5+8/15))))/COUNT($F$4:$F$515)</f>
        <v>0.12664274989882296</v>
      </c>
      <c r="H671" s="1">
        <f t="shared" si="32"/>
        <v>-2.4228550312169E-2</v>
      </c>
      <c r="K671" s="2">
        <v>0.01</v>
      </c>
      <c r="L671" s="3">
        <f t="shared" si="30"/>
        <v>-3.8928550312169082E-2</v>
      </c>
    </row>
    <row r="672" spans="4:12" ht="14.4" customHeight="1">
      <c r="D672" s="7">
        <v>42958</v>
      </c>
      <c r="E672" s="8">
        <v>6.4420000000000002</v>
      </c>
      <c r="F672" s="8">
        <f t="shared" si="31"/>
        <v>-1.2648633849760289E-2</v>
      </c>
      <c r="G672" s="8" cm="1">
        <f t="array" ref="G672">SUMPRODUCT(IF(((H672-$F$4:$F$515)/$B$10)&lt;=-1,0,IF(((H672-$F$4:$F$515)/$B$10)&gt;=1,1,(15/16)*(((H672-$F$4:$F$515)/$B$10)-(2/3)*((H672-$F$4:$F$515)/$B$10)^3+(1/5)*((H672-$F$4:$F$515)/$B$10)^5+8/15))))/COUNT($F$4:$F$515)</f>
        <v>0.12900549860661961</v>
      </c>
      <c r="H672" s="9">
        <f t="shared" si="32"/>
        <v>-2.3928550312168999E-2</v>
      </c>
      <c r="K672" s="7">
        <v>0.01</v>
      </c>
      <c r="L672" s="8">
        <f t="shared" si="30"/>
        <v>-3.8928550312169082E-2</v>
      </c>
    </row>
    <row r="673" spans="4:12" ht="14.4" customHeight="1">
      <c r="D673" s="2">
        <v>42961</v>
      </c>
      <c r="E673" s="3">
        <v>6.4870000000000001</v>
      </c>
      <c r="F673" s="3">
        <f t="shared" si="31"/>
        <v>6.9611233219113505E-3</v>
      </c>
      <c r="G673" s="3" cm="1">
        <f t="array" ref="G673">SUMPRODUCT(IF(((H673-$F$4:$F$515)/$B$10)&lt;=-1,0,IF(((H673-$F$4:$F$515)/$B$10)&gt;=1,1,(15/16)*(((H673-$F$4:$F$515)/$B$10)-(2/3)*((H673-$F$4:$F$515)/$B$10)^3+(1/5)*((H673-$F$4:$F$515)/$B$10)^5+8/15))))/COUNT($F$4:$F$515)</f>
        <v>0.13143227842100194</v>
      </c>
      <c r="H673" s="1">
        <f t="shared" si="32"/>
        <v>-2.3628550312168997E-2</v>
      </c>
      <c r="K673" s="2">
        <v>0.01</v>
      </c>
      <c r="L673" s="3">
        <f t="shared" si="30"/>
        <v>-3.8928550312169082E-2</v>
      </c>
    </row>
    <row r="674" spans="4:12" ht="14.4" customHeight="1">
      <c r="D674" s="7">
        <v>42962</v>
      </c>
      <c r="E674" s="8">
        <v>6.4770000000000003</v>
      </c>
      <c r="F674" s="8">
        <f t="shared" si="31"/>
        <v>-1.5427340301383239E-3</v>
      </c>
      <c r="G674" s="8" cm="1">
        <f t="array" ref="G674">SUMPRODUCT(IF(((H674-$F$4:$F$515)/$B$10)&lt;=-1,0,IF(((H674-$F$4:$F$515)/$B$10)&gt;=1,1,(15/16)*(((H674-$F$4:$F$515)/$B$10)-(2/3)*((H674-$F$4:$F$515)/$B$10)^3+(1/5)*((H674-$F$4:$F$515)/$B$10)^5+8/15))))/COUNT($F$4:$F$515)</f>
        <v>0.13392492251318283</v>
      </c>
      <c r="H674" s="9">
        <f t="shared" si="32"/>
        <v>-2.3328550312168995E-2</v>
      </c>
      <c r="K674" s="7">
        <v>0.01</v>
      </c>
      <c r="L674" s="8">
        <f t="shared" si="30"/>
        <v>-3.8928550312169082E-2</v>
      </c>
    </row>
    <row r="675" spans="4:12" ht="14.4" customHeight="1">
      <c r="D675" s="2">
        <v>42963</v>
      </c>
      <c r="E675" s="3">
        <v>6.5049999999999999</v>
      </c>
      <c r="F675" s="3">
        <f t="shared" si="31"/>
        <v>4.3136717636885497E-3</v>
      </c>
      <c r="G675" s="3" cm="1">
        <f t="array" ref="G675">SUMPRODUCT(IF(((H675-$F$4:$F$515)/$B$10)&lt;=-1,0,IF(((H675-$F$4:$F$515)/$B$10)&gt;=1,1,(15/16)*(((H675-$F$4:$F$515)/$B$10)-(2/3)*((H675-$F$4:$F$515)/$B$10)^3+(1/5)*((H675-$F$4:$F$515)/$B$10)^5+8/15))))/COUNT($F$4:$F$515)</f>
        <v>0.13648443690139647</v>
      </c>
      <c r="H675" s="1">
        <f t="shared" si="32"/>
        <v>-2.3028550312168994E-2</v>
      </c>
      <c r="K675" s="2">
        <v>0.01</v>
      </c>
      <c r="L675" s="3">
        <f t="shared" si="30"/>
        <v>-3.8928550312169082E-2</v>
      </c>
    </row>
    <row r="676" spans="4:12" ht="14.4" customHeight="1">
      <c r="D676" s="7">
        <v>42964</v>
      </c>
      <c r="E676" s="8">
        <v>6.4020000000000001</v>
      </c>
      <c r="F676" s="8">
        <f t="shared" si="31"/>
        <v>-1.5960670416797291E-2</v>
      </c>
      <c r="G676" s="8" cm="1">
        <f t="array" ref="G676">SUMPRODUCT(IF(((H676-$F$4:$F$515)/$B$10)&lt;=-1,0,IF(((H676-$F$4:$F$515)/$B$10)&gt;=1,1,(15/16)*(((H676-$F$4:$F$515)/$B$10)-(2/3)*((H676-$F$4:$F$515)/$B$10)^3+(1/5)*((H676-$F$4:$F$515)/$B$10)^5+8/15))))/COUNT($F$4:$F$515)</f>
        <v>0.13911162173951525</v>
      </c>
      <c r="H676" s="9">
        <f t="shared" si="32"/>
        <v>-2.2728550312168992E-2</v>
      </c>
      <c r="K676" s="7">
        <v>0.01</v>
      </c>
      <c r="L676" s="8">
        <f t="shared" si="30"/>
        <v>-3.8928550312169082E-2</v>
      </c>
    </row>
    <row r="677" spans="4:12" ht="14.4" customHeight="1">
      <c r="D677" s="2">
        <v>42965</v>
      </c>
      <c r="E677" s="3">
        <v>6.4</v>
      </c>
      <c r="F677" s="3">
        <f t="shared" si="31"/>
        <v>-3.1245118204510094E-4</v>
      </c>
      <c r="G677" s="3" cm="1">
        <f t="array" ref="G677">SUMPRODUCT(IF(((H677-$F$4:$F$515)/$B$10)&lt;=-1,0,IF(((H677-$F$4:$F$515)/$B$10)&gt;=1,1,(15/16)*(((H677-$F$4:$F$515)/$B$10)-(2/3)*((H677-$F$4:$F$515)/$B$10)^3+(1/5)*((H677-$F$4:$F$515)/$B$10)^5+8/15))))/COUNT($F$4:$F$515)</f>
        <v>0.14180673042913675</v>
      </c>
      <c r="H677" s="1">
        <f t="shared" si="32"/>
        <v>-2.2428550312168991E-2</v>
      </c>
      <c r="K677" s="2">
        <v>0.01</v>
      </c>
      <c r="L677" s="3">
        <f t="shared" si="30"/>
        <v>-3.8928550312169082E-2</v>
      </c>
    </row>
    <row r="678" spans="4:12" ht="14.4" customHeight="1">
      <c r="D678" s="7">
        <v>42968</v>
      </c>
      <c r="E678" s="8">
        <v>6.3220000000000001</v>
      </c>
      <c r="F678" s="8">
        <f t="shared" si="31"/>
        <v>-1.2262376572200206E-2</v>
      </c>
      <c r="G678" s="8" cm="1">
        <f t="array" ref="G678">SUMPRODUCT(IF(((H678-$F$4:$F$515)/$B$10)&lt;=-1,0,IF(((H678-$F$4:$F$515)/$B$10)&gt;=1,1,(15/16)*(((H678-$F$4:$F$515)/$B$10)-(2/3)*((H678-$F$4:$F$515)/$B$10)^3+(1/5)*((H678-$F$4:$F$515)/$B$10)^5+8/15))))/COUNT($F$4:$F$515)</f>
        <v>0.14456931892335501</v>
      </c>
      <c r="H678" s="9">
        <f t="shared" si="32"/>
        <v>-2.2128550312168989E-2</v>
      </c>
      <c r="K678" s="7">
        <v>0.01</v>
      </c>
      <c r="L678" s="8">
        <f t="shared" si="30"/>
        <v>-3.8928550312169082E-2</v>
      </c>
    </row>
    <row r="679" spans="4:12" ht="14.4" customHeight="1">
      <c r="D679" s="2">
        <v>42969</v>
      </c>
      <c r="E679" s="3">
        <v>6.3810000000000002</v>
      </c>
      <c r="F679" s="3">
        <f t="shared" si="31"/>
        <v>9.2892110927837862E-3</v>
      </c>
      <c r="G679" s="3" cm="1">
        <f t="array" ref="G679">SUMPRODUCT(IF(((H679-$F$4:$F$515)/$B$10)&lt;=-1,0,IF(((H679-$F$4:$F$515)/$B$10)&gt;=1,1,(15/16)*(((H679-$F$4:$F$515)/$B$10)-(2/3)*((H679-$F$4:$F$515)/$B$10)^3+(1/5)*((H679-$F$4:$F$515)/$B$10)^5+8/15))))/COUNT($F$4:$F$515)</f>
        <v>0.14739978311859323</v>
      </c>
      <c r="H679" s="1">
        <f t="shared" si="32"/>
        <v>-2.1828550312168987E-2</v>
      </c>
      <c r="K679" s="2">
        <v>0.01</v>
      </c>
      <c r="L679" s="3">
        <f t="shared" si="30"/>
        <v>-3.8928550312169082E-2</v>
      </c>
    </row>
    <row r="680" spans="4:12" ht="14.4" customHeight="1">
      <c r="D680" s="7">
        <v>42970</v>
      </c>
      <c r="E680" s="8">
        <v>6.2919999999999998</v>
      </c>
      <c r="F680" s="8">
        <f t="shared" si="31"/>
        <v>-1.404583969017853E-2</v>
      </c>
      <c r="G680" s="8" cm="1">
        <f t="array" ref="G680">SUMPRODUCT(IF(((H680-$F$4:$F$515)/$B$10)&lt;=-1,0,IF(((H680-$F$4:$F$515)/$B$10)&gt;=1,1,(15/16)*(((H680-$F$4:$F$515)/$B$10)-(2/3)*((H680-$F$4:$F$515)/$B$10)^3+(1/5)*((H680-$F$4:$F$515)/$B$10)^5+8/15))))/COUNT($F$4:$F$515)</f>
        <v>0.15029914499907732</v>
      </c>
      <c r="H680" s="9">
        <f t="shared" si="32"/>
        <v>-2.1528550312168986E-2</v>
      </c>
      <c r="K680" s="7">
        <v>0.01</v>
      </c>
      <c r="L680" s="8">
        <f t="shared" si="30"/>
        <v>-3.8928550312169082E-2</v>
      </c>
    </row>
    <row r="681" spans="4:12" ht="14.4" customHeight="1">
      <c r="D681" s="2">
        <v>42971</v>
      </c>
      <c r="E681" s="3">
        <v>6.2960000000000003</v>
      </c>
      <c r="F681" s="3">
        <f t="shared" si="31"/>
        <v>6.3552591907076151E-4</v>
      </c>
      <c r="G681" s="3" cm="1">
        <f t="array" ref="G681">SUMPRODUCT(IF(((H681-$F$4:$F$515)/$B$10)&lt;=-1,0,IF(((H681-$F$4:$F$515)/$B$10)&gt;=1,1,(15/16)*(((H681-$F$4:$F$515)/$B$10)-(2/3)*((H681-$F$4:$F$515)/$B$10)^3+(1/5)*((H681-$F$4:$F$515)/$B$10)^5+8/15))))/COUNT($F$4:$F$515)</f>
        <v>0.15326777096569774</v>
      </c>
      <c r="H681" s="1">
        <f t="shared" si="32"/>
        <v>-2.1228550312168984E-2</v>
      </c>
      <c r="K681" s="2">
        <v>0.01</v>
      </c>
      <c r="L681" s="3">
        <f t="shared" si="30"/>
        <v>-3.8928550312169082E-2</v>
      </c>
    </row>
    <row r="682" spans="4:12" ht="14.4" customHeight="1">
      <c r="D682" s="7">
        <v>42972</v>
      </c>
      <c r="E682" s="8">
        <v>6.2880000000000003</v>
      </c>
      <c r="F682" s="8">
        <f t="shared" si="31"/>
        <v>-1.271455988196721E-3</v>
      </c>
      <c r="G682" s="8" cm="1">
        <f t="array" ref="G682">SUMPRODUCT(IF(((H682-$F$4:$F$515)/$B$10)&lt;=-1,0,IF(((H682-$F$4:$F$515)/$B$10)&gt;=1,1,(15/16)*(((H682-$F$4:$F$515)/$B$10)-(2/3)*((H682-$F$4:$F$515)/$B$10)^3+(1/5)*((H682-$F$4:$F$515)/$B$10)^5+8/15))))/COUNT($F$4:$F$515)</f>
        <v>0.15630675524924384</v>
      </c>
      <c r="H682" s="9">
        <f t="shared" si="32"/>
        <v>-2.0928550312168982E-2</v>
      </c>
      <c r="K682" s="7">
        <v>0.01</v>
      </c>
      <c r="L682" s="8">
        <f t="shared" si="30"/>
        <v>-3.8928550312169082E-2</v>
      </c>
    </row>
    <row r="683" spans="4:12" ht="14.4" customHeight="1">
      <c r="D683" s="2">
        <v>42975</v>
      </c>
      <c r="E683" s="3">
        <v>6.2249999999999996</v>
      </c>
      <c r="F683" s="3">
        <f t="shared" si="31"/>
        <v>-1.0069612776134175E-2</v>
      </c>
      <c r="G683" s="3" cm="1">
        <f t="array" ref="G683">SUMPRODUCT(IF(((H683-$F$4:$F$515)/$B$10)&lt;=-1,0,IF(((H683-$F$4:$F$515)/$B$10)&gt;=1,1,(15/16)*(((H683-$F$4:$F$515)/$B$10)-(2/3)*((H683-$F$4:$F$515)/$B$10)^3+(1/5)*((H683-$F$4:$F$515)/$B$10)^5+8/15))))/COUNT($F$4:$F$515)</f>
        <v>0.1594173947942634</v>
      </c>
      <c r="H683" s="1">
        <f t="shared" si="32"/>
        <v>-2.0628550312168981E-2</v>
      </c>
      <c r="K683" s="2">
        <v>0.01</v>
      </c>
      <c r="L683" s="3">
        <f t="shared" si="30"/>
        <v>-3.8928550312169082E-2</v>
      </c>
    </row>
    <row r="684" spans="4:12" ht="14.4" customHeight="1">
      <c r="D684" s="7">
        <v>42976</v>
      </c>
      <c r="E684" s="8">
        <v>6.109</v>
      </c>
      <c r="F684" s="8">
        <f t="shared" si="31"/>
        <v>-1.8810348683141378E-2</v>
      </c>
      <c r="G684" s="8" cm="1">
        <f t="array" ref="G684">SUMPRODUCT(IF(((H684-$F$4:$F$515)/$B$10)&lt;=-1,0,IF(((H684-$F$4:$F$515)/$B$10)&gt;=1,1,(15/16)*(((H684-$F$4:$F$515)/$B$10)-(2/3)*((H684-$F$4:$F$515)/$B$10)^3+(1/5)*((H684-$F$4:$F$515)/$B$10)^5+8/15))))/COUNT($F$4:$F$515)</f>
        <v>0.16260103601796819</v>
      </c>
      <c r="H684" s="9">
        <f t="shared" si="32"/>
        <v>-2.0328550312168979E-2</v>
      </c>
      <c r="K684" s="7">
        <v>0.01</v>
      </c>
      <c r="L684" s="8">
        <f t="shared" si="30"/>
        <v>-3.8928550312169082E-2</v>
      </c>
    </row>
    <row r="685" spans="4:12" ht="14.4" customHeight="1">
      <c r="D685" s="2">
        <v>42977</v>
      </c>
      <c r="E685" s="3">
        <v>6.1529999999999996</v>
      </c>
      <c r="F685" s="3">
        <f t="shared" si="31"/>
        <v>7.1766740907233577E-3</v>
      </c>
      <c r="G685" s="3" cm="1">
        <f t="array" ref="G685">SUMPRODUCT(IF(((H685-$F$4:$F$515)/$B$10)&lt;=-1,0,IF(((H685-$F$4:$F$515)/$B$10)&gt;=1,1,(15/16)*(((H685-$F$4:$F$515)/$B$10)-(2/3)*((H685-$F$4:$F$515)/$B$10)^3+(1/5)*((H685-$F$4:$F$515)/$B$10)^5+8/15))))/COUNT($F$4:$F$515)</f>
        <v>0.16585799873329937</v>
      </c>
      <c r="H685" s="1">
        <f t="shared" si="32"/>
        <v>-2.0028550312168977E-2</v>
      </c>
      <c r="K685" s="2">
        <v>0.01</v>
      </c>
      <c r="L685" s="3">
        <f t="shared" si="30"/>
        <v>-3.8928550312169082E-2</v>
      </c>
    </row>
    <row r="686" spans="4:12" ht="14.4" customHeight="1">
      <c r="D686" s="7">
        <v>42978</v>
      </c>
      <c r="E686" s="8">
        <v>6.3079999999999998</v>
      </c>
      <c r="F686" s="8">
        <f t="shared" si="31"/>
        <v>2.4878901342438767E-2</v>
      </c>
      <c r="G686" s="8" cm="1">
        <f t="array" ref="G686">SUMPRODUCT(IF(((H686-$F$4:$F$515)/$B$10)&lt;=-1,0,IF(((H686-$F$4:$F$515)/$B$10)&gt;=1,1,(15/16)*(((H686-$F$4:$F$515)/$B$10)-(2/3)*((H686-$F$4:$F$515)/$B$10)^3+(1/5)*((H686-$F$4:$F$515)/$B$10)^5+8/15))))/COUNT($F$4:$F$515)</f>
        <v>0.16918758219303306</v>
      </c>
      <c r="H686" s="9">
        <f t="shared" si="32"/>
        <v>-1.9728550312168976E-2</v>
      </c>
      <c r="K686" s="7">
        <v>0.01</v>
      </c>
      <c r="L686" s="8">
        <f t="shared" si="30"/>
        <v>-3.8928550312169082E-2</v>
      </c>
    </row>
    <row r="687" spans="4:12" ht="14.4" customHeight="1">
      <c r="D687" s="2">
        <v>42979</v>
      </c>
      <c r="E687" s="3">
        <v>6.2990000000000004</v>
      </c>
      <c r="F687" s="3">
        <f t="shared" si="31"/>
        <v>-1.4277784609998516E-3</v>
      </c>
      <c r="G687" s="3" cm="1">
        <f t="array" ref="G687">SUMPRODUCT(IF(((H687-$F$4:$F$515)/$B$10)&lt;=-1,0,IF(((H687-$F$4:$F$515)/$B$10)&gt;=1,1,(15/16)*(((H687-$F$4:$F$515)/$B$10)-(2/3)*((H687-$F$4:$F$515)/$B$10)^3+(1/5)*((H687-$F$4:$F$515)/$B$10)^5+8/15))))/COUNT($F$4:$F$515)</f>
        <v>0.17258862710626896</v>
      </c>
      <c r="H687" s="1">
        <f t="shared" si="32"/>
        <v>-1.9428550312168974E-2</v>
      </c>
      <c r="K687" s="2">
        <v>0.01</v>
      </c>
      <c r="L687" s="3">
        <f t="shared" si="30"/>
        <v>-3.8928550312169082E-2</v>
      </c>
    </row>
    <row r="688" spans="4:12" ht="14.4" customHeight="1">
      <c r="D688" s="7">
        <v>42982</v>
      </c>
      <c r="E688" s="8">
        <v>6.2370000000000001</v>
      </c>
      <c r="F688" s="8">
        <f t="shared" si="31"/>
        <v>-9.8915930958064762E-3</v>
      </c>
      <c r="G688" s="8" cm="1">
        <f t="array" ref="G688">SUMPRODUCT(IF(((H688-$F$4:$F$515)/$B$10)&lt;=-1,0,IF(((H688-$F$4:$F$515)/$B$10)&gt;=1,1,(15/16)*(((H688-$F$4:$F$515)/$B$10)-(2/3)*((H688-$F$4:$F$515)/$B$10)^3+(1/5)*((H688-$F$4:$F$515)/$B$10)^5+8/15))))/COUNT($F$4:$F$515)</f>
        <v>0.17605891095498696</v>
      </c>
      <c r="H688" s="9">
        <f t="shared" si="32"/>
        <v>-1.9128550312168972E-2</v>
      </c>
      <c r="K688" s="7">
        <v>0.01</v>
      </c>
      <c r="L688" s="8">
        <f t="shared" si="30"/>
        <v>-3.8928550312169082E-2</v>
      </c>
    </row>
    <row r="689" spans="4:12" ht="14.4" customHeight="1">
      <c r="D689" s="2">
        <v>42983</v>
      </c>
      <c r="E689" s="3">
        <v>6.1840000000000002</v>
      </c>
      <c r="F689" s="3">
        <f t="shared" si="31"/>
        <v>-8.5339862588647494E-3</v>
      </c>
      <c r="G689" s="3" cm="1">
        <f t="array" ref="G689">SUMPRODUCT(IF(((H689-$F$4:$F$515)/$B$10)&lt;=-1,0,IF(((H689-$F$4:$F$515)/$B$10)&gt;=1,1,(15/16)*(((H689-$F$4:$F$515)/$B$10)-(2/3)*((H689-$F$4:$F$515)/$B$10)^3+(1/5)*((H689-$F$4:$F$515)/$B$10)^5+8/15))))/COUNT($F$4:$F$515)</f>
        <v>0.17959420081996449</v>
      </c>
      <c r="H689" s="1">
        <f t="shared" si="32"/>
        <v>-1.8828550312168971E-2</v>
      </c>
      <c r="K689" s="2">
        <v>0.01</v>
      </c>
      <c r="L689" s="3">
        <f t="shared" si="30"/>
        <v>-3.8928550312169082E-2</v>
      </c>
    </row>
    <row r="690" spans="4:12" ht="14.4" customHeight="1">
      <c r="D690" s="7">
        <v>42984</v>
      </c>
      <c r="E690" s="8">
        <v>6.3170000000000002</v>
      </c>
      <c r="F690" s="8">
        <f t="shared" si="31"/>
        <v>2.1279100631442453E-2</v>
      </c>
      <c r="G690" s="8" cm="1">
        <f t="array" ref="G690">SUMPRODUCT(IF(((H690-$F$4:$F$515)/$B$10)&lt;=-1,0,IF(((H690-$F$4:$F$515)/$B$10)&gt;=1,1,(15/16)*(((H690-$F$4:$F$515)/$B$10)-(2/3)*((H690-$F$4:$F$515)/$B$10)^3+(1/5)*((H690-$F$4:$F$515)/$B$10)^5+8/15))))/COUNT($F$4:$F$515)</f>
        <v>0.18318947021078444</v>
      </c>
      <c r="H690" s="9">
        <f t="shared" si="32"/>
        <v>-1.8528550312168969E-2</v>
      </c>
      <c r="K690" s="7">
        <v>0.01</v>
      </c>
      <c r="L690" s="8">
        <f t="shared" si="30"/>
        <v>-3.8928550312169082E-2</v>
      </c>
    </row>
    <row r="691" spans="4:12" ht="14.4" customHeight="1">
      <c r="D691" s="2">
        <v>42985</v>
      </c>
      <c r="E691" s="3">
        <v>6.25</v>
      </c>
      <c r="F691" s="3">
        <f t="shared" si="31"/>
        <v>-1.0662948168253264E-2</v>
      </c>
      <c r="G691" s="3" cm="1">
        <f t="array" ref="G691">SUMPRODUCT(IF(((H691-$F$4:$F$515)/$B$10)&lt;=-1,0,IF(((H691-$F$4:$F$515)/$B$10)&gt;=1,1,(15/16)*(((H691-$F$4:$F$515)/$B$10)-(2/3)*((H691-$F$4:$F$515)/$B$10)^3+(1/5)*((H691-$F$4:$F$515)/$B$10)^5+8/15))))/COUNT($F$4:$F$515)</f>
        <v>0.18684059807841044</v>
      </c>
      <c r="H691" s="1">
        <f t="shared" si="32"/>
        <v>-1.8228550312168967E-2</v>
      </c>
      <c r="K691" s="2">
        <v>0.01</v>
      </c>
      <c r="L691" s="3">
        <f t="shared" si="30"/>
        <v>-3.8928550312169082E-2</v>
      </c>
    </row>
    <row r="692" spans="4:12" ht="14.4" customHeight="1">
      <c r="D692" s="7">
        <v>42986</v>
      </c>
      <c r="E692" s="8">
        <v>6.415</v>
      </c>
      <c r="F692" s="8">
        <f t="shared" si="31"/>
        <v>2.6057534319289598E-2</v>
      </c>
      <c r="G692" s="8" cm="1">
        <f t="array" ref="G692">SUMPRODUCT(IF(((H692-$F$4:$F$515)/$B$10)&lt;=-1,0,IF(((H692-$F$4:$F$515)/$B$10)&gt;=1,1,(15/16)*(((H692-$F$4:$F$515)/$B$10)-(2/3)*((H692-$F$4:$F$515)/$B$10)^3+(1/5)*((H692-$F$4:$F$515)/$B$10)^5+8/15))))/COUNT($F$4:$F$515)</f>
        <v>0.19054417378242841</v>
      </c>
      <c r="H692" s="9">
        <f t="shared" si="32"/>
        <v>-1.7928550312168966E-2</v>
      </c>
      <c r="K692" s="7">
        <v>0.01</v>
      </c>
      <c r="L692" s="8">
        <f t="shared" si="30"/>
        <v>-3.8928550312169082E-2</v>
      </c>
    </row>
    <row r="693" spans="4:12" ht="14.4" customHeight="1">
      <c r="D693" s="2">
        <v>42989</v>
      </c>
      <c r="E693" s="3">
        <v>6.4790000000000001</v>
      </c>
      <c r="F693" s="3">
        <f t="shared" si="31"/>
        <v>9.9271794002204691E-3</v>
      </c>
      <c r="G693" s="3" cm="1">
        <f t="array" ref="G693">SUMPRODUCT(IF(((H693-$F$4:$F$515)/$B$10)&lt;=-1,0,IF(((H693-$F$4:$F$515)/$B$10)&gt;=1,1,(15/16)*(((H693-$F$4:$F$515)/$B$10)-(2/3)*((H693-$F$4:$F$515)/$B$10)^3+(1/5)*((H693-$F$4:$F$515)/$B$10)^5+8/15))))/COUNT($F$4:$F$515)</f>
        <v>0.19429717896431281</v>
      </c>
      <c r="H693" s="1">
        <f t="shared" si="32"/>
        <v>-1.7628550312168964E-2</v>
      </c>
      <c r="K693" s="2">
        <v>0.01</v>
      </c>
      <c r="L693" s="3">
        <f t="shared" si="30"/>
        <v>-3.8928550312169082E-2</v>
      </c>
    </row>
    <row r="694" spans="4:12" ht="14.4" customHeight="1">
      <c r="D694" s="7">
        <v>42990</v>
      </c>
      <c r="E694" s="8">
        <v>6.5990000000000002</v>
      </c>
      <c r="F694" s="8">
        <f t="shared" si="31"/>
        <v>1.8351944933464426E-2</v>
      </c>
      <c r="G694" s="8" cm="1">
        <f t="array" ref="G694">SUMPRODUCT(IF(((H694-$F$4:$F$515)/$B$10)&lt;=-1,0,IF(((H694-$F$4:$F$515)/$B$10)&gt;=1,1,(15/16)*(((H694-$F$4:$F$515)/$B$10)-(2/3)*((H694-$F$4:$F$515)/$B$10)^3+(1/5)*((H694-$F$4:$F$515)/$B$10)^5+8/15))))/COUNT($F$4:$F$515)</f>
        <v>0.19809577226322314</v>
      </c>
      <c r="H694" s="9">
        <f t="shared" si="32"/>
        <v>-1.7328550312168962E-2</v>
      </c>
      <c r="K694" s="7">
        <v>0.01</v>
      </c>
      <c r="L694" s="8">
        <f t="shared" si="30"/>
        <v>-3.8928550312169082E-2</v>
      </c>
    </row>
    <row r="695" spans="4:12" ht="14.4" customHeight="1">
      <c r="D695" s="2">
        <v>42991</v>
      </c>
      <c r="E695" s="3">
        <v>6.4950000000000001</v>
      </c>
      <c r="F695" s="3">
        <f t="shared" si="31"/>
        <v>-1.5885472278721745E-2</v>
      </c>
      <c r="G695" s="3" cm="1">
        <f t="array" ref="G695">SUMPRODUCT(IF(((H695-$F$4:$F$515)/$B$10)&lt;=-1,0,IF(((H695-$F$4:$F$515)/$B$10)&gt;=1,1,(15/16)*(((H695-$F$4:$F$515)/$B$10)-(2/3)*((H695-$F$4:$F$515)/$B$10)^3+(1/5)*((H695-$F$4:$F$515)/$B$10)^5+8/15))))/COUNT($F$4:$F$515)</f>
        <v>0.20193620197959866</v>
      </c>
      <c r="H695" s="1">
        <f t="shared" si="32"/>
        <v>-1.7028550312168961E-2</v>
      </c>
      <c r="K695" s="2">
        <v>0.01</v>
      </c>
      <c r="L695" s="3">
        <f t="shared" si="30"/>
        <v>-3.8928550312169082E-2</v>
      </c>
    </row>
    <row r="696" spans="4:12" ht="14.4" customHeight="1">
      <c r="D696" s="7">
        <v>42992</v>
      </c>
      <c r="E696" s="8">
        <v>6.5650000000000004</v>
      </c>
      <c r="F696" s="8">
        <f t="shared" si="31"/>
        <v>1.0719857632196645E-2</v>
      </c>
      <c r="G696" s="8" cm="1">
        <f t="array" ref="G696">SUMPRODUCT(IF(((H696-$F$4:$F$515)/$B$10)&lt;=-1,0,IF(((H696-$F$4:$F$515)/$B$10)&gt;=1,1,(15/16)*(((H696-$F$4:$F$515)/$B$10)-(2/3)*((H696-$F$4:$F$515)/$B$10)^3+(1/5)*((H696-$F$4:$F$515)/$B$10)^5+8/15))))/COUNT($F$4:$F$515)</f>
        <v>0.20581480074114458</v>
      </c>
      <c r="H696" s="9">
        <f t="shared" si="32"/>
        <v>-1.6728550312168959E-2</v>
      </c>
      <c r="K696" s="7">
        <v>0.01</v>
      </c>
      <c r="L696" s="8">
        <f t="shared" si="30"/>
        <v>-3.8928550312169082E-2</v>
      </c>
    </row>
    <row r="697" spans="4:12" ht="14.4" customHeight="1">
      <c r="D697" s="2">
        <v>42993</v>
      </c>
      <c r="E697" s="3">
        <v>6.4619999999999997</v>
      </c>
      <c r="F697" s="3">
        <f t="shared" si="31"/>
        <v>-1.5813640352453064E-2</v>
      </c>
      <c r="G697" s="3" cm="1">
        <f t="array" ref="G697">SUMPRODUCT(IF(((H697-$F$4:$F$515)/$B$10)&lt;=-1,0,IF(((H697-$F$4:$F$515)/$B$10)&gt;=1,1,(15/16)*(((H697-$F$4:$F$515)/$B$10)-(2/3)*((H697-$F$4:$F$515)/$B$10)^3+(1/5)*((H697-$F$4:$F$515)/$B$10)^5+8/15))))/COUNT($F$4:$F$515)</f>
        <v>0.2097285614866912</v>
      </c>
      <c r="H697" s="1">
        <f t="shared" si="32"/>
        <v>-1.6428550312168957E-2</v>
      </c>
      <c r="K697" s="2">
        <v>0.01</v>
      </c>
      <c r="L697" s="3">
        <f t="shared" si="30"/>
        <v>-3.8928550312169082E-2</v>
      </c>
    </row>
    <row r="698" spans="4:12" ht="14.4" customHeight="1">
      <c r="D698" s="7">
        <v>42996</v>
      </c>
      <c r="E698" s="8">
        <v>6.4290000000000003</v>
      </c>
      <c r="F698" s="8">
        <f t="shared" si="31"/>
        <v>-5.1198622427568157E-3</v>
      </c>
      <c r="G698" s="8" cm="1">
        <f t="array" ref="G698">SUMPRODUCT(IF(((H698-$F$4:$F$515)/$B$10)&lt;=-1,0,IF(((H698-$F$4:$F$515)/$B$10)&gt;=1,1,(15/16)*(((H698-$F$4:$F$515)/$B$10)-(2/3)*((H698-$F$4:$F$515)/$B$10)^3+(1/5)*((H698-$F$4:$F$515)/$B$10)^5+8/15))))/COUNT($F$4:$F$515)</f>
        <v>0.21367600936796705</v>
      </c>
      <c r="H698" s="9">
        <f t="shared" si="32"/>
        <v>-1.6128550312168956E-2</v>
      </c>
      <c r="K698" s="7">
        <v>0.01</v>
      </c>
      <c r="L698" s="8">
        <f t="shared" si="30"/>
        <v>-3.8928550312169082E-2</v>
      </c>
    </row>
    <row r="699" spans="4:12" ht="14.4" customHeight="1">
      <c r="D699" s="2">
        <v>42997</v>
      </c>
      <c r="E699" s="3">
        <v>6.4390000000000001</v>
      </c>
      <c r="F699" s="3">
        <f t="shared" si="31"/>
        <v>1.554243396496866E-3</v>
      </c>
      <c r="G699" s="3" cm="1">
        <f t="array" ref="G699">SUMPRODUCT(IF(((H699-$F$4:$F$515)/$B$10)&lt;=-1,0,IF(((H699-$F$4:$F$515)/$B$10)&gt;=1,1,(15/16)*(((H699-$F$4:$F$515)/$B$10)-(2/3)*((H699-$F$4:$F$515)/$B$10)^3+(1/5)*((H699-$F$4:$F$515)/$B$10)^5+8/15))))/COUNT($F$4:$F$515)</f>
        <v>0.2176567883961871</v>
      </c>
      <c r="H699" s="1">
        <f t="shared" si="32"/>
        <v>-1.5828550312168954E-2</v>
      </c>
      <c r="K699" s="2">
        <v>0.01</v>
      </c>
      <c r="L699" s="3">
        <f t="shared" si="30"/>
        <v>-3.8928550312169082E-2</v>
      </c>
    </row>
    <row r="700" spans="4:12" ht="14.4" customHeight="1">
      <c r="D700" s="7">
        <v>42998</v>
      </c>
      <c r="E700" s="8">
        <v>6.4089999999999998</v>
      </c>
      <c r="F700" s="8">
        <f t="shared" si="31"/>
        <v>-4.6699960339566717E-3</v>
      </c>
      <c r="G700" s="8" cm="1">
        <f t="array" ref="G700">SUMPRODUCT(IF(((H700-$F$4:$F$515)/$B$10)&lt;=-1,0,IF(((H700-$F$4:$F$515)/$B$10)&gt;=1,1,(15/16)*(((H700-$F$4:$F$515)/$B$10)-(2/3)*((H700-$F$4:$F$515)/$B$10)^3+(1/5)*((H700-$F$4:$F$515)/$B$10)^5+8/15))))/COUNT($F$4:$F$515)</f>
        <v>0.22167186174145151</v>
      </c>
      <c r="H700" s="9">
        <f t="shared" si="32"/>
        <v>-1.5528550312168954E-2</v>
      </c>
      <c r="K700" s="7">
        <v>0.01</v>
      </c>
      <c r="L700" s="8">
        <f t="shared" si="30"/>
        <v>-3.8928550312169082E-2</v>
      </c>
    </row>
    <row r="701" spans="4:12" ht="14.4" customHeight="1">
      <c r="D701" s="2">
        <v>42999</v>
      </c>
      <c r="E701" s="3">
        <v>6.6029999999999998</v>
      </c>
      <c r="F701" s="3">
        <f t="shared" si="31"/>
        <v>2.9820838690344426E-2</v>
      </c>
      <c r="G701" s="3" cm="1">
        <f t="array" ref="G701">SUMPRODUCT(IF(((H701-$F$4:$F$515)/$B$10)&lt;=-1,0,IF(((H701-$F$4:$F$515)/$B$10)&gt;=1,1,(15/16)*(((H701-$F$4:$F$515)/$B$10)-(2/3)*((H701-$F$4:$F$515)/$B$10)^3+(1/5)*((H701-$F$4:$F$515)/$B$10)^5+8/15))))/COUNT($F$4:$F$515)</f>
        <v>0.22572489934466786</v>
      </c>
      <c r="H701" s="1">
        <f t="shared" si="32"/>
        <v>-1.5228550312168954E-2</v>
      </c>
      <c r="K701" s="2">
        <v>0.01</v>
      </c>
      <c r="L701" s="3">
        <f t="shared" si="30"/>
        <v>-3.8928550312169082E-2</v>
      </c>
    </row>
    <row r="702" spans="4:12" ht="14.4" customHeight="1">
      <c r="D702" s="7">
        <v>43000</v>
      </c>
      <c r="E702" s="8">
        <v>6.633</v>
      </c>
      <c r="F702" s="8">
        <f t="shared" si="31"/>
        <v>4.5330993309847358E-3</v>
      </c>
      <c r="G702" s="8" cm="1">
        <f t="array" ref="G702">SUMPRODUCT(IF(((H702-$F$4:$F$515)/$B$10)&lt;=-1,0,IF(((H702-$F$4:$F$515)/$B$10)&gt;=1,1,(15/16)*(((H702-$F$4:$F$515)/$B$10)-(2/3)*((H702-$F$4:$F$515)/$B$10)^3+(1/5)*((H702-$F$4:$F$515)/$B$10)^5+8/15))))/COUNT($F$4:$F$515)</f>
        <v>0.22982187668986909</v>
      </c>
      <c r="H702" s="9">
        <f t="shared" si="32"/>
        <v>-1.4928550312168954E-2</v>
      </c>
      <c r="K702" s="7">
        <v>0.01</v>
      </c>
      <c r="L702" s="8">
        <f t="shared" si="30"/>
        <v>-3.8928550312169082E-2</v>
      </c>
    </row>
    <row r="703" spans="4:12" ht="14.4" customHeight="1">
      <c r="D703" s="2">
        <v>43003</v>
      </c>
      <c r="E703" s="3">
        <v>6.556</v>
      </c>
      <c r="F703" s="3">
        <f t="shared" si="31"/>
        <v>-1.1676529661835629E-2</v>
      </c>
      <c r="G703" s="3" cm="1">
        <f t="array" ref="G703">SUMPRODUCT(IF(((H703-$F$4:$F$515)/$B$10)&lt;=-1,0,IF(((H703-$F$4:$F$515)/$B$10)&gt;=1,1,(15/16)*(((H703-$F$4:$F$515)/$B$10)-(2/3)*((H703-$F$4:$F$515)/$B$10)^3+(1/5)*((H703-$F$4:$F$515)/$B$10)^5+8/15))))/COUNT($F$4:$F$515)</f>
        <v>0.23396824020843004</v>
      </c>
      <c r="H703" s="1">
        <f t="shared" si="32"/>
        <v>-1.4628550312168954E-2</v>
      </c>
      <c r="K703" s="2">
        <v>0.01</v>
      </c>
      <c r="L703" s="3">
        <f t="shared" si="30"/>
        <v>-3.8928550312169082E-2</v>
      </c>
    </row>
    <row r="704" spans="4:12" ht="14.4" customHeight="1">
      <c r="D704" s="7">
        <v>43004</v>
      </c>
      <c r="E704" s="8">
        <v>6.51</v>
      </c>
      <c r="F704" s="8">
        <f t="shared" si="31"/>
        <v>-7.041204661105362E-3</v>
      </c>
      <c r="G704" s="8" cm="1">
        <f t="array" ref="G704">SUMPRODUCT(IF(((H704-$F$4:$F$515)/$B$10)&lt;=-1,0,IF(((H704-$F$4:$F$515)/$B$10)&gt;=1,1,(15/16)*(((H704-$F$4:$F$515)/$B$10)-(2/3)*((H704-$F$4:$F$515)/$B$10)^3+(1/5)*((H704-$F$4:$F$515)/$B$10)^5+8/15))))/COUNT($F$4:$F$515)</f>
        <v>0.23816884493664162</v>
      </c>
      <c r="H704" s="9">
        <f t="shared" si="32"/>
        <v>-1.4328550312168955E-2</v>
      </c>
      <c r="K704" s="7">
        <v>0.01</v>
      </c>
      <c r="L704" s="8">
        <f t="shared" si="30"/>
        <v>-3.8928550312169082E-2</v>
      </c>
    </row>
    <row r="705" spans="4:12" ht="14.4" customHeight="1">
      <c r="D705" s="2">
        <v>43005</v>
      </c>
      <c r="E705" s="3">
        <v>6.6970000000000001</v>
      </c>
      <c r="F705" s="3">
        <f t="shared" si="31"/>
        <v>2.8320208707435277E-2</v>
      </c>
      <c r="G705" s="3" cm="1">
        <f t="array" ref="G705">SUMPRODUCT(IF(((H705-$F$4:$F$515)/$B$10)&lt;=-1,0,IF(((H705-$F$4:$F$515)/$B$10)&gt;=1,1,(15/16)*(((H705-$F$4:$F$515)/$B$10)-(2/3)*((H705-$F$4:$F$515)/$B$10)^3+(1/5)*((H705-$F$4:$F$515)/$B$10)^5+8/15))))/COUNT($F$4:$F$515)</f>
        <v>0.24242893649238997</v>
      </c>
      <c r="H705" s="1">
        <f t="shared" si="32"/>
        <v>-1.4028550312168955E-2</v>
      </c>
      <c r="K705" s="2">
        <v>0.01</v>
      </c>
      <c r="L705" s="3">
        <f t="shared" si="30"/>
        <v>-3.8928550312169082E-2</v>
      </c>
    </row>
    <row r="706" spans="4:12" ht="14.4" customHeight="1">
      <c r="D706" s="7">
        <v>43006</v>
      </c>
      <c r="E706" s="8">
        <v>6.74</v>
      </c>
      <c r="F706" s="8">
        <f t="shared" si="31"/>
        <v>6.4002599963025432E-3</v>
      </c>
      <c r="G706" s="8" cm="1">
        <f t="array" ref="G706">SUMPRODUCT(IF(((H706-$F$4:$F$515)/$B$10)&lt;=-1,0,IF(((H706-$F$4:$F$515)/$B$10)&gt;=1,1,(15/16)*(((H706-$F$4:$F$515)/$B$10)-(2/3)*((H706-$F$4:$F$515)/$B$10)^3+(1/5)*((H706-$F$4:$F$515)/$B$10)^5+8/15))))/COUNT($F$4:$F$515)</f>
        <v>0.24675495925487165</v>
      </c>
      <c r="H706" s="9">
        <f t="shared" si="32"/>
        <v>-1.3728550312168955E-2</v>
      </c>
      <c r="K706" s="7">
        <v>0.01</v>
      </c>
      <c r="L706" s="8">
        <f t="shared" si="30"/>
        <v>-3.8928550312169082E-2</v>
      </c>
    </row>
    <row r="707" spans="4:12" ht="14.4" customHeight="1">
      <c r="D707" s="2">
        <v>43007</v>
      </c>
      <c r="E707" s="3">
        <v>6.77</v>
      </c>
      <c r="F707" s="3">
        <f t="shared" si="31"/>
        <v>4.4411619999678359E-3</v>
      </c>
      <c r="G707" s="3" cm="1">
        <f t="array" ref="G707">SUMPRODUCT(IF(((H707-$F$4:$F$515)/$B$10)&lt;=-1,0,IF(((H707-$F$4:$F$515)/$B$10)&gt;=1,1,(15/16)*(((H707-$F$4:$F$515)/$B$10)-(2/3)*((H707-$F$4:$F$515)/$B$10)^3+(1/5)*((H707-$F$4:$F$515)/$B$10)^5+8/15))))/COUNT($F$4:$F$515)</f>
        <v>0.251150893884519</v>
      </c>
      <c r="H707" s="1">
        <f t="shared" si="32"/>
        <v>-1.3428550312168955E-2</v>
      </c>
      <c r="K707" s="2">
        <v>0.01</v>
      </c>
      <c r="L707" s="3">
        <f t="shared" si="30"/>
        <v>-3.8928550312169082E-2</v>
      </c>
    </row>
    <row r="708" spans="4:12" ht="14.4" customHeight="1">
      <c r="D708" s="7">
        <v>43010</v>
      </c>
      <c r="E708" s="8">
        <v>6.742</v>
      </c>
      <c r="F708" s="8">
        <f t="shared" si="31"/>
        <v>-4.1444701123146202E-3</v>
      </c>
      <c r="G708" s="8" cm="1">
        <f t="array" ref="G708">SUMPRODUCT(IF(((H708-$F$4:$F$515)/$B$10)&lt;=-1,0,IF(((H708-$F$4:$F$515)/$B$10)&gt;=1,1,(15/16)*(((H708-$F$4:$F$515)/$B$10)-(2/3)*((H708-$F$4:$F$515)/$B$10)^3+(1/5)*((H708-$F$4:$F$515)/$B$10)^5+8/15))))/COUNT($F$4:$F$515)</f>
        <v>0.25561897769671288</v>
      </c>
      <c r="H708" s="9">
        <f t="shared" si="32"/>
        <v>-1.3128550312168955E-2</v>
      </c>
      <c r="K708" s="7">
        <v>0.01</v>
      </c>
      <c r="L708" s="8">
        <f t="shared" ref="L708:L771" si="33">$B$7</f>
        <v>-3.8928550312169082E-2</v>
      </c>
    </row>
    <row r="709" spans="4:12" ht="14.4" customHeight="1">
      <c r="D709" s="2">
        <v>43011</v>
      </c>
      <c r="E709" s="3">
        <v>6.9550000000000001</v>
      </c>
      <c r="F709" s="3">
        <f t="shared" ref="F709:F772" si="34">LN(E709/E708)</f>
        <v>3.1104208563537194E-2</v>
      </c>
      <c r="G709" s="3" cm="1">
        <f t="array" ref="G709">SUMPRODUCT(IF(((H709-$F$4:$F$515)/$B$10)&lt;=-1,0,IF(((H709-$F$4:$F$515)/$B$10)&gt;=1,1,(15/16)*(((H709-$F$4:$F$515)/$B$10)-(2/3)*((H709-$F$4:$F$515)/$B$10)^3+(1/5)*((H709-$F$4:$F$515)/$B$10)^5+8/15))))/COUNT($F$4:$F$515)</f>
        <v>0.26016080172600387</v>
      </c>
      <c r="H709" s="1">
        <f t="shared" ref="H709:H772" si="35">H708+0.0003</f>
        <v>-1.2828550312168955E-2</v>
      </c>
      <c r="K709" s="2">
        <v>0.01</v>
      </c>
      <c r="L709" s="3">
        <f t="shared" si="33"/>
        <v>-3.8928550312169082E-2</v>
      </c>
    </row>
    <row r="710" spans="4:12" ht="14.4" customHeight="1">
      <c r="D710" s="7">
        <v>43012</v>
      </c>
      <c r="E710" s="8">
        <v>6.91</v>
      </c>
      <c r="F710" s="8">
        <f t="shared" si="34"/>
        <v>-6.4911875958277472E-3</v>
      </c>
      <c r="G710" s="8" cm="1">
        <f t="array" ref="G710">SUMPRODUCT(IF(((H710-$F$4:$F$515)/$B$10)&lt;=-1,0,IF(((H710-$F$4:$F$515)/$B$10)&gt;=1,1,(15/16)*(((H710-$F$4:$F$515)/$B$10)-(2/3)*((H710-$F$4:$F$515)/$B$10)^3+(1/5)*((H710-$F$4:$F$515)/$B$10)^5+8/15))))/COUNT($F$4:$F$515)</f>
        <v>0.26477771547245094</v>
      </c>
      <c r="H710" s="9">
        <f t="shared" si="35"/>
        <v>-1.2528550312168955E-2</v>
      </c>
      <c r="K710" s="7">
        <v>0.01</v>
      </c>
      <c r="L710" s="8">
        <f t="shared" si="33"/>
        <v>-3.8928550312169082E-2</v>
      </c>
    </row>
    <row r="711" spans="4:12" ht="14.4" customHeight="1">
      <c r="D711" s="2">
        <v>43013</v>
      </c>
      <c r="E711" s="3">
        <v>7.0060000000000002</v>
      </c>
      <c r="F711" s="3">
        <f t="shared" si="34"/>
        <v>1.3797286995716657E-2</v>
      </c>
      <c r="G711" s="3" cm="1">
        <f t="array" ref="G711">SUMPRODUCT(IF(((H711-$F$4:$F$515)/$B$10)&lt;=-1,0,IF(((H711-$F$4:$F$515)/$B$10)&gt;=1,1,(15/16)*(((H711-$F$4:$F$515)/$B$10)-(2/3)*((H711-$F$4:$F$515)/$B$10)^3+(1/5)*((H711-$F$4:$F$515)/$B$10)^5+8/15))))/COUNT($F$4:$F$515)</f>
        <v>0.26947092043151322</v>
      </c>
      <c r="H711" s="1">
        <f t="shared" si="35"/>
        <v>-1.2228550312168955E-2</v>
      </c>
      <c r="K711" s="2">
        <v>0.01</v>
      </c>
      <c r="L711" s="3">
        <f t="shared" si="33"/>
        <v>-3.8928550312169082E-2</v>
      </c>
    </row>
    <row r="712" spans="4:12" ht="14.4" customHeight="1">
      <c r="D712" s="7">
        <v>43014</v>
      </c>
      <c r="E712" s="8">
        <v>7</v>
      </c>
      <c r="F712" s="8">
        <f t="shared" si="34"/>
        <v>-8.5677571998178962E-4</v>
      </c>
      <c r="G712" s="8" cm="1">
        <f t="array" ref="G712">SUMPRODUCT(IF(((H712-$F$4:$F$515)/$B$10)&lt;=-1,0,IF(((H712-$F$4:$F$515)/$B$10)&gt;=1,1,(15/16)*(((H712-$F$4:$F$515)/$B$10)-(2/3)*((H712-$F$4:$F$515)/$B$10)^3+(1/5)*((H712-$F$4:$F$515)/$B$10)^5+8/15))))/COUNT($F$4:$F$515)</f>
        <v>0.27424096262945596</v>
      </c>
      <c r="H712" s="9">
        <f t="shared" si="35"/>
        <v>-1.1928550312168955E-2</v>
      </c>
      <c r="K712" s="7">
        <v>0.01</v>
      </c>
      <c r="L712" s="8">
        <f t="shared" si="33"/>
        <v>-3.8928550312169082E-2</v>
      </c>
    </row>
    <row r="713" spans="4:12" ht="14.4" customHeight="1">
      <c r="D713" s="2">
        <v>43017</v>
      </c>
      <c r="E713" s="3">
        <v>6.95</v>
      </c>
      <c r="F713" s="3">
        <f t="shared" si="34"/>
        <v>-7.168489478612516E-3</v>
      </c>
      <c r="G713" s="3" cm="1">
        <f t="array" ref="G713">SUMPRODUCT(IF(((H713-$F$4:$F$515)/$B$10)&lt;=-1,0,IF(((H713-$F$4:$F$515)/$B$10)&gt;=1,1,(15/16)*(((H713-$F$4:$F$515)/$B$10)-(2/3)*((H713-$F$4:$F$515)/$B$10)^3+(1/5)*((H713-$F$4:$F$515)/$B$10)^5+8/15))))/COUNT($F$4:$F$515)</f>
        <v>0.27908715198608941</v>
      </c>
      <c r="H713" s="1">
        <f t="shared" si="35"/>
        <v>-1.1628550312168955E-2</v>
      </c>
      <c r="K713" s="2">
        <v>0.01</v>
      </c>
      <c r="L713" s="3">
        <f t="shared" si="33"/>
        <v>-3.8928550312169082E-2</v>
      </c>
    </row>
    <row r="714" spans="4:12" ht="14.4" customHeight="1">
      <c r="D714" s="7">
        <v>43018</v>
      </c>
      <c r="E714" s="8">
        <v>6.8559999999999999</v>
      </c>
      <c r="F714" s="8">
        <f t="shared" si="34"/>
        <v>-1.3617478281222112E-2</v>
      </c>
      <c r="G714" s="8" cm="1">
        <f t="array" ref="G714">SUMPRODUCT(IF(((H714-$F$4:$F$515)/$B$10)&lt;=-1,0,IF(((H714-$F$4:$F$515)/$B$10)&gt;=1,1,(15/16)*(((H714-$F$4:$F$515)/$B$10)-(2/3)*((H714-$F$4:$F$515)/$B$10)^3+(1/5)*((H714-$F$4:$F$515)/$B$10)^5+8/15))))/COUNT($F$4:$F$515)</f>
        <v>0.28400709597598534</v>
      </c>
      <c r="H714" s="9">
        <f t="shared" si="35"/>
        <v>-1.1328550312168955E-2</v>
      </c>
      <c r="K714" s="7">
        <v>0.01</v>
      </c>
      <c r="L714" s="8">
        <f t="shared" si="33"/>
        <v>-3.8928550312169082E-2</v>
      </c>
    </row>
    <row r="715" spans="4:12" ht="14.4" customHeight="1">
      <c r="D715" s="2">
        <v>43019</v>
      </c>
      <c r="E715" s="3">
        <v>6.7949999999999999</v>
      </c>
      <c r="F715" s="3">
        <f t="shared" si="34"/>
        <v>-8.9371336923715801E-3</v>
      </c>
      <c r="G715" s="3" cm="1">
        <f t="array" ref="G715">SUMPRODUCT(IF(((H715-$F$4:$F$515)/$B$10)&lt;=-1,0,IF(((H715-$F$4:$F$515)/$B$10)&gt;=1,1,(15/16)*(((H715-$F$4:$F$515)/$B$10)-(2/3)*((H715-$F$4:$F$515)/$B$10)^3+(1/5)*((H715-$F$4:$F$515)/$B$10)^5+8/15))))/COUNT($F$4:$F$515)</f>
        <v>0.28899702314497366</v>
      </c>
      <c r="H715" s="1">
        <f t="shared" si="35"/>
        <v>-1.1028550312168955E-2</v>
      </c>
      <c r="K715" s="2">
        <v>0.01</v>
      </c>
      <c r="L715" s="3">
        <f t="shared" si="33"/>
        <v>-3.8928550312169082E-2</v>
      </c>
    </row>
    <row r="716" spans="4:12" ht="14.4" customHeight="1">
      <c r="D716" s="7">
        <v>43020</v>
      </c>
      <c r="E716" s="8">
        <v>6.7439999999999998</v>
      </c>
      <c r="F716" s="8">
        <f t="shared" si="34"/>
        <v>-7.5338269035526949E-3</v>
      </c>
      <c r="G716" s="8" cm="1">
        <f t="array" ref="G716">SUMPRODUCT(IF(((H716-$F$4:$F$515)/$B$10)&lt;=-1,0,IF(((H716-$F$4:$F$515)/$B$10)&gt;=1,1,(15/16)*(((H716-$F$4:$F$515)/$B$10)-(2/3)*((H716-$F$4:$F$515)/$B$10)^3+(1/5)*((H716-$F$4:$F$515)/$B$10)^5+8/15))))/COUNT($F$4:$F$515)</f>
        <v>0.29405328846789314</v>
      </c>
      <c r="H716" s="9">
        <f t="shared" si="35"/>
        <v>-1.0728550312168956E-2</v>
      </c>
      <c r="K716" s="7">
        <v>0.01</v>
      </c>
      <c r="L716" s="8">
        <f t="shared" si="33"/>
        <v>-3.8928550312169082E-2</v>
      </c>
    </row>
    <row r="717" spans="4:12" ht="14.4" customHeight="1">
      <c r="D717" s="2">
        <v>43021</v>
      </c>
      <c r="E717" s="3">
        <v>6.5609999999999999</v>
      </c>
      <c r="F717" s="3">
        <f t="shared" si="34"/>
        <v>-2.7510190336813779E-2</v>
      </c>
      <c r="G717" s="3" cm="1">
        <f t="array" ref="G717">SUMPRODUCT(IF(((H717-$F$4:$F$515)/$B$10)&lt;=-1,0,IF(((H717-$F$4:$F$515)/$B$10)&gt;=1,1,(15/16)*(((H717-$F$4:$F$515)/$B$10)-(2/3)*((H717-$F$4:$F$515)/$B$10)^3+(1/5)*((H717-$F$4:$F$515)/$B$10)^5+8/15))))/COUNT($F$4:$F$515)</f>
        <v>0.29917229349641339</v>
      </c>
      <c r="H717" s="1">
        <f t="shared" si="35"/>
        <v>-1.0428550312168956E-2</v>
      </c>
      <c r="K717" s="2">
        <v>0.01</v>
      </c>
      <c r="L717" s="3">
        <f t="shared" si="33"/>
        <v>-3.8928550312169082E-2</v>
      </c>
    </row>
    <row r="718" spans="4:12" ht="14.4" customHeight="1">
      <c r="D718" s="7">
        <v>43024</v>
      </c>
      <c r="E718" s="8">
        <v>6.5979999999999999</v>
      </c>
      <c r="F718" s="8">
        <f t="shared" si="34"/>
        <v>5.6235424436492949E-3</v>
      </c>
      <c r="G718" s="8" cm="1">
        <f t="array" ref="G718">SUMPRODUCT(IF(((H718-$F$4:$F$515)/$B$10)&lt;=-1,0,IF(((H718-$F$4:$F$515)/$B$10)&gt;=1,1,(15/16)*(((H718-$F$4:$F$515)/$B$10)-(2/3)*((H718-$F$4:$F$515)/$B$10)^3+(1/5)*((H718-$F$4:$F$515)/$B$10)^5+8/15))))/COUNT($F$4:$F$515)</f>
        <v>0.30435147110585392</v>
      </c>
      <c r="H718" s="9">
        <f t="shared" si="35"/>
        <v>-1.0128550312168956E-2</v>
      </c>
      <c r="K718" s="7">
        <v>0.01</v>
      </c>
      <c r="L718" s="8">
        <f t="shared" si="33"/>
        <v>-3.8928550312169082E-2</v>
      </c>
    </row>
    <row r="719" spans="4:12" ht="14.4" customHeight="1">
      <c r="D719" s="2">
        <v>43025</v>
      </c>
      <c r="E719" s="3">
        <v>6.6130000000000004</v>
      </c>
      <c r="F719" s="3">
        <f t="shared" si="34"/>
        <v>2.2708358861356671E-3</v>
      </c>
      <c r="G719" s="3" cm="1">
        <f t="array" ref="G719">SUMPRODUCT(IF(((H719-$F$4:$F$515)/$B$10)&lt;=-1,0,IF(((H719-$F$4:$F$515)/$B$10)&gt;=1,1,(15/16)*(((H719-$F$4:$F$515)/$B$10)-(2/3)*((H719-$F$4:$F$515)/$B$10)^3+(1/5)*((H719-$F$4:$F$515)/$B$10)^5+8/15))))/COUNT($F$4:$F$515)</f>
        <v>0.30958971921587336</v>
      </c>
      <c r="H719" s="1">
        <f t="shared" si="35"/>
        <v>-9.8285503121689557E-3</v>
      </c>
      <c r="K719" s="2">
        <v>0.01</v>
      </c>
      <c r="L719" s="3">
        <f t="shared" si="33"/>
        <v>-3.8928550312169082E-2</v>
      </c>
    </row>
    <row r="720" spans="4:12" ht="14.4" customHeight="1">
      <c r="D720" s="7">
        <v>43026</v>
      </c>
      <c r="E720" s="8">
        <v>6.6609999999999996</v>
      </c>
      <c r="F720" s="8">
        <f t="shared" si="34"/>
        <v>7.2322147385169991E-3</v>
      </c>
      <c r="G720" s="8" cm="1">
        <f t="array" ref="G720">SUMPRODUCT(IF(((H720-$F$4:$F$515)/$B$10)&lt;=-1,0,IF(((H720-$F$4:$F$515)/$B$10)&gt;=1,1,(15/16)*(((H720-$F$4:$F$515)/$B$10)-(2/3)*((H720-$F$4:$F$515)/$B$10)^3+(1/5)*((H720-$F$4:$F$515)/$B$10)^5+8/15))))/COUNT($F$4:$F$515)</f>
        <v>0.31488674319570248</v>
      </c>
      <c r="H720" s="9">
        <f t="shared" si="35"/>
        <v>-9.5285503121689558E-3</v>
      </c>
      <c r="K720" s="7">
        <v>0.01</v>
      </c>
      <c r="L720" s="8">
        <f t="shared" si="33"/>
        <v>-3.8928550312169082E-2</v>
      </c>
    </row>
    <row r="721" spans="4:12" ht="14.4" customHeight="1">
      <c r="D721" s="2">
        <v>43027</v>
      </c>
      <c r="E721" s="3">
        <v>6.6230000000000002</v>
      </c>
      <c r="F721" s="3">
        <f t="shared" si="34"/>
        <v>-5.7211839281998958E-3</v>
      </c>
      <c r="G721" s="3" cm="1">
        <f t="array" ref="G721">SUMPRODUCT(IF(((H721-$F$4:$F$515)/$B$10)&lt;=-1,0,IF(((H721-$F$4:$F$515)/$B$10)&gt;=1,1,(15/16)*(((H721-$F$4:$F$515)/$B$10)-(2/3)*((H721-$F$4:$F$515)/$B$10)^3+(1/5)*((H721-$F$4:$F$515)/$B$10)^5+8/15))))/COUNT($F$4:$F$515)</f>
        <v>0.3202426301312456</v>
      </c>
      <c r="H721" s="1">
        <f t="shared" si="35"/>
        <v>-9.2285503121689559E-3</v>
      </c>
      <c r="K721" s="2">
        <v>0.01</v>
      </c>
      <c r="L721" s="3">
        <f t="shared" si="33"/>
        <v>-3.8928550312169082E-2</v>
      </c>
    </row>
    <row r="722" spans="4:12" ht="14.4" customHeight="1">
      <c r="D722" s="7">
        <v>43028</v>
      </c>
      <c r="E722" s="8">
        <v>6.8369999999999997</v>
      </c>
      <c r="F722" s="8">
        <f t="shared" si="34"/>
        <v>3.1800599428814476E-2</v>
      </c>
      <c r="G722" s="8" cm="1">
        <f t="array" ref="G722">SUMPRODUCT(IF(((H722-$F$4:$F$515)/$B$10)&lt;=-1,0,IF(((H722-$F$4:$F$515)/$B$10)&gt;=1,1,(15/16)*(((H722-$F$4:$F$515)/$B$10)-(2/3)*((H722-$F$4:$F$515)/$B$10)^3+(1/5)*((H722-$F$4:$F$515)/$B$10)^5+8/15))))/COUNT($F$4:$F$515)</f>
        <v>0.32565863478611062</v>
      </c>
      <c r="H722" s="9">
        <f t="shared" si="35"/>
        <v>-8.928550312168956E-3</v>
      </c>
      <c r="K722" s="7">
        <v>0.01</v>
      </c>
      <c r="L722" s="8">
        <f t="shared" si="33"/>
        <v>-3.8928550312169082E-2</v>
      </c>
    </row>
    <row r="723" spans="4:12" ht="14.4" customHeight="1">
      <c r="D723" s="2">
        <v>43031</v>
      </c>
      <c r="E723" s="3">
        <v>6.8049999999999997</v>
      </c>
      <c r="F723" s="3">
        <f t="shared" si="34"/>
        <v>-4.6914028282275064E-3</v>
      </c>
      <c r="G723" s="3" cm="1">
        <f t="array" ref="G723">SUMPRODUCT(IF(((H723-$F$4:$F$515)/$B$10)&lt;=-1,0,IF(((H723-$F$4:$F$515)/$B$10)&gt;=1,1,(15/16)*(((H723-$F$4:$F$515)/$B$10)-(2/3)*((H723-$F$4:$F$515)/$B$10)^3+(1/5)*((H723-$F$4:$F$515)/$B$10)^5+8/15))))/COUNT($F$4:$F$515)</f>
        <v>0.33113657337024321</v>
      </c>
      <c r="H723" s="1">
        <f t="shared" si="35"/>
        <v>-8.6285503121689561E-3</v>
      </c>
      <c r="K723" s="2">
        <v>0.01</v>
      </c>
      <c r="L723" s="3">
        <f t="shared" si="33"/>
        <v>-3.8928550312169082E-2</v>
      </c>
    </row>
    <row r="724" spans="4:12" ht="14.4" customHeight="1">
      <c r="D724" s="7">
        <v>43032</v>
      </c>
      <c r="E724" s="8">
        <v>6.9320000000000004</v>
      </c>
      <c r="F724" s="8">
        <f t="shared" si="34"/>
        <v>1.8490735749930376E-2</v>
      </c>
      <c r="G724" s="8" cm="1">
        <f t="array" ref="G724">SUMPRODUCT(IF(((H724-$F$4:$F$515)/$B$10)&lt;=-1,0,IF(((H724-$F$4:$F$515)/$B$10)&gt;=1,1,(15/16)*(((H724-$F$4:$F$515)/$B$10)-(2/3)*((H724-$F$4:$F$515)/$B$10)^3+(1/5)*((H724-$F$4:$F$515)/$B$10)^5+8/15))))/COUNT($F$4:$F$515)</f>
        <v>0.33667773175316112</v>
      </c>
      <c r="H724" s="9">
        <f t="shared" si="35"/>
        <v>-8.3285503121689562E-3</v>
      </c>
      <c r="K724" s="7">
        <v>0.01</v>
      </c>
      <c r="L724" s="8">
        <f t="shared" si="33"/>
        <v>-3.8928550312169082E-2</v>
      </c>
    </row>
    <row r="725" spans="4:12" ht="14.4" customHeight="1">
      <c r="D725" s="2">
        <v>43033</v>
      </c>
      <c r="E725" s="3">
        <v>6.8490000000000002</v>
      </c>
      <c r="F725" s="3">
        <f t="shared" si="34"/>
        <v>-1.2045715637591542E-2</v>
      </c>
      <c r="G725" s="3" cm="1">
        <f t="array" ref="G725">SUMPRODUCT(IF(((H725-$F$4:$F$515)/$B$10)&lt;=-1,0,IF(((H725-$F$4:$F$515)/$B$10)&gt;=1,1,(15/16)*(((H725-$F$4:$F$515)/$B$10)-(2/3)*((H725-$F$4:$F$515)/$B$10)^3+(1/5)*((H725-$F$4:$F$515)/$B$10)^5+8/15))))/COUNT($F$4:$F$515)</f>
        <v>0.34227987496083045</v>
      </c>
      <c r="H725" s="1">
        <f t="shared" si="35"/>
        <v>-8.0285503121689562E-3</v>
      </c>
      <c r="K725" s="2">
        <v>0.01</v>
      </c>
      <c r="L725" s="3">
        <f t="shared" si="33"/>
        <v>-3.8928550312169082E-2</v>
      </c>
    </row>
    <row r="726" spans="4:12" ht="14.4" customHeight="1">
      <c r="D726" s="7">
        <v>43034</v>
      </c>
      <c r="E726" s="8">
        <v>6.8070000000000004</v>
      </c>
      <c r="F726" s="8">
        <f t="shared" si="34"/>
        <v>-6.1511617499537393E-3</v>
      </c>
      <c r="G726" s="8" cm="1">
        <f t="array" ref="G726">SUMPRODUCT(IF(((H726-$F$4:$F$515)/$B$10)&lt;=-1,0,IF(((H726-$F$4:$F$515)/$B$10)&gt;=1,1,(15/16)*(((H726-$F$4:$F$515)/$B$10)-(2/3)*((H726-$F$4:$F$515)/$B$10)^3+(1/5)*((H726-$F$4:$F$515)/$B$10)^5+8/15))))/COUNT($F$4:$F$515)</f>
        <v>0.34793879248920007</v>
      </c>
      <c r="H726" s="9">
        <f t="shared" si="35"/>
        <v>-7.7285503121689563E-3</v>
      </c>
      <c r="K726" s="7">
        <v>0.01</v>
      </c>
      <c r="L726" s="8">
        <f t="shared" si="33"/>
        <v>-3.8928550312169082E-2</v>
      </c>
    </row>
    <row r="727" spans="4:12" ht="14.4" customHeight="1">
      <c r="D727" s="2">
        <v>43035</v>
      </c>
      <c r="E727" s="3">
        <v>6.84</v>
      </c>
      <c r="F727" s="3">
        <f t="shared" si="34"/>
        <v>4.8362371686446592E-3</v>
      </c>
      <c r="G727" s="3" cm="1">
        <f t="array" ref="G727">SUMPRODUCT(IF(((H727-$F$4:$F$515)/$B$10)&lt;=-1,0,IF(((H727-$F$4:$F$515)/$B$10)&gt;=1,1,(15/16)*(((H727-$F$4:$F$515)/$B$10)-(2/3)*((H727-$F$4:$F$515)/$B$10)^3+(1/5)*((H727-$F$4:$F$515)/$B$10)^5+8/15))))/COUNT($F$4:$F$515)</f>
        <v>0.3536490358204466</v>
      </c>
      <c r="H727" s="1">
        <f t="shared" si="35"/>
        <v>-7.4285503121689564E-3</v>
      </c>
      <c r="K727" s="2">
        <v>0.01</v>
      </c>
      <c r="L727" s="3">
        <f t="shared" si="33"/>
        <v>-3.8928550312169082E-2</v>
      </c>
    </row>
    <row r="728" spans="4:12" ht="14.4" customHeight="1">
      <c r="D728" s="7">
        <v>43038</v>
      </c>
      <c r="E728" s="8">
        <v>6.8129999999999997</v>
      </c>
      <c r="F728" s="8">
        <f t="shared" si="34"/>
        <v>-3.9551798429280543E-3</v>
      </c>
      <c r="G728" s="8" cm="1">
        <f t="array" ref="G728">SUMPRODUCT(IF(((H728-$F$4:$F$515)/$B$10)&lt;=-1,0,IF(((H728-$F$4:$F$515)/$B$10)&gt;=1,1,(15/16)*(((H728-$F$4:$F$515)/$B$10)-(2/3)*((H728-$F$4:$F$515)/$B$10)^3+(1/5)*((H728-$F$4:$F$515)/$B$10)^5+8/15))))/COUNT($F$4:$F$515)</f>
        <v>0.3594036087416243</v>
      </c>
      <c r="H728" s="9">
        <f t="shared" si="35"/>
        <v>-7.1285503121689565E-3</v>
      </c>
      <c r="K728" s="7">
        <v>0.01</v>
      </c>
      <c r="L728" s="8">
        <f t="shared" si="33"/>
        <v>-3.8928550312169082E-2</v>
      </c>
    </row>
    <row r="729" spans="4:12" ht="14.4" customHeight="1">
      <c r="D729" s="2">
        <v>43039</v>
      </c>
      <c r="E729" s="3">
        <v>6.7320000000000002</v>
      </c>
      <c r="F729" s="3">
        <f t="shared" si="34"/>
        <v>-1.1960275462971504E-2</v>
      </c>
      <c r="G729" s="3" cm="1">
        <f t="array" ref="G729">SUMPRODUCT(IF(((H729-$F$4:$F$515)/$B$10)&lt;=-1,0,IF(((H729-$F$4:$F$515)/$B$10)&gt;=1,1,(15/16)*(((H729-$F$4:$F$515)/$B$10)-(2/3)*((H729-$F$4:$F$515)/$B$10)^3+(1/5)*((H729-$F$4:$F$515)/$B$10)^5+8/15))))/COUNT($F$4:$F$515)</f>
        <v>0.36519630340772136</v>
      </c>
      <c r="H729" s="1">
        <f t="shared" si="35"/>
        <v>-6.8285503121689566E-3</v>
      </c>
      <c r="K729" s="2">
        <v>0.01</v>
      </c>
      <c r="L729" s="3">
        <f t="shared" si="33"/>
        <v>-3.8928550312169082E-2</v>
      </c>
    </row>
    <row r="730" spans="4:12" ht="14.4" customHeight="1">
      <c r="D730" s="7">
        <v>43040</v>
      </c>
      <c r="E730" s="8">
        <v>6.7590000000000003</v>
      </c>
      <c r="F730" s="8">
        <f t="shared" si="34"/>
        <v>4.0026737896576275E-3</v>
      </c>
      <c r="G730" s="8" cm="1">
        <f t="array" ref="G730">SUMPRODUCT(IF(((H730-$F$4:$F$515)/$B$10)&lt;=-1,0,IF(((H730-$F$4:$F$515)/$B$10)&gt;=1,1,(15/16)*(((H730-$F$4:$F$515)/$B$10)-(2/3)*((H730-$F$4:$F$515)/$B$10)^3+(1/5)*((H730-$F$4:$F$515)/$B$10)^5+8/15))))/COUNT($F$4:$F$515)</f>
        <v>0.37102145158189903</v>
      </c>
      <c r="H730" s="9">
        <f t="shared" si="35"/>
        <v>-6.5285503121689566E-3</v>
      </c>
      <c r="K730" s="7">
        <v>0.01</v>
      </c>
      <c r="L730" s="8">
        <f t="shared" si="33"/>
        <v>-3.8928550312169082E-2</v>
      </c>
    </row>
    <row r="731" spans="4:12" ht="14.4" customHeight="1">
      <c r="D731" s="2">
        <v>43041</v>
      </c>
      <c r="E731" s="3">
        <v>6.7530000000000001</v>
      </c>
      <c r="F731" s="3">
        <f t="shared" si="34"/>
        <v>-8.8809952551221788E-4</v>
      </c>
      <c r="G731" s="3" cm="1">
        <f t="array" ref="G731">SUMPRODUCT(IF(((H731-$F$4:$F$515)/$B$10)&lt;=-1,0,IF(((H731-$F$4:$F$515)/$B$10)&gt;=1,1,(15/16)*(((H731-$F$4:$F$515)/$B$10)-(2/3)*((H731-$F$4:$F$515)/$B$10)^3+(1/5)*((H731-$F$4:$F$515)/$B$10)^5+8/15))))/COUNT($F$4:$F$515)</f>
        <v>0.37687131591678591</v>
      </c>
      <c r="H731" s="1">
        <f t="shared" si="35"/>
        <v>-6.2285503121689567E-3</v>
      </c>
      <c r="K731" s="2">
        <v>0.01</v>
      </c>
      <c r="L731" s="3">
        <f t="shared" si="33"/>
        <v>-3.8928550312169082E-2</v>
      </c>
    </row>
    <row r="732" spans="4:12" ht="14.4" customHeight="1">
      <c r="D732" s="7">
        <v>43042</v>
      </c>
      <c r="E732" s="8">
        <v>6.7229999999999999</v>
      </c>
      <c r="F732" s="8">
        <f t="shared" si="34"/>
        <v>-4.4523671058052609E-3</v>
      </c>
      <c r="G732" s="8" cm="1">
        <f t="array" ref="G732">SUMPRODUCT(IF(((H732-$F$4:$F$515)/$B$10)&lt;=-1,0,IF(((H732-$F$4:$F$515)/$B$10)&gt;=1,1,(15/16)*(((H732-$F$4:$F$515)/$B$10)-(2/3)*((H732-$F$4:$F$515)/$B$10)^3+(1/5)*((H732-$F$4:$F$515)/$B$10)^5+8/15))))/COUNT($F$4:$F$515)</f>
        <v>0.38273697904536602</v>
      </c>
      <c r="H732" s="9">
        <f t="shared" si="35"/>
        <v>-5.9285503121689568E-3</v>
      </c>
      <c r="K732" s="7">
        <v>0.01</v>
      </c>
      <c r="L732" s="8">
        <f t="shared" si="33"/>
        <v>-3.8928550312169082E-2</v>
      </c>
    </row>
    <row r="733" spans="4:12" ht="14.4" customHeight="1">
      <c r="D733" s="2">
        <v>43045</v>
      </c>
      <c r="E733" s="3">
        <v>6.6310000000000002</v>
      </c>
      <c r="F733" s="3">
        <f t="shared" si="34"/>
        <v>-1.3778861100169026E-2</v>
      </c>
      <c r="G733" s="3" cm="1">
        <f t="array" ref="G733">SUMPRODUCT(IF(((H733-$F$4:$F$515)/$B$10)&lt;=-1,0,IF(((H733-$F$4:$F$515)/$B$10)&gt;=1,1,(15/16)*(((H733-$F$4:$F$515)/$B$10)-(2/3)*((H733-$F$4:$F$515)/$B$10)^3+(1/5)*((H733-$F$4:$F$515)/$B$10)^5+8/15))))/COUNT($F$4:$F$515)</f>
        <v>0.38861121311342578</v>
      </c>
      <c r="H733" s="1">
        <f t="shared" si="35"/>
        <v>-5.6285503121689569E-3</v>
      </c>
      <c r="K733" s="2">
        <v>0.01</v>
      </c>
      <c r="L733" s="3">
        <f t="shared" si="33"/>
        <v>-3.8928550312169082E-2</v>
      </c>
    </row>
    <row r="734" spans="4:12" ht="14.4" customHeight="1">
      <c r="D734" s="7">
        <v>43046</v>
      </c>
      <c r="E734" s="8">
        <v>6.61</v>
      </c>
      <c r="F734" s="8">
        <f t="shared" si="34"/>
        <v>-3.1719685231356761E-3</v>
      </c>
      <c r="G734" s="8" cm="1">
        <f t="array" ref="G734">SUMPRODUCT(IF(((H734-$F$4:$F$515)/$B$10)&lt;=-1,0,IF(((H734-$F$4:$F$515)/$B$10)&gt;=1,1,(15/16)*(((H734-$F$4:$F$515)/$B$10)-(2/3)*((H734-$F$4:$F$515)/$B$10)^3+(1/5)*((H734-$F$4:$F$515)/$B$10)^5+8/15))))/COUNT($F$4:$F$515)</f>
        <v>0.39448926537228252</v>
      </c>
      <c r="H734" s="9">
        <f t="shared" si="35"/>
        <v>-5.328550312168957E-3</v>
      </c>
      <c r="K734" s="7">
        <v>0.01</v>
      </c>
      <c r="L734" s="8">
        <f t="shared" si="33"/>
        <v>-3.8928550312169082E-2</v>
      </c>
    </row>
    <row r="735" spans="4:12" ht="14.4" customHeight="1">
      <c r="D735" s="2">
        <v>43047</v>
      </c>
      <c r="E735" s="3">
        <v>6.7649999999999997</v>
      </c>
      <c r="F735" s="3">
        <f t="shared" si="34"/>
        <v>2.317860775915645E-2</v>
      </c>
      <c r="G735" s="3" cm="1">
        <f t="array" ref="G735">SUMPRODUCT(IF(((H735-$F$4:$F$515)/$B$10)&lt;=-1,0,IF(((H735-$F$4:$F$515)/$B$10)&gt;=1,1,(15/16)*(((H735-$F$4:$F$515)/$B$10)-(2/3)*((H735-$F$4:$F$515)/$B$10)^3+(1/5)*((H735-$F$4:$F$515)/$B$10)^5+8/15))))/COUNT($F$4:$F$515)</f>
        <v>0.40036733268409036</v>
      </c>
      <c r="H735" s="1">
        <f t="shared" si="35"/>
        <v>-5.028550312168957E-3</v>
      </c>
      <c r="K735" s="2">
        <v>0.01</v>
      </c>
      <c r="L735" s="3">
        <f t="shared" si="33"/>
        <v>-3.8928550312169082E-2</v>
      </c>
    </row>
    <row r="736" spans="4:12" ht="14.4" customHeight="1">
      <c r="D736" s="7">
        <v>43048</v>
      </c>
      <c r="E736" s="8">
        <v>6.6150000000000002</v>
      </c>
      <c r="F736" s="8">
        <f t="shared" si="34"/>
        <v>-2.2422464055832283E-2</v>
      </c>
      <c r="G736" s="8" cm="1">
        <f t="array" ref="G736">SUMPRODUCT(IF(((H736-$F$4:$F$515)/$B$10)&lt;=-1,0,IF(((H736-$F$4:$F$515)/$B$10)&gt;=1,1,(15/16)*(((H736-$F$4:$F$515)/$B$10)-(2/3)*((H736-$F$4:$F$515)/$B$10)^3+(1/5)*((H736-$F$4:$F$515)/$B$10)^5+8/15))))/COUNT($F$4:$F$515)</f>
        <v>0.40624172245544243</v>
      </c>
      <c r="H736" s="9">
        <f t="shared" si="35"/>
        <v>-4.7285503121689571E-3</v>
      </c>
      <c r="K736" s="7">
        <v>0.01</v>
      </c>
      <c r="L736" s="8">
        <f t="shared" si="33"/>
        <v>-3.8928550312169082E-2</v>
      </c>
    </row>
    <row r="737" spans="4:12" ht="14.4" customHeight="1">
      <c r="D737" s="2">
        <v>43049</v>
      </c>
      <c r="E737" s="3">
        <v>6.6429999999999998</v>
      </c>
      <c r="F737" s="3">
        <f t="shared" si="34"/>
        <v>4.2238711161850222E-3</v>
      </c>
      <c r="G737" s="3" cm="1">
        <f t="array" ref="G737">SUMPRODUCT(IF(((H737-$F$4:$F$515)/$B$10)&lt;=-1,0,IF(((H737-$F$4:$F$515)/$B$10)&gt;=1,1,(15/16)*(((H737-$F$4:$F$515)/$B$10)-(2/3)*((H737-$F$4:$F$515)/$B$10)^3+(1/5)*((H737-$F$4:$F$515)/$B$10)^5+8/15))))/COUNT($F$4:$F$515)</f>
        <v>0.41210932118466664</v>
      </c>
      <c r="H737" s="1">
        <f t="shared" si="35"/>
        <v>-4.4285503121689572E-3</v>
      </c>
      <c r="K737" s="2">
        <v>0.01</v>
      </c>
      <c r="L737" s="3">
        <f t="shared" si="33"/>
        <v>-3.8928550312169082E-2</v>
      </c>
    </row>
    <row r="738" spans="4:12" ht="14.4" customHeight="1">
      <c r="D738" s="7">
        <v>43052</v>
      </c>
      <c r="E738" s="8">
        <v>6.5129999999999999</v>
      </c>
      <c r="F738" s="8">
        <f t="shared" si="34"/>
        <v>-1.9763489118839635E-2</v>
      </c>
      <c r="G738" s="8" cm="1">
        <f t="array" ref="G738">SUMPRODUCT(IF(((H738-$F$4:$F$515)/$B$10)&lt;=-1,0,IF(((H738-$F$4:$F$515)/$B$10)&gt;=1,1,(15/16)*(((H738-$F$4:$F$515)/$B$10)-(2/3)*((H738-$F$4:$F$515)/$B$10)^3+(1/5)*((H738-$F$4:$F$515)/$B$10)^5+8/15))))/COUNT($F$4:$F$515)</f>
        <v>0.41796855850103776</v>
      </c>
      <c r="H738" s="9">
        <f t="shared" si="35"/>
        <v>-4.1285503121689573E-3</v>
      </c>
      <c r="K738" s="7">
        <v>0.01</v>
      </c>
      <c r="L738" s="8">
        <f t="shared" si="33"/>
        <v>-3.8928550312169082E-2</v>
      </c>
    </row>
    <row r="739" spans="4:12" ht="14.4" customHeight="1">
      <c r="D739" s="2">
        <v>43053</v>
      </c>
      <c r="E739" s="3">
        <v>6.4379999999999997</v>
      </c>
      <c r="F739" s="3">
        <f t="shared" si="34"/>
        <v>-1.1582246687648103E-2</v>
      </c>
      <c r="G739" s="3" cm="1">
        <f t="array" ref="G739">SUMPRODUCT(IF(((H739-$F$4:$F$515)/$B$10)&lt;=-1,0,IF(((H739-$F$4:$F$515)/$B$10)&gt;=1,1,(15/16)*(((H739-$F$4:$F$515)/$B$10)-(2/3)*((H739-$F$4:$F$515)/$B$10)^3+(1/5)*((H739-$F$4:$F$515)/$B$10)^5+8/15))))/COUNT($F$4:$F$515)</f>
        <v>0.42381988157113837</v>
      </c>
      <c r="H739" s="1">
        <f t="shared" si="35"/>
        <v>-3.8285503121689574E-3</v>
      </c>
      <c r="K739" s="2">
        <v>0.01</v>
      </c>
      <c r="L739" s="3">
        <f t="shared" si="33"/>
        <v>-3.8928550312169082E-2</v>
      </c>
    </row>
    <row r="740" spans="4:12" ht="14.4" customHeight="1">
      <c r="D740" s="7">
        <v>43054</v>
      </c>
      <c r="E740" s="8">
        <v>6.4550000000000001</v>
      </c>
      <c r="F740" s="8">
        <f t="shared" si="34"/>
        <v>2.6370914219894363E-3</v>
      </c>
      <c r="G740" s="8" cm="1">
        <f t="array" ref="G740">SUMPRODUCT(IF(((H740-$F$4:$F$515)/$B$10)&lt;=-1,0,IF(((H740-$F$4:$F$515)/$B$10)&gt;=1,1,(15/16)*(((H740-$F$4:$F$515)/$B$10)-(2/3)*((H740-$F$4:$F$515)/$B$10)^3+(1/5)*((H740-$F$4:$F$515)/$B$10)^5+8/15))))/COUNT($F$4:$F$515)</f>
        <v>0.4296657557911</v>
      </c>
      <c r="H740" s="9">
        <f t="shared" si="35"/>
        <v>-3.5285503121689574E-3</v>
      </c>
      <c r="K740" s="7">
        <v>0.01</v>
      </c>
      <c r="L740" s="8">
        <f t="shared" si="33"/>
        <v>-3.8928550312169082E-2</v>
      </c>
    </row>
    <row r="741" spans="4:12" ht="14.4" customHeight="1">
      <c r="D741" s="2">
        <v>43055</v>
      </c>
      <c r="E741" s="3">
        <v>6.5419999999999998</v>
      </c>
      <c r="F741" s="3">
        <f t="shared" si="34"/>
        <v>1.338790481758634E-2</v>
      </c>
      <c r="G741" s="3" cm="1">
        <f t="array" ref="G741">SUMPRODUCT(IF(((H741-$F$4:$F$515)/$B$10)&lt;=-1,0,IF(((H741-$F$4:$F$515)/$B$10)&gt;=1,1,(15/16)*(((H741-$F$4:$F$515)/$B$10)-(2/3)*((H741-$F$4:$F$515)/$B$10)^3+(1/5)*((H741-$F$4:$F$515)/$B$10)^5+8/15))))/COUNT($F$4:$F$515)</f>
        <v>0.43551015350597738</v>
      </c>
      <c r="H741" s="1">
        <f t="shared" si="35"/>
        <v>-3.2285503121689575E-3</v>
      </c>
      <c r="K741" s="2">
        <v>0.01</v>
      </c>
      <c r="L741" s="3">
        <f t="shared" si="33"/>
        <v>-3.8928550312169082E-2</v>
      </c>
    </row>
    <row r="742" spans="4:12" ht="14.4" customHeight="1">
      <c r="D742" s="7">
        <v>43056</v>
      </c>
      <c r="E742" s="8">
        <v>6.5330000000000004</v>
      </c>
      <c r="F742" s="8">
        <f t="shared" si="34"/>
        <v>-1.3766732575787987E-3</v>
      </c>
      <c r="G742" s="8" cm="1">
        <f t="array" ref="G742">SUMPRODUCT(IF(((H742-$F$4:$F$515)/$B$10)&lt;=-1,0,IF(((H742-$F$4:$F$515)/$B$10)&gt;=1,1,(15/16)*(((H742-$F$4:$F$515)/$B$10)-(2/3)*((H742-$F$4:$F$515)/$B$10)^3+(1/5)*((H742-$F$4:$F$515)/$B$10)^5+8/15))))/COUNT($F$4:$F$515)</f>
        <v>0.44135722491659179</v>
      </c>
      <c r="H742" s="9">
        <f t="shared" si="35"/>
        <v>-2.9285503121689576E-3</v>
      </c>
      <c r="K742" s="7">
        <v>0.01</v>
      </c>
      <c r="L742" s="8">
        <f t="shared" si="33"/>
        <v>-3.8928550312169082E-2</v>
      </c>
    </row>
    <row r="743" spans="4:12" ht="14.4" customHeight="1">
      <c r="D743" s="2">
        <v>43059</v>
      </c>
      <c r="E743" s="3">
        <v>6.4729999999999999</v>
      </c>
      <c r="F743" s="3">
        <f t="shared" si="34"/>
        <v>-9.2265762952402058E-3</v>
      </c>
      <c r="G743" s="3" cm="1">
        <f t="array" ref="G743">SUMPRODUCT(IF(((H743-$F$4:$F$515)/$B$10)&lt;=-1,0,IF(((H743-$F$4:$F$515)/$B$10)&gt;=1,1,(15/16)*(((H743-$F$4:$F$515)/$B$10)-(2/3)*((H743-$F$4:$F$515)/$B$10)^3+(1/5)*((H743-$F$4:$F$515)/$B$10)^5+8/15))))/COUNT($F$4:$F$515)</f>
        <v>0.44721145398162393</v>
      </c>
      <c r="H743" s="1">
        <f t="shared" si="35"/>
        <v>-2.6285503121689577E-3</v>
      </c>
      <c r="K743" s="2">
        <v>0.01</v>
      </c>
      <c r="L743" s="3">
        <f t="shared" si="33"/>
        <v>-3.8928550312169082E-2</v>
      </c>
    </row>
    <row r="744" spans="4:12" ht="14.4" customHeight="1">
      <c r="D744" s="7">
        <v>43060</v>
      </c>
      <c r="E744" s="8">
        <v>6.5460000000000003</v>
      </c>
      <c r="F744" s="8">
        <f t="shared" si="34"/>
        <v>1.1214496515615681E-2</v>
      </c>
      <c r="G744" s="8" cm="1">
        <f t="array" ref="G744">SUMPRODUCT(IF(((H744-$F$4:$F$515)/$B$10)&lt;=-1,0,IF(((H744-$F$4:$F$515)/$B$10)&gt;=1,1,(15/16)*(((H744-$F$4:$F$515)/$B$10)-(2/3)*((H744-$F$4:$F$515)/$B$10)^3+(1/5)*((H744-$F$4:$F$515)/$B$10)^5+8/15))))/COUNT($F$4:$F$515)</f>
        <v>0.45307594609111379</v>
      </c>
      <c r="H744" s="9">
        <f t="shared" si="35"/>
        <v>-2.3285503121689578E-3</v>
      </c>
      <c r="K744" s="7">
        <v>0.01</v>
      </c>
      <c r="L744" s="8">
        <f t="shared" si="33"/>
        <v>-3.8928550312169082E-2</v>
      </c>
    </row>
    <row r="745" spans="4:12" ht="14.4" customHeight="1">
      <c r="D745" s="2">
        <v>43061</v>
      </c>
      <c r="E745" s="3">
        <v>6.5019999999999998</v>
      </c>
      <c r="F745" s="3">
        <f t="shared" si="34"/>
        <v>-6.7443541972751972E-3</v>
      </c>
      <c r="G745" s="3" cm="1">
        <f t="array" ref="G745">SUMPRODUCT(IF(((H745-$F$4:$F$515)/$B$10)&lt;=-1,0,IF(((H745-$F$4:$F$515)/$B$10)&gt;=1,1,(15/16)*(((H745-$F$4:$F$515)/$B$10)-(2/3)*((H745-$F$4:$F$515)/$B$10)^3+(1/5)*((H745-$F$4:$F$515)/$B$10)^5+8/15))))/COUNT($F$4:$F$515)</f>
        <v>0.45895406591147808</v>
      </c>
      <c r="H745" s="1">
        <f t="shared" si="35"/>
        <v>-2.0285503121689578E-3</v>
      </c>
      <c r="K745" s="2">
        <v>0.01</v>
      </c>
      <c r="L745" s="3">
        <f t="shared" si="33"/>
        <v>-3.8928550312169082E-2</v>
      </c>
    </row>
    <row r="746" spans="4:12" ht="14.4" customHeight="1">
      <c r="D746" s="7">
        <v>43062</v>
      </c>
      <c r="E746" s="8">
        <v>6.5140000000000002</v>
      </c>
      <c r="F746" s="8">
        <f t="shared" si="34"/>
        <v>1.8438849723282193E-3</v>
      </c>
      <c r="G746" s="8" cm="1">
        <f t="array" ref="G746">SUMPRODUCT(IF(((H746-$F$4:$F$515)/$B$10)&lt;=-1,0,IF(((H746-$F$4:$F$515)/$B$10)&gt;=1,1,(15/16)*(((H746-$F$4:$F$515)/$B$10)-(2/3)*((H746-$F$4:$F$515)/$B$10)^3+(1/5)*((H746-$F$4:$F$515)/$B$10)^5+8/15))))/COUNT($F$4:$F$515)</f>
        <v>0.46484967079450579</v>
      </c>
      <c r="H746" s="9">
        <f t="shared" si="35"/>
        <v>-1.7285503121689579E-3</v>
      </c>
      <c r="K746" s="7">
        <v>0.01</v>
      </c>
      <c r="L746" s="8">
        <f t="shared" si="33"/>
        <v>-3.8928550312169082E-2</v>
      </c>
    </row>
    <row r="747" spans="4:12" ht="14.4" customHeight="1">
      <c r="D747" s="2">
        <v>43063</v>
      </c>
      <c r="E747" s="3">
        <v>6.593</v>
      </c>
      <c r="F747" s="3">
        <f t="shared" si="34"/>
        <v>1.2054773277120895E-2</v>
      </c>
      <c r="G747" s="3" cm="1">
        <f t="array" ref="G747">SUMPRODUCT(IF(((H747-$F$4:$F$515)/$B$10)&lt;=-1,0,IF(((H747-$F$4:$F$515)/$B$10)&gt;=1,1,(15/16)*(((H747-$F$4:$F$515)/$B$10)-(2/3)*((H747-$F$4:$F$515)/$B$10)^3+(1/5)*((H747-$F$4:$F$515)/$B$10)^5+8/15))))/COUNT($F$4:$F$515)</f>
        <v>0.47076514430608202</v>
      </c>
      <c r="H747" s="1">
        <f t="shared" si="35"/>
        <v>-1.428550312168958E-3</v>
      </c>
      <c r="K747" s="2">
        <v>0.01</v>
      </c>
      <c r="L747" s="3">
        <f t="shared" si="33"/>
        <v>-3.8928550312169082E-2</v>
      </c>
    </row>
    <row r="748" spans="4:12" ht="14.4" customHeight="1">
      <c r="D748" s="7">
        <v>43066</v>
      </c>
      <c r="E748" s="8">
        <v>6.5279999999999996</v>
      </c>
      <c r="F748" s="8">
        <f t="shared" si="34"/>
        <v>-9.9078624693567825E-3</v>
      </c>
      <c r="G748" s="8" cm="1">
        <f t="array" ref="G748">SUMPRODUCT(IF(((H748-$F$4:$F$515)/$B$10)&lt;=-1,0,IF(((H748-$F$4:$F$515)/$B$10)&gt;=1,1,(15/16)*(((H748-$F$4:$F$515)/$B$10)-(2/3)*((H748-$F$4:$F$515)/$B$10)^3+(1/5)*((H748-$F$4:$F$515)/$B$10)^5+8/15))))/COUNT($F$4:$F$515)</f>
        <v>0.47670407367435091</v>
      </c>
      <c r="H748" s="9">
        <f t="shared" si="35"/>
        <v>-1.1285503121689581E-3</v>
      </c>
      <c r="K748" s="7">
        <v>0.01</v>
      </c>
      <c r="L748" s="8">
        <f t="shared" si="33"/>
        <v>-3.8928550312169082E-2</v>
      </c>
    </row>
    <row r="749" spans="4:12" ht="14.4" customHeight="1">
      <c r="D749" s="2">
        <v>43067</v>
      </c>
      <c r="E749" s="3">
        <v>6.4980000000000002</v>
      </c>
      <c r="F749" s="3">
        <f t="shared" si="34"/>
        <v>-4.6061804148972534E-3</v>
      </c>
      <c r="G749" s="3" cm="1">
        <f t="array" ref="G749">SUMPRODUCT(IF(((H749-$F$4:$F$515)/$B$10)&lt;=-1,0,IF(((H749-$F$4:$F$515)/$B$10)&gt;=1,1,(15/16)*(((H749-$F$4:$F$515)/$B$10)-(2/3)*((H749-$F$4:$F$515)/$B$10)^3+(1/5)*((H749-$F$4:$F$515)/$B$10)^5+8/15))))/COUNT($F$4:$F$515)</f>
        <v>0.48267123736917505</v>
      </c>
      <c r="H749" s="1">
        <f t="shared" si="35"/>
        <v>-8.2855031216895816E-4</v>
      </c>
      <c r="K749" s="2">
        <v>0.01</v>
      </c>
      <c r="L749" s="3">
        <f t="shared" si="33"/>
        <v>-3.8928550312169082E-2</v>
      </c>
    </row>
    <row r="750" spans="4:12" ht="14.4" customHeight="1">
      <c r="D750" s="7">
        <v>43068</v>
      </c>
      <c r="E750" s="8">
        <v>6.6859999999999999</v>
      </c>
      <c r="F750" s="8">
        <f t="shared" si="34"/>
        <v>2.8521350750998254E-2</v>
      </c>
      <c r="G750" s="8" cm="1">
        <f t="array" ref="G750">SUMPRODUCT(IF(((H750-$F$4:$F$515)/$B$10)&lt;=-1,0,IF(((H750-$F$4:$F$515)/$B$10)&gt;=1,1,(15/16)*(((H750-$F$4:$F$515)/$B$10)-(2/3)*((H750-$F$4:$F$515)/$B$10)^3+(1/5)*((H750-$F$4:$F$515)/$B$10)^5+8/15))))/COUNT($F$4:$F$515)</f>
        <v>0.48867082344550411</v>
      </c>
      <c r="H750" s="9">
        <f t="shared" si="35"/>
        <v>-5.2855031216895824E-4</v>
      </c>
      <c r="K750" s="7">
        <v>0.01</v>
      </c>
      <c r="L750" s="8">
        <f t="shared" si="33"/>
        <v>-3.8928550312169082E-2</v>
      </c>
    </row>
    <row r="751" spans="4:12" ht="14.4" customHeight="1">
      <c r="D751" s="2">
        <v>43069</v>
      </c>
      <c r="E751" s="3">
        <v>6.81</v>
      </c>
      <c r="F751" s="3">
        <f t="shared" si="34"/>
        <v>1.8376332163514024E-2</v>
      </c>
      <c r="G751" s="3" cm="1">
        <f t="array" ref="G751">SUMPRODUCT(IF(((H751-$F$4:$F$515)/$B$10)&lt;=-1,0,IF(((H751-$F$4:$F$515)/$B$10)&gt;=1,1,(15/16)*(((H751-$F$4:$F$515)/$B$10)-(2/3)*((H751-$F$4:$F$515)/$B$10)^3+(1/5)*((H751-$F$4:$F$515)/$B$10)^5+8/15))))/COUNT($F$4:$F$515)</f>
        <v>0.49470416910210346</v>
      </c>
      <c r="H751" s="1">
        <f t="shared" si="35"/>
        <v>-2.2855031216895827E-4</v>
      </c>
      <c r="K751" s="2">
        <v>0.01</v>
      </c>
      <c r="L751" s="3">
        <f t="shared" si="33"/>
        <v>-3.8928550312169082E-2</v>
      </c>
    </row>
    <row r="752" spans="4:12" ht="14.4" customHeight="1">
      <c r="D752" s="7">
        <v>43070</v>
      </c>
      <c r="E752" s="8">
        <v>6.6539999999999999</v>
      </c>
      <c r="F752" s="8">
        <f t="shared" si="34"/>
        <v>-2.3173942565135948E-2</v>
      </c>
      <c r="G752" s="8" cm="1">
        <f t="array" ref="G752">SUMPRODUCT(IF(((H752-$F$4:$F$515)/$B$10)&lt;=-1,0,IF(((H752-$F$4:$F$515)/$B$10)&gt;=1,1,(15/16)*(((H752-$F$4:$F$515)/$B$10)-(2/3)*((H752-$F$4:$F$515)/$B$10)^3+(1/5)*((H752-$F$4:$F$515)/$B$10)^5+8/15))))/COUNT($F$4:$F$515)</f>
        <v>0.50077076348951621</v>
      </c>
      <c r="H752" s="9">
        <f t="shared" si="35"/>
        <v>7.1449687831041703E-5</v>
      </c>
      <c r="K752" s="7">
        <v>0.01</v>
      </c>
      <c r="L752" s="8">
        <f t="shared" si="33"/>
        <v>-3.8928550312169082E-2</v>
      </c>
    </row>
    <row r="753" spans="4:12" ht="14.4" customHeight="1">
      <c r="D753" s="2">
        <v>43073</v>
      </c>
      <c r="E753" s="3">
        <v>6.819</v>
      </c>
      <c r="F753" s="3">
        <f t="shared" si="34"/>
        <v>2.4494655942230829E-2</v>
      </c>
      <c r="G753" s="3" cm="1">
        <f t="array" ref="G753">SUMPRODUCT(IF(((H753-$F$4:$F$515)/$B$10)&lt;=-1,0,IF(((H753-$F$4:$F$515)/$B$10)&gt;=1,1,(15/16)*(((H753-$F$4:$F$515)/$B$10)-(2/3)*((H753-$F$4:$F$515)/$B$10)^3+(1/5)*((H753-$F$4:$F$515)/$B$10)^5+8/15))))/COUNT($F$4:$F$515)</f>
        <v>0.50686954400920914</v>
      </c>
      <c r="H753" s="1">
        <f t="shared" si="35"/>
        <v>3.7144968783104168E-4</v>
      </c>
      <c r="K753" s="2">
        <v>0.01</v>
      </c>
      <c r="L753" s="3">
        <f t="shared" si="33"/>
        <v>-3.8928550312169082E-2</v>
      </c>
    </row>
    <row r="754" spans="4:12" ht="14.4" customHeight="1">
      <c r="D754" s="7">
        <v>43074</v>
      </c>
      <c r="E754" s="8">
        <v>6.7169999999999996</v>
      </c>
      <c r="F754" s="8">
        <f t="shared" si="34"/>
        <v>-1.5071207253788467E-2</v>
      </c>
      <c r="G754" s="8" cm="1">
        <f t="array" ref="G754">SUMPRODUCT(IF(((H754-$F$4:$F$515)/$B$10)&lt;=-1,0,IF(((H754-$F$4:$F$515)/$B$10)&gt;=1,1,(15/16)*(((H754-$F$4:$F$515)/$B$10)-(2/3)*((H754-$F$4:$F$515)/$B$10)^3+(1/5)*((H754-$F$4:$F$515)/$B$10)^5+8/15))))/COUNT($F$4:$F$515)</f>
        <v>0.51299709129099791</v>
      </c>
      <c r="H754" s="9">
        <f t="shared" si="35"/>
        <v>6.7144968783104165E-4</v>
      </c>
      <c r="K754" s="7">
        <v>0.01</v>
      </c>
      <c r="L754" s="8">
        <f t="shared" si="33"/>
        <v>-3.8928550312169082E-2</v>
      </c>
    </row>
    <row r="755" spans="4:12" ht="14.4" customHeight="1">
      <c r="D755" s="2">
        <v>43075</v>
      </c>
      <c r="E755" s="3">
        <v>6.6219999999999999</v>
      </c>
      <c r="F755" s="3">
        <f t="shared" si="34"/>
        <v>-1.4244187159672902E-2</v>
      </c>
      <c r="G755" s="3" cm="1">
        <f t="array" ref="G755">SUMPRODUCT(IF(((H755-$F$4:$F$515)/$B$10)&lt;=-1,0,IF(((H755-$F$4:$F$515)/$B$10)&gt;=1,1,(15/16)*(((H755-$F$4:$F$515)/$B$10)-(2/3)*((H755-$F$4:$F$515)/$B$10)^3+(1/5)*((H755-$F$4:$F$515)/$B$10)^5+8/15))))/COUNT($F$4:$F$515)</f>
        <v>0.51914689904941935</v>
      </c>
      <c r="H755" s="1">
        <f t="shared" si="35"/>
        <v>9.7144968783104157E-4</v>
      </c>
      <c r="K755" s="2">
        <v>0.01</v>
      </c>
      <c r="L755" s="3">
        <f t="shared" si="33"/>
        <v>-3.8928550312169082E-2</v>
      </c>
    </row>
    <row r="756" spans="4:12" ht="14.4" customHeight="1">
      <c r="D756" s="7">
        <v>43076</v>
      </c>
      <c r="E756" s="8">
        <v>6.766</v>
      </c>
      <c r="F756" s="8">
        <f t="shared" si="34"/>
        <v>2.1512631233462164E-2</v>
      </c>
      <c r="G756" s="8" cm="1">
        <f t="array" ref="G756">SUMPRODUCT(IF(((H756-$F$4:$F$515)/$B$10)&lt;=-1,0,IF(((H756-$F$4:$F$515)/$B$10)&gt;=1,1,(15/16)*(((H756-$F$4:$F$515)/$B$10)-(2/3)*((H756-$F$4:$F$515)/$B$10)^3+(1/5)*((H756-$F$4:$F$515)/$B$10)^5+8/15))))/COUNT($F$4:$F$515)</f>
        <v>0.52531248344654013</v>
      </c>
      <c r="H756" s="9">
        <f t="shared" si="35"/>
        <v>1.2714496878310415E-3</v>
      </c>
      <c r="K756" s="7">
        <v>0.01</v>
      </c>
      <c r="L756" s="8">
        <f t="shared" si="33"/>
        <v>-3.8928550312169082E-2</v>
      </c>
    </row>
    <row r="757" spans="4:12" ht="14.4" customHeight="1">
      <c r="D757" s="2">
        <v>43077</v>
      </c>
      <c r="E757" s="3">
        <v>6.7279999999999998</v>
      </c>
      <c r="F757" s="3">
        <f t="shared" si="34"/>
        <v>-5.6321476878698797E-3</v>
      </c>
      <c r="G757" s="3" cm="1">
        <f t="array" ref="G757">SUMPRODUCT(IF(((H757-$F$4:$F$515)/$B$10)&lt;=-1,0,IF(((H757-$F$4:$F$515)/$B$10)&gt;=1,1,(15/16)*(((H757-$F$4:$F$515)/$B$10)-(2/3)*((H757-$F$4:$F$515)/$B$10)^3+(1/5)*((H757-$F$4:$F$515)/$B$10)^5+8/15))))/COUNT($F$4:$F$515)</f>
        <v>0.5314872733428383</v>
      </c>
      <c r="H757" s="1">
        <f t="shared" si="35"/>
        <v>1.5714496878310414E-3</v>
      </c>
      <c r="K757" s="2">
        <v>0.01</v>
      </c>
      <c r="L757" s="3">
        <f t="shared" si="33"/>
        <v>-3.8928550312169082E-2</v>
      </c>
    </row>
    <row r="758" spans="4:12" ht="14.4" customHeight="1">
      <c r="D758" s="7">
        <v>43080</v>
      </c>
      <c r="E758" s="8">
        <v>6.7869999999999999</v>
      </c>
      <c r="F758" s="8">
        <f t="shared" si="34"/>
        <v>8.7310950509745071E-3</v>
      </c>
      <c r="G758" s="8" cm="1">
        <f t="array" ref="G758">SUMPRODUCT(IF(((H758-$F$4:$F$515)/$B$10)&lt;=-1,0,IF(((H758-$F$4:$F$515)/$B$10)&gt;=1,1,(15/16)*(((H758-$F$4:$F$515)/$B$10)-(2/3)*((H758-$F$4:$F$515)/$B$10)^3+(1/5)*((H758-$F$4:$F$515)/$B$10)^5+8/15))))/COUNT($F$4:$F$515)</f>
        <v>0.53766479375280962</v>
      </c>
      <c r="H758" s="9">
        <f t="shared" si="35"/>
        <v>1.8714496878310413E-3</v>
      </c>
      <c r="K758" s="7">
        <v>0.01</v>
      </c>
      <c r="L758" s="8">
        <f t="shared" si="33"/>
        <v>-3.8928550312169082E-2</v>
      </c>
    </row>
    <row r="759" spans="4:12" ht="14.4" customHeight="1">
      <c r="D759" s="2">
        <v>43081</v>
      </c>
      <c r="E759" s="3">
        <v>6.8070000000000004</v>
      </c>
      <c r="F759" s="3">
        <f t="shared" si="34"/>
        <v>2.9424767441930942E-3</v>
      </c>
      <c r="G759" s="3" cm="1">
        <f t="array" ref="G759">SUMPRODUCT(IF(((H759-$F$4:$F$515)/$B$10)&lt;=-1,0,IF(((H759-$F$4:$F$515)/$B$10)&gt;=1,1,(15/16)*(((H759-$F$4:$F$515)/$B$10)-(2/3)*((H759-$F$4:$F$515)/$B$10)^3+(1/5)*((H759-$F$4:$F$515)/$B$10)^5+8/15))))/COUNT($F$4:$F$515)</f>
        <v>0.54383809192110588</v>
      </c>
      <c r="H759" s="1">
        <f t="shared" si="35"/>
        <v>2.1714496878310415E-3</v>
      </c>
      <c r="K759" s="2">
        <v>0.01</v>
      </c>
      <c r="L759" s="3">
        <f t="shared" si="33"/>
        <v>-3.8928550312169082E-2</v>
      </c>
    </row>
    <row r="760" spans="4:12" ht="14.4" customHeight="1">
      <c r="D760" s="7">
        <v>43082</v>
      </c>
      <c r="E760" s="8">
        <v>6.5869999999999997</v>
      </c>
      <c r="F760" s="8">
        <f t="shared" si="34"/>
        <v>-3.2853484807258623E-2</v>
      </c>
      <c r="G760" s="8" cm="1">
        <f t="array" ref="G760">SUMPRODUCT(IF(((H760-$F$4:$F$515)/$B$10)&lt;=-1,0,IF(((H760-$F$4:$F$515)/$B$10)&gt;=1,1,(15/16)*(((H760-$F$4:$F$515)/$B$10)-(2/3)*((H760-$F$4:$F$515)/$B$10)^3+(1/5)*((H760-$F$4:$F$515)/$B$10)^5+8/15))))/COUNT($F$4:$F$515)</f>
        <v>0.54999897161432709</v>
      </c>
      <c r="H760" s="9">
        <f t="shared" si="35"/>
        <v>2.4714496878310414E-3</v>
      </c>
      <c r="K760" s="7">
        <v>0.01</v>
      </c>
      <c r="L760" s="8">
        <f t="shared" si="33"/>
        <v>-3.8928550312169082E-2</v>
      </c>
    </row>
    <row r="761" spans="4:12" ht="14.4" customHeight="1">
      <c r="D761" s="2">
        <v>43083</v>
      </c>
      <c r="E761" s="3">
        <v>6.585</v>
      </c>
      <c r="F761" s="3">
        <f t="shared" si="34"/>
        <v>-3.0367446331144496E-4</v>
      </c>
      <c r="G761" s="3" cm="1">
        <f t="array" ref="G761">SUMPRODUCT(IF(((H761-$F$4:$F$515)/$B$10)&lt;=-1,0,IF(((H761-$F$4:$F$515)/$B$10)&gt;=1,1,(15/16)*(((H761-$F$4:$F$515)/$B$10)-(2/3)*((H761-$F$4:$F$515)/$B$10)^3+(1/5)*((H761-$F$4:$F$515)/$B$10)^5+8/15))))/COUNT($F$4:$F$515)</f>
        <v>0.5561387427142569</v>
      </c>
      <c r="H761" s="1">
        <f t="shared" si="35"/>
        <v>2.7714496878310413E-3</v>
      </c>
      <c r="K761" s="2">
        <v>0.01</v>
      </c>
      <c r="L761" s="3">
        <f t="shared" si="33"/>
        <v>-3.8928550312169082E-2</v>
      </c>
    </row>
    <row r="762" spans="4:12" ht="14.4" customHeight="1">
      <c r="D762" s="7">
        <v>43084</v>
      </c>
      <c r="E762" s="8">
        <v>6.6360000000000001</v>
      </c>
      <c r="F762" s="8">
        <f t="shared" si="34"/>
        <v>7.715037132953708E-3</v>
      </c>
      <c r="G762" s="8" cm="1">
        <f t="array" ref="G762">SUMPRODUCT(IF(((H762-$F$4:$F$515)/$B$10)&lt;=-1,0,IF(((H762-$F$4:$F$515)/$B$10)&gt;=1,1,(15/16)*(((H762-$F$4:$F$515)/$B$10)-(2/3)*((H762-$F$4:$F$515)/$B$10)^3+(1/5)*((H762-$F$4:$F$515)/$B$10)^5+8/15))))/COUNT($F$4:$F$515)</f>
        <v>0.56224872384406055</v>
      </c>
      <c r="H762" s="9">
        <f t="shared" si="35"/>
        <v>3.0714496878310412E-3</v>
      </c>
      <c r="K762" s="7">
        <v>0.01</v>
      </c>
      <c r="L762" s="8">
        <f t="shared" si="33"/>
        <v>-3.8928550312169082E-2</v>
      </c>
    </row>
    <row r="763" spans="4:12" ht="14.4" customHeight="1">
      <c r="D763" s="2">
        <v>43087</v>
      </c>
      <c r="E763" s="3">
        <v>6.7549999999999999</v>
      </c>
      <c r="F763" s="3">
        <f t="shared" si="34"/>
        <v>1.7773599083964069E-2</v>
      </c>
      <c r="G763" s="3" cm="1">
        <f t="array" ref="G763">SUMPRODUCT(IF(((H763-$F$4:$F$515)/$B$10)&lt;=-1,0,IF(((H763-$F$4:$F$515)/$B$10)&gt;=1,1,(15/16)*(((H763-$F$4:$F$515)/$B$10)-(2/3)*((H763-$F$4:$F$515)/$B$10)^3+(1/5)*((H763-$F$4:$F$515)/$B$10)^5+8/15))))/COUNT($F$4:$F$515)</f>
        <v>0.56832129931970676</v>
      </c>
      <c r="H763" s="1">
        <f t="shared" si="35"/>
        <v>3.3714496878310411E-3</v>
      </c>
      <c r="K763" s="2">
        <v>0.01</v>
      </c>
      <c r="L763" s="3">
        <f t="shared" si="33"/>
        <v>-3.8928550312169082E-2</v>
      </c>
    </row>
    <row r="764" spans="4:12" ht="14.4" customHeight="1">
      <c r="D764" s="7">
        <v>43088</v>
      </c>
      <c r="E764" s="8">
        <v>6.6719999999999997</v>
      </c>
      <c r="F764" s="8">
        <f t="shared" si="34"/>
        <v>-1.2363306355716528E-2</v>
      </c>
      <c r="G764" s="8" cm="1">
        <f t="array" ref="G764">SUMPRODUCT(IF(((H764-$F$4:$F$515)/$B$10)&lt;=-1,0,IF(((H764-$F$4:$F$515)/$B$10)&gt;=1,1,(15/16)*(((H764-$F$4:$F$515)/$B$10)-(2/3)*((H764-$F$4:$F$515)/$B$10)^3+(1/5)*((H764-$F$4:$F$515)/$B$10)^5+8/15))))/COUNT($F$4:$F$515)</f>
        <v>0.57434927005535685</v>
      </c>
      <c r="H764" s="9">
        <f t="shared" si="35"/>
        <v>3.6714496878310411E-3</v>
      </c>
      <c r="K764" s="7">
        <v>0.01</v>
      </c>
      <c r="L764" s="8">
        <f t="shared" si="33"/>
        <v>-3.8928550312169082E-2</v>
      </c>
    </row>
    <row r="765" spans="4:12" ht="14.4" customHeight="1">
      <c r="D765" s="2">
        <v>43089</v>
      </c>
      <c r="E765" s="3">
        <v>6.6230000000000002</v>
      </c>
      <c r="F765" s="3">
        <f t="shared" si="34"/>
        <v>-7.3712255536031437E-3</v>
      </c>
      <c r="G765" s="3" cm="1">
        <f t="array" ref="G765">SUMPRODUCT(IF(((H765-$F$4:$F$515)/$B$10)&lt;=-1,0,IF(((H765-$F$4:$F$515)/$B$10)&gt;=1,1,(15/16)*(((H765-$F$4:$F$515)/$B$10)-(2/3)*((H765-$F$4:$F$515)/$B$10)^3+(1/5)*((H765-$F$4:$F$515)/$B$10)^5+8/15))))/COUNT($F$4:$F$515)</f>
        <v>0.58032446427865625</v>
      </c>
      <c r="H765" s="1">
        <f t="shared" si="35"/>
        <v>3.9714496878310414E-3</v>
      </c>
      <c r="K765" s="2">
        <v>0.01</v>
      </c>
      <c r="L765" s="3">
        <f t="shared" si="33"/>
        <v>-3.8928550312169082E-2</v>
      </c>
    </row>
    <row r="766" spans="4:12" ht="14.4" customHeight="1">
      <c r="D766" s="7">
        <v>43090</v>
      </c>
      <c r="E766" s="8">
        <v>6.7409999999999997</v>
      </c>
      <c r="F766" s="8">
        <f t="shared" si="34"/>
        <v>1.7659842368459442E-2</v>
      </c>
      <c r="G766" s="8" cm="1">
        <f t="array" ref="G766">SUMPRODUCT(IF(((H766-$F$4:$F$515)/$B$10)&lt;=-1,0,IF(((H766-$F$4:$F$515)/$B$10)&gt;=1,1,(15/16)*(((H766-$F$4:$F$515)/$B$10)-(2/3)*((H766-$F$4:$F$515)/$B$10)^3+(1/5)*((H766-$F$4:$F$515)/$B$10)^5+8/15))))/COUNT($F$4:$F$515)</f>
        <v>0.58623968239783408</v>
      </c>
      <c r="H766" s="9">
        <f t="shared" si="35"/>
        <v>4.2714496878310413E-3</v>
      </c>
      <c r="K766" s="7">
        <v>0.01</v>
      </c>
      <c r="L766" s="8">
        <f t="shared" si="33"/>
        <v>-3.8928550312169082E-2</v>
      </c>
    </row>
    <row r="767" spans="4:12" ht="14.4" customHeight="1">
      <c r="D767" s="2">
        <v>43091</v>
      </c>
      <c r="E767" s="3">
        <v>6.681</v>
      </c>
      <c r="F767" s="3">
        <f t="shared" si="34"/>
        <v>-8.9406049279614659E-3</v>
      </c>
      <c r="G767" s="3" cm="1">
        <f t="array" ref="G767">SUMPRODUCT(IF(((H767-$F$4:$F$515)/$B$10)&lt;=-1,0,IF(((H767-$F$4:$F$515)/$B$10)&gt;=1,1,(15/16)*(((H767-$F$4:$F$515)/$B$10)-(2/3)*((H767-$F$4:$F$515)/$B$10)^3+(1/5)*((H767-$F$4:$F$515)/$B$10)^5+8/15))))/COUNT($F$4:$F$515)</f>
        <v>0.59208987292928028</v>
      </c>
      <c r="H767" s="1">
        <f t="shared" si="35"/>
        <v>4.5714496878310413E-3</v>
      </c>
      <c r="K767" s="2">
        <v>0.01</v>
      </c>
      <c r="L767" s="3">
        <f t="shared" si="33"/>
        <v>-3.8928550312169082E-2</v>
      </c>
    </row>
    <row r="768" spans="4:12" ht="14.4" customHeight="1">
      <c r="D768" s="7">
        <v>43096</v>
      </c>
      <c r="E768" s="8">
        <v>6.6479999999999997</v>
      </c>
      <c r="F768" s="8">
        <f t="shared" si="34"/>
        <v>-4.951619390193303E-3</v>
      </c>
      <c r="G768" s="8" cm="1">
        <f t="array" ref="G768">SUMPRODUCT(IF(((H768-$F$4:$F$515)/$B$10)&lt;=-1,0,IF(((H768-$F$4:$F$515)/$B$10)&gt;=1,1,(15/16)*(((H768-$F$4:$F$515)/$B$10)-(2/3)*((H768-$F$4:$F$515)/$B$10)^3+(1/5)*((H768-$F$4:$F$515)/$B$10)^5+8/15))))/COUNT($F$4:$F$515)</f>
        <v>0.59787132315480485</v>
      </c>
      <c r="H768" s="9">
        <f t="shared" si="35"/>
        <v>4.8714496878310412E-3</v>
      </c>
      <c r="K768" s="7">
        <v>0.01</v>
      </c>
      <c r="L768" s="8">
        <f t="shared" si="33"/>
        <v>-3.8928550312169082E-2</v>
      </c>
    </row>
    <row r="769" spans="4:12" ht="14.4" customHeight="1">
      <c r="D769" s="2">
        <v>43097</v>
      </c>
      <c r="E769" s="3">
        <v>6.6349999999999998</v>
      </c>
      <c r="F769" s="3">
        <f t="shared" si="34"/>
        <v>-1.9573897689761891E-3</v>
      </c>
      <c r="G769" s="3" cm="1">
        <f t="array" ref="G769">SUMPRODUCT(IF(((H769-$F$4:$F$515)/$B$10)&lt;=-1,0,IF(((H769-$F$4:$F$515)/$B$10)&gt;=1,1,(15/16)*(((H769-$F$4:$F$515)/$B$10)-(2/3)*((H769-$F$4:$F$515)/$B$10)^3+(1/5)*((H769-$F$4:$F$515)/$B$10)^5+8/15))))/COUNT($F$4:$F$515)</f>
        <v>0.60358167652004746</v>
      </c>
      <c r="H769" s="1">
        <f t="shared" si="35"/>
        <v>5.1714496878310411E-3</v>
      </c>
      <c r="K769" s="2">
        <v>0.01</v>
      </c>
      <c r="L769" s="3">
        <f t="shared" si="33"/>
        <v>-3.8928550312169082E-2</v>
      </c>
    </row>
    <row r="770" spans="4:12" ht="14.4" customHeight="1">
      <c r="D770" s="7">
        <v>43098</v>
      </c>
      <c r="E770" s="8">
        <v>6.5960000000000001</v>
      </c>
      <c r="F770" s="8">
        <f t="shared" si="34"/>
        <v>-5.8952630868182856E-3</v>
      </c>
      <c r="G770" s="8" cm="1">
        <f t="array" ref="G770">SUMPRODUCT(IF(((H770-$F$4:$F$515)/$B$10)&lt;=-1,0,IF(((H770-$F$4:$F$515)/$B$10)&gt;=1,1,(15/16)*(((H770-$F$4:$F$515)/$B$10)-(2/3)*((H770-$F$4:$F$515)/$B$10)^3+(1/5)*((H770-$F$4:$F$515)/$B$10)^5+8/15))))/COUNT($F$4:$F$515)</f>
        <v>0.60921822526740643</v>
      </c>
      <c r="H770" s="9">
        <f t="shared" si="35"/>
        <v>5.471449687831041E-3</v>
      </c>
      <c r="K770" s="7">
        <v>0.01</v>
      </c>
      <c r="L770" s="8">
        <f t="shared" si="33"/>
        <v>-3.8928550312169082E-2</v>
      </c>
    </row>
    <row r="771" spans="4:12" ht="14.4" customHeight="1">
      <c r="D771" s="2">
        <v>43102</v>
      </c>
      <c r="E771" s="3">
        <v>6.6760000000000002</v>
      </c>
      <c r="F771" s="3">
        <f t="shared" si="34"/>
        <v>1.2055601102236132E-2</v>
      </c>
      <c r="G771" s="3" cm="1">
        <f t="array" ref="G771">SUMPRODUCT(IF(((H771-$F$4:$F$515)/$B$10)&lt;=-1,0,IF(((H771-$F$4:$F$515)/$B$10)&gt;=1,1,(15/16)*(((H771-$F$4:$F$515)/$B$10)-(2/3)*((H771-$F$4:$F$515)/$B$10)^3+(1/5)*((H771-$F$4:$F$515)/$B$10)^5+8/15))))/COUNT($F$4:$F$515)</f>
        <v>0.61477610670993099</v>
      </c>
      <c r="H771" s="1">
        <f t="shared" si="35"/>
        <v>5.7714496878310409E-3</v>
      </c>
      <c r="K771" s="2">
        <v>0.01</v>
      </c>
      <c r="L771" s="3">
        <f t="shared" si="33"/>
        <v>-3.8928550312169082E-2</v>
      </c>
    </row>
    <row r="772" spans="4:12" ht="14.4" customHeight="1">
      <c r="D772" s="7">
        <v>43103</v>
      </c>
      <c r="E772" s="8">
        <v>6.6719999999999997</v>
      </c>
      <c r="F772" s="8">
        <f t="shared" si="34"/>
        <v>-5.9934074314309607E-4</v>
      </c>
      <c r="G772" s="8" cm="1">
        <f t="array" ref="G772">SUMPRODUCT(IF(((H772-$F$4:$F$515)/$B$10)&lt;=-1,0,IF(((H772-$F$4:$F$515)/$B$10)&gt;=1,1,(15/16)*(((H772-$F$4:$F$515)/$B$10)-(2/3)*((H772-$F$4:$F$515)/$B$10)^3+(1/5)*((H772-$F$4:$F$515)/$B$10)^5+8/15))))/COUNT($F$4:$F$515)</f>
        <v>0.62024846987554316</v>
      </c>
      <c r="H772" s="9">
        <f t="shared" si="35"/>
        <v>6.0714496878310409E-3</v>
      </c>
      <c r="K772" s="7">
        <v>0.01</v>
      </c>
      <c r="L772" s="8">
        <f t="shared" ref="L772:L835" si="36">$B$7</f>
        <v>-3.8928550312169082E-2</v>
      </c>
    </row>
    <row r="773" spans="4:12" ht="14.4" customHeight="1">
      <c r="D773" s="2">
        <v>43104</v>
      </c>
      <c r="E773" s="3">
        <v>6.9080000000000004</v>
      </c>
      <c r="F773" s="3">
        <f t="shared" ref="F773:F836" si="37">LN(E773/E772)</f>
        <v>3.4760495227986535E-2</v>
      </c>
      <c r="G773" s="3" cm="1">
        <f t="array" ref="G773">SUMPRODUCT(IF(((H773-$F$4:$F$515)/$B$10)&lt;=-1,0,IF(((H773-$F$4:$F$515)/$B$10)&gt;=1,1,(15/16)*(((H773-$F$4:$F$515)/$B$10)-(2/3)*((H773-$F$4:$F$515)/$B$10)^3+(1/5)*((H773-$F$4:$F$515)/$B$10)^5+8/15))))/COUNT($F$4:$F$515)</f>
        <v>0.62562906340507829</v>
      </c>
      <c r="H773" s="1">
        <f t="shared" ref="H773:H836" si="38">H772+0.0003</f>
        <v>6.3714496878310408E-3</v>
      </c>
      <c r="K773" s="2">
        <v>0.01</v>
      </c>
      <c r="L773" s="3">
        <f t="shared" si="36"/>
        <v>-3.8928550312169082E-2</v>
      </c>
    </row>
    <row r="774" spans="4:12" ht="14.4" customHeight="1">
      <c r="D774" s="7">
        <v>43105</v>
      </c>
      <c r="E774" s="8">
        <v>6.8879999999999999</v>
      </c>
      <c r="F774" s="8">
        <f t="shared" si="37"/>
        <v>-2.8993931590026124E-3</v>
      </c>
      <c r="G774" s="8" cm="1">
        <f t="array" ref="G774">SUMPRODUCT(IF(((H774-$F$4:$F$515)/$B$10)&lt;=-1,0,IF(((H774-$F$4:$F$515)/$B$10)&gt;=1,1,(15/16)*(((H774-$F$4:$F$515)/$B$10)-(2/3)*((H774-$F$4:$F$515)/$B$10)^3+(1/5)*((H774-$F$4:$F$515)/$B$10)^5+8/15))))/COUNT($F$4:$F$515)</f>
        <v>0.63091476902743582</v>
      </c>
      <c r="H774" s="9">
        <f t="shared" si="38"/>
        <v>6.6714496878310407E-3</v>
      </c>
      <c r="K774" s="7">
        <v>0.01</v>
      </c>
      <c r="L774" s="8">
        <f t="shared" si="36"/>
        <v>-3.8928550312169082E-2</v>
      </c>
    </row>
    <row r="775" spans="4:12" ht="14.4" customHeight="1">
      <c r="D775" s="2">
        <v>43108</v>
      </c>
      <c r="E775" s="3">
        <v>6.9</v>
      </c>
      <c r="F775" s="3">
        <f t="shared" si="37"/>
        <v>1.7406444777841182E-3</v>
      </c>
      <c r="G775" s="3" cm="1">
        <f t="array" ref="G775">SUMPRODUCT(IF(((H775-$F$4:$F$515)/$B$10)&lt;=-1,0,IF(((H775-$F$4:$F$515)/$B$10)&gt;=1,1,(15/16)*(((H775-$F$4:$F$515)/$B$10)-(2/3)*((H775-$F$4:$F$515)/$B$10)^3+(1/5)*((H775-$F$4:$F$515)/$B$10)^5+8/15))))/COUNT($F$4:$F$515)</f>
        <v>0.63610559362478836</v>
      </c>
      <c r="H775" s="1">
        <f t="shared" si="38"/>
        <v>6.9714496878310406E-3</v>
      </c>
      <c r="K775" s="2">
        <v>0.01</v>
      </c>
      <c r="L775" s="3">
        <f t="shared" si="36"/>
        <v>-3.8928550312169082E-2</v>
      </c>
    </row>
    <row r="776" spans="4:12" ht="14.4" customHeight="1">
      <c r="D776" s="7">
        <v>43109</v>
      </c>
      <c r="E776" s="8">
        <v>6.9939999999999998</v>
      </c>
      <c r="F776" s="8">
        <f t="shared" si="37"/>
        <v>1.3531227037970425E-2</v>
      </c>
      <c r="G776" s="8" cm="1">
        <f t="array" ref="G776">SUMPRODUCT(IF(((H776-$F$4:$F$515)/$B$10)&lt;=-1,0,IF(((H776-$F$4:$F$515)/$B$10)&gt;=1,1,(15/16)*(((H776-$F$4:$F$515)/$B$10)-(2/3)*((H776-$F$4:$F$515)/$B$10)^3+(1/5)*((H776-$F$4:$F$515)/$B$10)^5+8/15))))/COUNT($F$4:$F$515)</f>
        <v>0.64120276733444459</v>
      </c>
      <c r="H776" s="9">
        <f t="shared" si="38"/>
        <v>7.2714496878310405E-3</v>
      </c>
      <c r="K776" s="7">
        <v>0.01</v>
      </c>
      <c r="L776" s="8">
        <f t="shared" si="36"/>
        <v>-3.8928550312169082E-2</v>
      </c>
    </row>
    <row r="777" spans="4:12" ht="14.4" customHeight="1">
      <c r="D777" s="2">
        <v>43110</v>
      </c>
      <c r="E777" s="3">
        <v>7.04</v>
      </c>
      <c r="F777" s="3">
        <f t="shared" si="37"/>
        <v>6.5555315287669797E-3</v>
      </c>
      <c r="G777" s="3" cm="1">
        <f t="array" ref="G777">SUMPRODUCT(IF(((H777-$F$4:$F$515)/$B$10)&lt;=-1,0,IF(((H777-$F$4:$F$515)/$B$10)&gt;=1,1,(15/16)*(((H777-$F$4:$F$515)/$B$10)-(2/3)*((H777-$F$4:$F$515)/$B$10)^3+(1/5)*((H777-$F$4:$F$515)/$B$10)^5+8/15))))/COUNT($F$4:$F$515)</f>
        <v>0.64620940312385389</v>
      </c>
      <c r="H777" s="1">
        <f t="shared" si="38"/>
        <v>7.5714496878310404E-3</v>
      </c>
      <c r="K777" s="2">
        <v>0.01</v>
      </c>
      <c r="L777" s="3">
        <f t="shared" si="36"/>
        <v>-3.8928550312169082E-2</v>
      </c>
    </row>
    <row r="778" spans="4:12" ht="14.4" customHeight="1">
      <c r="D778" s="7">
        <v>43111</v>
      </c>
      <c r="E778" s="8">
        <v>7.11</v>
      </c>
      <c r="F778" s="8">
        <f t="shared" si="37"/>
        <v>9.8940736451985367E-3</v>
      </c>
      <c r="G778" s="8" cm="1">
        <f t="array" ref="G778">SUMPRODUCT(IF(((H778-$F$4:$F$515)/$B$10)&lt;=-1,0,IF(((H778-$F$4:$F$515)/$B$10)&gt;=1,1,(15/16)*(((H778-$F$4:$F$515)/$B$10)-(2/3)*((H778-$F$4:$F$515)/$B$10)^3+(1/5)*((H778-$F$4:$F$515)/$B$10)^5+8/15))))/COUNT($F$4:$F$515)</f>
        <v>0.65112964198052559</v>
      </c>
      <c r="H778" s="9">
        <f t="shared" si="38"/>
        <v>7.8714496878310412E-3</v>
      </c>
      <c r="K778" s="7">
        <v>0.01</v>
      </c>
      <c r="L778" s="8">
        <f t="shared" si="36"/>
        <v>-3.8928550312169082E-2</v>
      </c>
    </row>
    <row r="779" spans="4:12" ht="14.4" customHeight="1">
      <c r="D779" s="2">
        <v>43112</v>
      </c>
      <c r="E779" s="3">
        <v>7.1139999999999999</v>
      </c>
      <c r="F779" s="3">
        <f t="shared" si="37"/>
        <v>5.6242971111392559E-4</v>
      </c>
      <c r="G779" s="3" cm="1">
        <f t="array" ref="G779">SUMPRODUCT(IF(((H779-$F$4:$F$515)/$B$10)&lt;=-1,0,IF(((H779-$F$4:$F$515)/$B$10)&gt;=1,1,(15/16)*(((H779-$F$4:$F$515)/$B$10)-(2/3)*((H779-$F$4:$F$515)/$B$10)^3+(1/5)*((H779-$F$4:$F$515)/$B$10)^5+8/15))))/COUNT($F$4:$F$515)</f>
        <v>0.65596883963943731</v>
      </c>
      <c r="H779" s="1">
        <f t="shared" si="38"/>
        <v>8.1714496878310412E-3</v>
      </c>
      <c r="K779" s="2">
        <v>0.01</v>
      </c>
      <c r="L779" s="3">
        <f t="shared" si="36"/>
        <v>-3.8928550312169082E-2</v>
      </c>
    </row>
    <row r="780" spans="4:12" ht="14.4" customHeight="1">
      <c r="D780" s="7">
        <v>43115</v>
      </c>
      <c r="E780" s="8">
        <v>7.1219999999999999</v>
      </c>
      <c r="F780" s="8">
        <f t="shared" si="37"/>
        <v>1.1239113293226085E-3</v>
      </c>
      <c r="G780" s="8" cm="1">
        <f t="array" ref="G780">SUMPRODUCT(IF(((H780-$F$4:$F$515)/$B$10)&lt;=-1,0,IF(((H780-$F$4:$F$515)/$B$10)&gt;=1,1,(15/16)*(((H780-$F$4:$F$515)/$B$10)-(2/3)*((H780-$F$4:$F$515)/$B$10)^3+(1/5)*((H780-$F$4:$F$515)/$B$10)^5+8/15))))/COUNT($F$4:$F$515)</f>
        <v>0.66073352475953473</v>
      </c>
      <c r="H780" s="9">
        <f t="shared" si="38"/>
        <v>8.4714496878310411E-3</v>
      </c>
      <c r="K780" s="7">
        <v>0.01</v>
      </c>
      <c r="L780" s="8">
        <f t="shared" si="36"/>
        <v>-3.8928550312169082E-2</v>
      </c>
    </row>
    <row r="781" spans="4:12" ht="14.4" customHeight="1">
      <c r="D781" s="2">
        <v>43116</v>
      </c>
      <c r="E781" s="3">
        <v>7.12</v>
      </c>
      <c r="F781" s="3">
        <f t="shared" si="37"/>
        <v>-2.8085943170155043E-4</v>
      </c>
      <c r="G781" s="3" cm="1">
        <f t="array" ref="G781">SUMPRODUCT(IF(((H781-$F$4:$F$515)/$B$10)&lt;=-1,0,IF(((H781-$F$4:$F$515)/$B$10)&gt;=1,1,(15/16)*(((H781-$F$4:$F$515)/$B$10)-(2/3)*((H781-$F$4:$F$515)/$B$10)^3+(1/5)*((H781-$F$4:$F$515)/$B$10)^5+8/15))))/COUNT($F$4:$F$515)</f>
        <v>0.66543153449524761</v>
      </c>
      <c r="H781" s="1">
        <f t="shared" si="38"/>
        <v>8.771449687831041E-3</v>
      </c>
      <c r="K781" s="2">
        <v>0.01</v>
      </c>
      <c r="L781" s="3">
        <f t="shared" si="36"/>
        <v>-3.8928550312169082E-2</v>
      </c>
    </row>
    <row r="782" spans="4:12" ht="14.4" customHeight="1">
      <c r="D782" s="7">
        <v>43117</v>
      </c>
      <c r="E782" s="8">
        <v>7.19</v>
      </c>
      <c r="F782" s="8">
        <f t="shared" si="37"/>
        <v>9.7834463090710286E-3</v>
      </c>
      <c r="G782" s="8" cm="1">
        <f t="array" ref="G782">SUMPRODUCT(IF(((H782-$F$4:$F$515)/$B$10)&lt;=-1,0,IF(((H782-$F$4:$F$515)/$B$10)&gt;=1,1,(15/16)*(((H782-$F$4:$F$515)/$B$10)-(2/3)*((H782-$F$4:$F$515)/$B$10)^3+(1/5)*((H782-$F$4:$F$515)/$B$10)^5+8/15))))/COUNT($F$4:$F$515)</f>
        <v>0.67006915839849124</v>
      </c>
      <c r="H782" s="9">
        <f t="shared" si="38"/>
        <v>9.0714496878310409E-3</v>
      </c>
      <c r="K782" s="7">
        <v>0.01</v>
      </c>
      <c r="L782" s="8">
        <f t="shared" si="36"/>
        <v>-3.8928550312169082E-2</v>
      </c>
    </row>
    <row r="783" spans="4:12" ht="14.4" customHeight="1">
      <c r="D783" s="2">
        <v>43118</v>
      </c>
      <c r="E783" s="3">
        <v>7.2880000000000003</v>
      </c>
      <c r="F783" s="3">
        <f t="shared" si="37"/>
        <v>1.3537988224701921E-2</v>
      </c>
      <c r="G783" s="3" cm="1">
        <f t="array" ref="G783">SUMPRODUCT(IF(((H783-$F$4:$F$515)/$B$10)&lt;=-1,0,IF(((H783-$F$4:$F$515)/$B$10)&gt;=1,1,(15/16)*(((H783-$F$4:$F$515)/$B$10)-(2/3)*((H783-$F$4:$F$515)/$B$10)^3+(1/5)*((H783-$F$4:$F$515)/$B$10)^5+8/15))))/COUNT($F$4:$F$515)</f>
        <v>0.67465063837993411</v>
      </c>
      <c r="H783" s="1">
        <f t="shared" si="38"/>
        <v>9.3714496878310408E-3</v>
      </c>
      <c r="K783" s="2">
        <v>0.01</v>
      </c>
      <c r="L783" s="3">
        <f t="shared" si="36"/>
        <v>-3.8928550312169082E-2</v>
      </c>
    </row>
    <row r="784" spans="4:12" ht="14.4" customHeight="1">
      <c r="D784" s="7">
        <v>43119</v>
      </c>
      <c r="E784" s="8">
        <v>7.234</v>
      </c>
      <c r="F784" s="8">
        <f t="shared" si="37"/>
        <v>-7.4370264277509833E-3</v>
      </c>
      <c r="G784" s="8" cm="1">
        <f t="array" ref="G784">SUMPRODUCT(IF(((H784-$F$4:$F$515)/$B$10)&lt;=-1,0,IF(((H784-$F$4:$F$515)/$B$10)&gt;=1,1,(15/16)*(((H784-$F$4:$F$515)/$B$10)-(2/3)*((H784-$F$4:$F$515)/$B$10)^3+(1/5)*((H784-$F$4:$F$515)/$B$10)^5+8/15))))/COUNT($F$4:$F$515)</f>
        <v>0.67918139611852157</v>
      </c>
      <c r="H784" s="9">
        <f t="shared" si="38"/>
        <v>9.6714496878310408E-3</v>
      </c>
      <c r="K784" s="7">
        <v>0.01</v>
      </c>
      <c r="L784" s="8">
        <f t="shared" si="36"/>
        <v>-3.8928550312169082E-2</v>
      </c>
    </row>
    <row r="785" spans="4:12" ht="14.4" customHeight="1">
      <c r="D785" s="2">
        <v>43122</v>
      </c>
      <c r="E785" s="3">
        <v>7.39</v>
      </c>
      <c r="F785" s="3">
        <f t="shared" si="37"/>
        <v>2.1335601430204094E-2</v>
      </c>
      <c r="G785" s="3" cm="1">
        <f t="array" ref="G785">SUMPRODUCT(IF(((H785-$F$4:$F$515)/$B$10)&lt;=-1,0,IF(((H785-$F$4:$F$515)/$B$10)&gt;=1,1,(15/16)*(((H785-$F$4:$F$515)/$B$10)-(2/3)*((H785-$F$4:$F$515)/$B$10)^3+(1/5)*((H785-$F$4:$F$515)/$B$10)^5+8/15))))/COUNT($F$4:$F$515)</f>
        <v>0.68366843515319475</v>
      </c>
      <c r="H785" s="1">
        <f t="shared" si="38"/>
        <v>9.9714496878310407E-3</v>
      </c>
      <c r="K785" s="2">
        <v>0.01</v>
      </c>
      <c r="L785" s="3">
        <f t="shared" si="36"/>
        <v>-3.8928550312169082E-2</v>
      </c>
    </row>
    <row r="786" spans="4:12" ht="14.4" customHeight="1">
      <c r="D786" s="7">
        <v>43123</v>
      </c>
      <c r="E786" s="8">
        <v>7.4260000000000002</v>
      </c>
      <c r="F786" s="8">
        <f t="shared" si="37"/>
        <v>4.8596207947779919E-3</v>
      </c>
      <c r="G786" s="8" cm="1">
        <f t="array" ref="G786">SUMPRODUCT(IF(((H786-$F$4:$F$515)/$B$10)&lt;=-1,0,IF(((H786-$F$4:$F$515)/$B$10)&gt;=1,1,(15/16)*(((H786-$F$4:$F$515)/$B$10)-(2/3)*((H786-$F$4:$F$515)/$B$10)^3+(1/5)*((H786-$F$4:$F$515)/$B$10)^5+8/15))))/COUNT($F$4:$F$515)</f>
        <v>0.68811789100431342</v>
      </c>
      <c r="H786" s="9">
        <f t="shared" si="38"/>
        <v>1.0271449687831041E-2</v>
      </c>
      <c r="K786" s="7">
        <v>0.01</v>
      </c>
      <c r="L786" s="8">
        <f t="shared" si="36"/>
        <v>-3.8928550312169082E-2</v>
      </c>
    </row>
    <row r="787" spans="4:12" ht="14.4" customHeight="1">
      <c r="D787" s="2">
        <v>43124</v>
      </c>
      <c r="E787" s="3">
        <v>7.35</v>
      </c>
      <c r="F787" s="3">
        <f t="shared" si="37"/>
        <v>-1.0287042530143148E-2</v>
      </c>
      <c r="G787" s="3" cm="1">
        <f t="array" ref="G787">SUMPRODUCT(IF(((H787-$F$4:$F$515)/$B$10)&lt;=-1,0,IF(((H787-$F$4:$F$515)/$B$10)&gt;=1,1,(15/16)*(((H787-$F$4:$F$515)/$B$10)-(2/3)*((H787-$F$4:$F$515)/$B$10)^3+(1/5)*((H787-$F$4:$F$515)/$B$10)^5+8/15))))/COUNT($F$4:$F$515)</f>
        <v>0.69253550783336337</v>
      </c>
      <c r="H787" s="1">
        <f t="shared" si="38"/>
        <v>1.0571449687831041E-2</v>
      </c>
      <c r="K787" s="2">
        <v>0.01</v>
      </c>
      <c r="L787" s="3">
        <f t="shared" si="36"/>
        <v>-3.8928550312169082E-2</v>
      </c>
    </row>
    <row r="788" spans="4:12" ht="14.4" customHeight="1">
      <c r="D788" s="7">
        <v>43125</v>
      </c>
      <c r="E788" s="8">
        <v>7.4039999999999999</v>
      </c>
      <c r="F788" s="8">
        <f t="shared" si="37"/>
        <v>7.3200814865058512E-3</v>
      </c>
      <c r="G788" s="8" cm="1">
        <f t="array" ref="G788">SUMPRODUCT(IF(((H788-$F$4:$F$515)/$B$10)&lt;=-1,0,IF(((H788-$F$4:$F$515)/$B$10)&gt;=1,1,(15/16)*(((H788-$F$4:$F$515)/$B$10)-(2/3)*((H788-$F$4:$F$515)/$B$10)^3+(1/5)*((H788-$F$4:$F$515)/$B$10)^5+8/15))))/COUNT($F$4:$F$515)</f>
        <v>0.6969270859741048</v>
      </c>
      <c r="H788" s="9">
        <f t="shared" si="38"/>
        <v>1.087144968783104E-2</v>
      </c>
      <c r="K788" s="7">
        <v>0.01</v>
      </c>
      <c r="L788" s="8">
        <f t="shared" si="36"/>
        <v>-3.8928550312169082E-2</v>
      </c>
    </row>
    <row r="789" spans="4:12" ht="14.4" customHeight="1">
      <c r="D789" s="2">
        <v>43126</v>
      </c>
      <c r="E789" s="3">
        <v>7.3860000000000001</v>
      </c>
      <c r="F789" s="3">
        <f t="shared" si="37"/>
        <v>-2.4340782808796408E-3</v>
      </c>
      <c r="G789" s="3" cm="1">
        <f t="array" ref="G789">SUMPRODUCT(IF(((H789-$F$4:$F$515)/$B$10)&lt;=-1,0,IF(((H789-$F$4:$F$515)/$B$10)&gt;=1,1,(15/16)*(((H789-$F$4:$F$515)/$B$10)-(2/3)*((H789-$F$4:$F$515)/$B$10)^3+(1/5)*((H789-$F$4:$F$515)/$B$10)^5+8/15))))/COUNT($F$4:$F$515)</f>
        <v>0.70129721957619995</v>
      </c>
      <c r="H789" s="1">
        <f t="shared" si="38"/>
        <v>1.117144968783104E-2</v>
      </c>
      <c r="K789" s="2">
        <v>0.01</v>
      </c>
      <c r="L789" s="3">
        <f t="shared" si="36"/>
        <v>-3.8928550312169082E-2</v>
      </c>
    </row>
    <row r="790" spans="4:12" ht="14.4" customHeight="1">
      <c r="D790" s="7">
        <v>43129</v>
      </c>
      <c r="E790" s="8">
        <v>7.3639999999999999</v>
      </c>
      <c r="F790" s="8">
        <f t="shared" si="37"/>
        <v>-2.9830530595400776E-3</v>
      </c>
      <c r="G790" s="8" cm="1">
        <f t="array" ref="G790">SUMPRODUCT(IF(((H790-$F$4:$F$515)/$B$10)&lt;=-1,0,IF(((H790-$F$4:$F$515)/$B$10)&gt;=1,1,(15/16)*(((H790-$F$4:$F$515)/$B$10)-(2/3)*((H790-$F$4:$F$515)/$B$10)^3+(1/5)*((H790-$F$4:$F$515)/$B$10)^5+8/15))))/COUNT($F$4:$F$515)</f>
        <v>0.70565103607539437</v>
      </c>
      <c r="H790" s="9">
        <f t="shared" si="38"/>
        <v>1.147144968783104E-2</v>
      </c>
      <c r="K790" s="7">
        <v>0.01</v>
      </c>
      <c r="L790" s="8">
        <f t="shared" si="36"/>
        <v>-3.8928550312169082E-2</v>
      </c>
    </row>
    <row r="791" spans="4:12" ht="14.4" customHeight="1">
      <c r="D791" s="2">
        <v>43130</v>
      </c>
      <c r="E791" s="3">
        <v>7.3079999999999998</v>
      </c>
      <c r="F791" s="3">
        <f t="shared" si="37"/>
        <v>-7.633624855071095E-3</v>
      </c>
      <c r="G791" s="3" cm="1">
        <f t="array" ref="G791">SUMPRODUCT(IF(((H791-$F$4:$F$515)/$B$10)&lt;=-1,0,IF(((H791-$F$4:$F$515)/$B$10)&gt;=1,1,(15/16)*(((H791-$F$4:$F$515)/$B$10)-(2/3)*((H791-$F$4:$F$515)/$B$10)^3+(1/5)*((H791-$F$4:$F$515)/$B$10)^5+8/15))))/COUNT($F$4:$F$515)</f>
        <v>0.70999453049180439</v>
      </c>
      <c r="H791" s="1">
        <f t="shared" si="38"/>
        <v>1.177144968783104E-2</v>
      </c>
      <c r="K791" s="2">
        <v>0.01</v>
      </c>
      <c r="L791" s="3">
        <f t="shared" si="36"/>
        <v>-3.8928550312169082E-2</v>
      </c>
    </row>
    <row r="792" spans="4:12" ht="14.4" customHeight="1">
      <c r="D792" s="7">
        <v>43131</v>
      </c>
      <c r="E792" s="8">
        <v>7.3339999999999996</v>
      </c>
      <c r="F792" s="8">
        <f t="shared" si="37"/>
        <v>3.5514311333738908E-3</v>
      </c>
      <c r="G792" s="8" cm="1">
        <f t="array" ref="G792">SUMPRODUCT(IF(((H792-$F$4:$F$515)/$B$10)&lt;=-1,0,IF(((H792-$F$4:$F$515)/$B$10)&gt;=1,1,(15/16)*(((H792-$F$4:$F$515)/$B$10)-(2/3)*((H792-$F$4:$F$515)/$B$10)^3+(1/5)*((H792-$F$4:$F$515)/$B$10)^5+8/15))))/COUNT($F$4:$F$515)</f>
        <v>0.71433235153262598</v>
      </c>
      <c r="H792" s="9">
        <f t="shared" si="38"/>
        <v>1.207144968783104E-2</v>
      </c>
      <c r="K792" s="7">
        <v>0.01</v>
      </c>
      <c r="L792" s="8">
        <f t="shared" si="36"/>
        <v>-3.8928550312169082E-2</v>
      </c>
    </row>
    <row r="793" spans="4:12" ht="14.4" customHeight="1">
      <c r="D793" s="2">
        <v>43132</v>
      </c>
      <c r="E793" s="3">
        <v>7.3780000000000001</v>
      </c>
      <c r="F793" s="3">
        <f t="shared" si="37"/>
        <v>5.9815295253496173E-3</v>
      </c>
      <c r="G793" s="3" cm="1">
        <f t="array" ref="G793">SUMPRODUCT(IF(((H793-$F$4:$F$515)/$B$10)&lt;=-1,0,IF(((H793-$F$4:$F$515)/$B$10)&gt;=1,1,(15/16)*(((H793-$F$4:$F$515)/$B$10)-(2/3)*((H793-$F$4:$F$515)/$B$10)^3+(1/5)*((H793-$F$4:$F$515)/$B$10)^5+8/15))))/COUNT($F$4:$F$515)</f>
        <v>0.71866800629392291</v>
      </c>
      <c r="H793" s="1">
        <f t="shared" si="38"/>
        <v>1.237144968783104E-2</v>
      </c>
      <c r="K793" s="2">
        <v>0.01</v>
      </c>
      <c r="L793" s="3">
        <f t="shared" si="36"/>
        <v>-3.8928550312169082E-2</v>
      </c>
    </row>
    <row r="794" spans="4:12" ht="14.4" customHeight="1">
      <c r="D794" s="7">
        <v>43133</v>
      </c>
      <c r="E794" s="8">
        <v>7.2880000000000003</v>
      </c>
      <c r="F794" s="8">
        <f t="shared" si="37"/>
        <v>-1.2273439216826651E-2</v>
      </c>
      <c r="G794" s="8" cm="1">
        <f t="array" ref="G794">SUMPRODUCT(IF(((H794-$F$4:$F$515)/$B$10)&lt;=-1,0,IF(((H794-$F$4:$F$515)/$B$10)&gt;=1,1,(15/16)*(((H794-$F$4:$F$515)/$B$10)-(2/3)*((H794-$F$4:$F$515)/$B$10)^3+(1/5)*((H794-$F$4:$F$515)/$B$10)^5+8/15))))/COUNT($F$4:$F$515)</f>
        <v>0.72300406255407001</v>
      </c>
      <c r="H794" s="9">
        <f t="shared" si="38"/>
        <v>1.267144968783104E-2</v>
      </c>
      <c r="K794" s="7">
        <v>0.01</v>
      </c>
      <c r="L794" s="8">
        <f t="shared" si="36"/>
        <v>-3.8928550312169082E-2</v>
      </c>
    </row>
    <row r="795" spans="4:12" ht="14.4" customHeight="1">
      <c r="D795" s="2">
        <v>43136</v>
      </c>
      <c r="E795" s="3">
        <v>7.1440000000000001</v>
      </c>
      <c r="F795" s="3">
        <f t="shared" si="37"/>
        <v>-1.9956316383459287E-2</v>
      </c>
      <c r="G795" s="3" cm="1">
        <f t="array" ref="G795">SUMPRODUCT(IF(((H795-$F$4:$F$515)/$B$10)&lt;=-1,0,IF(((H795-$F$4:$F$515)/$B$10)&gt;=1,1,(15/16)*(((H795-$F$4:$F$515)/$B$10)-(2/3)*((H795-$F$4:$F$515)/$B$10)^3+(1/5)*((H795-$F$4:$F$515)/$B$10)^5+8/15))))/COUNT($F$4:$F$515)</f>
        <v>0.72734322220771663</v>
      </c>
      <c r="H795" s="1">
        <f t="shared" si="38"/>
        <v>1.297144968783104E-2</v>
      </c>
      <c r="K795" s="2">
        <v>0.01</v>
      </c>
      <c r="L795" s="3">
        <f t="shared" si="36"/>
        <v>-3.8928550312169082E-2</v>
      </c>
    </row>
    <row r="796" spans="4:12" ht="14.4" customHeight="1">
      <c r="D796" s="7">
        <v>43137</v>
      </c>
      <c r="E796" s="8">
        <v>6.8239999999999998</v>
      </c>
      <c r="F796" s="8">
        <f t="shared" si="37"/>
        <v>-4.5827033384819978E-2</v>
      </c>
      <c r="G796" s="8" cm="1">
        <f t="array" ref="G796">SUMPRODUCT(IF(((H796-$F$4:$F$515)/$B$10)&lt;=-1,0,IF(((H796-$F$4:$F$515)/$B$10)&gt;=1,1,(15/16)*(((H796-$F$4:$F$515)/$B$10)-(2/3)*((H796-$F$4:$F$515)/$B$10)^3+(1/5)*((H796-$F$4:$F$515)/$B$10)^5+8/15))))/COUNT($F$4:$F$515)</f>
        <v>0.73168863489582281</v>
      </c>
      <c r="H796" s="9">
        <f t="shared" si="38"/>
        <v>1.327144968783104E-2</v>
      </c>
      <c r="K796" s="7">
        <v>0.01</v>
      </c>
      <c r="L796" s="8">
        <f t="shared" si="36"/>
        <v>-3.8928550312169082E-2</v>
      </c>
    </row>
    <row r="797" spans="4:12" ht="14.4" customHeight="1">
      <c r="D797" s="2">
        <v>43138</v>
      </c>
      <c r="E797" s="3">
        <v>7.1180000000000003</v>
      </c>
      <c r="F797" s="3">
        <f t="shared" si="37"/>
        <v>4.2180976898622956E-2</v>
      </c>
      <c r="G797" s="3" cm="1">
        <f t="array" ref="G797">SUMPRODUCT(IF(((H797-$F$4:$F$515)/$B$10)&lt;=-1,0,IF(((H797-$F$4:$F$515)/$B$10)&gt;=1,1,(15/16)*(((H797-$F$4:$F$515)/$B$10)-(2/3)*((H797-$F$4:$F$515)/$B$10)^3+(1/5)*((H797-$F$4:$F$515)/$B$10)^5+8/15))))/COUNT($F$4:$F$515)</f>
        <v>0.73604136629743755</v>
      </c>
      <c r="H797" s="1">
        <f t="shared" si="38"/>
        <v>1.357144968783104E-2</v>
      </c>
      <c r="K797" s="2">
        <v>0.01</v>
      </c>
      <c r="L797" s="3">
        <f t="shared" si="36"/>
        <v>-3.8928550312169082E-2</v>
      </c>
    </row>
    <row r="798" spans="4:12" ht="14.4" customHeight="1">
      <c r="D798" s="7">
        <v>43139</v>
      </c>
      <c r="E798" s="8">
        <v>7.0640000000000001</v>
      </c>
      <c r="F798" s="8">
        <f t="shared" si="37"/>
        <v>-7.6153237863421106E-3</v>
      </c>
      <c r="G798" s="8" cm="1">
        <f t="array" ref="G798">SUMPRODUCT(IF(((H798-$F$4:$F$515)/$B$10)&lt;=-1,0,IF(((H798-$F$4:$F$515)/$B$10)&gt;=1,1,(15/16)*(((H798-$F$4:$F$515)/$B$10)-(2/3)*((H798-$F$4:$F$515)/$B$10)^3+(1/5)*((H798-$F$4:$F$515)/$B$10)^5+8/15))))/COUNT($F$4:$F$515)</f>
        <v>0.74040039017820281</v>
      </c>
      <c r="H798" s="9">
        <f t="shared" si="38"/>
        <v>1.387144968783104E-2</v>
      </c>
      <c r="K798" s="7">
        <v>0.01</v>
      </c>
      <c r="L798" s="8">
        <f t="shared" si="36"/>
        <v>-3.8928550312169082E-2</v>
      </c>
    </row>
    <row r="799" spans="4:12" ht="14.4" customHeight="1">
      <c r="D799" s="2">
        <v>43140</v>
      </c>
      <c r="E799" s="3">
        <v>6.9619999999999997</v>
      </c>
      <c r="F799" s="3">
        <f t="shared" si="37"/>
        <v>-1.4544673912411739E-2</v>
      </c>
      <c r="G799" s="3" cm="1">
        <f t="array" ref="G799">SUMPRODUCT(IF(((H799-$F$4:$F$515)/$B$10)&lt;=-1,0,IF(((H799-$F$4:$F$515)/$B$10)&gt;=1,1,(15/16)*(((H799-$F$4:$F$515)/$B$10)-(2/3)*((H799-$F$4:$F$515)/$B$10)^3+(1/5)*((H799-$F$4:$F$515)/$B$10)^5+8/15))))/COUNT($F$4:$F$515)</f>
        <v>0.74476081065062782</v>
      </c>
      <c r="H799" s="1">
        <f t="shared" si="38"/>
        <v>1.417144968783104E-2</v>
      </c>
      <c r="K799" s="2">
        <v>0.01</v>
      </c>
      <c r="L799" s="3">
        <f t="shared" si="36"/>
        <v>-3.8928550312169082E-2</v>
      </c>
    </row>
    <row r="800" spans="4:12" ht="14.4" customHeight="1">
      <c r="D800" s="7">
        <v>43143</v>
      </c>
      <c r="E800" s="8">
        <v>7.0940000000000003</v>
      </c>
      <c r="F800" s="8">
        <f t="shared" si="37"/>
        <v>1.8782566962182907E-2</v>
      </c>
      <c r="G800" s="8" cm="1">
        <f t="array" ref="G800">SUMPRODUCT(IF(((H800-$F$4:$F$515)/$B$10)&lt;=-1,0,IF(((H800-$F$4:$F$515)/$B$10)&gt;=1,1,(15/16)*(((H800-$F$4:$F$515)/$B$10)-(2/3)*((H800-$F$4:$F$515)/$B$10)^3+(1/5)*((H800-$F$4:$F$515)/$B$10)^5+8/15))))/COUNT($F$4:$F$515)</f>
        <v>0.749115216388622</v>
      </c>
      <c r="H800" s="9">
        <f t="shared" si="38"/>
        <v>1.4471449687831039E-2</v>
      </c>
      <c r="K800" s="7">
        <v>0.01</v>
      </c>
      <c r="L800" s="8">
        <f t="shared" si="36"/>
        <v>-3.8928550312169082E-2</v>
      </c>
    </row>
    <row r="801" spans="4:12" ht="14.4" customHeight="1">
      <c r="D801" s="2">
        <v>43144</v>
      </c>
      <c r="E801" s="3">
        <v>7.0640000000000001</v>
      </c>
      <c r="F801" s="3">
        <f t="shared" si="37"/>
        <v>-4.2378930497712275E-3</v>
      </c>
      <c r="G801" s="3" cm="1">
        <f t="array" ref="G801">SUMPRODUCT(IF(((H801-$F$4:$F$515)/$B$10)&lt;=-1,0,IF(((H801-$F$4:$F$515)/$B$10)&gt;=1,1,(15/16)*(((H801-$F$4:$F$515)/$B$10)-(2/3)*((H801-$F$4:$F$515)/$B$10)^3+(1/5)*((H801-$F$4:$F$515)/$B$10)^5+8/15))))/COUNT($F$4:$F$515)</f>
        <v>0.75345483608931063</v>
      </c>
      <c r="H801" s="1">
        <f t="shared" si="38"/>
        <v>1.4771449687831039E-2</v>
      </c>
      <c r="K801" s="2">
        <v>0.01</v>
      </c>
      <c r="L801" s="3">
        <f t="shared" si="36"/>
        <v>-3.8928550312169082E-2</v>
      </c>
    </row>
    <row r="802" spans="4:12" ht="14.4" customHeight="1">
      <c r="D802" s="7">
        <v>43145</v>
      </c>
      <c r="E802" s="8">
        <v>7.0679999999999996</v>
      </c>
      <c r="F802" s="8">
        <f t="shared" si="37"/>
        <v>5.6609115579091805E-4</v>
      </c>
      <c r="G802" s="8" cm="1">
        <f t="array" ref="G802">SUMPRODUCT(IF(((H802-$F$4:$F$515)/$B$10)&lt;=-1,0,IF(((H802-$F$4:$F$515)/$B$10)&gt;=1,1,(15/16)*(((H802-$F$4:$F$515)/$B$10)-(2/3)*((H802-$F$4:$F$515)/$B$10)^3+(1/5)*((H802-$F$4:$F$515)/$B$10)^5+8/15))))/COUNT($F$4:$F$515)</f>
        <v>0.75776964942478409</v>
      </c>
      <c r="H802" s="9">
        <f t="shared" si="38"/>
        <v>1.5071449687831039E-2</v>
      </c>
      <c r="K802" s="7">
        <v>0.01</v>
      </c>
      <c r="L802" s="8">
        <f t="shared" si="36"/>
        <v>-3.8928550312169082E-2</v>
      </c>
    </row>
    <row r="803" spans="4:12" ht="14.4" customHeight="1">
      <c r="D803" s="2">
        <v>43146</v>
      </c>
      <c r="E803" s="3">
        <v>7.0259999999999998</v>
      </c>
      <c r="F803" s="3">
        <f t="shared" si="37"/>
        <v>-5.9600006138146745E-3</v>
      </c>
      <c r="G803" s="3" cm="1">
        <f t="array" ref="G803">SUMPRODUCT(IF(((H803-$F$4:$F$515)/$B$10)&lt;=-1,0,IF(((H803-$F$4:$F$515)/$B$10)&gt;=1,1,(15/16)*(((H803-$F$4:$F$515)/$B$10)-(2/3)*((H803-$F$4:$F$515)/$B$10)^3+(1/5)*((H803-$F$4:$F$515)/$B$10)^5+8/15))))/COUNT($F$4:$F$515)</f>
        <v>0.76204975118652263</v>
      </c>
      <c r="H803" s="1">
        <f t="shared" si="38"/>
        <v>1.5371449687831039E-2</v>
      </c>
      <c r="K803" s="2">
        <v>0.01</v>
      </c>
      <c r="L803" s="3">
        <f t="shared" si="36"/>
        <v>-3.8928550312169082E-2</v>
      </c>
    </row>
    <row r="804" spans="4:12" ht="14.4" customHeight="1">
      <c r="D804" s="7">
        <v>43147</v>
      </c>
      <c r="E804" s="8">
        <v>7.0739999999999998</v>
      </c>
      <c r="F804" s="8">
        <f t="shared" si="37"/>
        <v>6.8085369396535256E-3</v>
      </c>
      <c r="G804" s="8" cm="1">
        <f t="array" ref="G804">SUMPRODUCT(IF(((H804-$F$4:$F$515)/$B$10)&lt;=-1,0,IF(((H804-$F$4:$F$515)/$B$10)&gt;=1,1,(15/16)*(((H804-$F$4:$F$515)/$B$10)-(2/3)*((H804-$F$4:$F$515)/$B$10)^3+(1/5)*((H804-$F$4:$F$515)/$B$10)^5+8/15))))/COUNT($F$4:$F$515)</f>
        <v>0.76628498539454248</v>
      </c>
      <c r="H804" s="9">
        <f t="shared" si="38"/>
        <v>1.5671449687831039E-2</v>
      </c>
      <c r="K804" s="7">
        <v>0.01</v>
      </c>
      <c r="L804" s="8">
        <f t="shared" si="36"/>
        <v>-3.8928550312169082E-2</v>
      </c>
    </row>
    <row r="805" spans="4:12" ht="14.4" customHeight="1">
      <c r="D805" s="2">
        <v>43150</v>
      </c>
      <c r="E805" s="3">
        <v>7.17</v>
      </c>
      <c r="F805" s="3">
        <f t="shared" si="37"/>
        <v>1.3479563828240235E-2</v>
      </c>
      <c r="G805" s="3" cm="1">
        <f t="array" ref="G805">SUMPRODUCT(IF(((H805-$F$4:$F$515)/$B$10)&lt;=-1,0,IF(((H805-$F$4:$F$515)/$B$10)&gt;=1,1,(15/16)*(((H805-$F$4:$F$515)/$B$10)-(2/3)*((H805-$F$4:$F$515)/$B$10)^3+(1/5)*((H805-$F$4:$F$515)/$B$10)^5+8/15))))/COUNT($F$4:$F$515)</f>
        <v>0.77046564872413359</v>
      </c>
      <c r="H805" s="1">
        <f t="shared" si="38"/>
        <v>1.5971449687831041E-2</v>
      </c>
      <c r="K805" s="2">
        <v>0.01</v>
      </c>
      <c r="L805" s="3">
        <f t="shared" si="36"/>
        <v>-3.8928550312169082E-2</v>
      </c>
    </row>
    <row r="806" spans="4:12" ht="14.4" customHeight="1">
      <c r="D806" s="7">
        <v>43151</v>
      </c>
      <c r="E806" s="8">
        <v>7.0620000000000003</v>
      </c>
      <c r="F806" s="8">
        <f t="shared" si="37"/>
        <v>-1.5177357105334228E-2</v>
      </c>
      <c r="G806" s="8" cm="1">
        <f t="array" ref="G806">SUMPRODUCT(IF(((H806-$F$4:$F$515)/$B$10)&lt;=-1,0,IF(((H806-$F$4:$F$515)/$B$10)&gt;=1,1,(15/16)*(((H806-$F$4:$F$515)/$B$10)-(2/3)*((H806-$F$4:$F$515)/$B$10)^3+(1/5)*((H806-$F$4:$F$515)/$B$10)^5+8/15))))/COUNT($F$4:$F$515)</f>
        <v>0.77458333386169909</v>
      </c>
      <c r="H806" s="9">
        <f t="shared" si="38"/>
        <v>1.6271449687831042E-2</v>
      </c>
      <c r="K806" s="7">
        <v>0.01</v>
      </c>
      <c r="L806" s="8">
        <f t="shared" si="36"/>
        <v>-3.8928550312169082E-2</v>
      </c>
    </row>
    <row r="807" spans="4:12" ht="14.4" customHeight="1">
      <c r="D807" s="2">
        <v>43152</v>
      </c>
      <c r="E807" s="3">
        <v>7.0739999999999998</v>
      </c>
      <c r="F807" s="3">
        <f t="shared" si="37"/>
        <v>1.6977932770940486E-3</v>
      </c>
      <c r="G807" s="3" cm="1">
        <f t="array" ref="G807">SUMPRODUCT(IF(((H807-$F$4:$F$515)/$B$10)&lt;=-1,0,IF(((H807-$F$4:$F$515)/$B$10)&gt;=1,1,(15/16)*(((H807-$F$4:$F$515)/$B$10)-(2/3)*((H807-$F$4:$F$515)/$B$10)^3+(1/5)*((H807-$F$4:$F$515)/$B$10)^5+8/15))))/COUNT($F$4:$F$515)</f>
        <v>0.77862963624014792</v>
      </c>
      <c r="H807" s="1">
        <f t="shared" si="38"/>
        <v>1.6571449687831044E-2</v>
      </c>
      <c r="K807" s="2">
        <v>0.01</v>
      </c>
      <c r="L807" s="3">
        <f t="shared" si="36"/>
        <v>-3.8928550312169082E-2</v>
      </c>
    </row>
    <row r="808" spans="4:12" ht="14.4" customHeight="1">
      <c r="D808" s="7">
        <v>43153</v>
      </c>
      <c r="E808" s="8">
        <v>7.1059999999999999</v>
      </c>
      <c r="F808" s="8">
        <f t="shared" si="37"/>
        <v>4.5134068155465064E-3</v>
      </c>
      <c r="G808" s="8" cm="1">
        <f t="array" ref="G808">SUMPRODUCT(IF(((H808-$F$4:$F$515)/$B$10)&lt;=-1,0,IF(((H808-$F$4:$F$515)/$B$10)&gt;=1,1,(15/16)*(((H808-$F$4:$F$515)/$B$10)-(2/3)*((H808-$F$4:$F$515)/$B$10)^3+(1/5)*((H808-$F$4:$F$515)/$B$10)^5+8/15))))/COUNT($F$4:$F$515)</f>
        <v>0.78259698790454379</v>
      </c>
      <c r="H808" s="9">
        <f t="shared" si="38"/>
        <v>1.6871449687831046E-2</v>
      </c>
      <c r="K808" s="7">
        <v>0.01</v>
      </c>
      <c r="L808" s="8">
        <f t="shared" si="36"/>
        <v>-3.8928550312169082E-2</v>
      </c>
    </row>
    <row r="809" spans="4:12" ht="14.4" customHeight="1">
      <c r="D809" s="2">
        <v>43154</v>
      </c>
      <c r="E809" s="3">
        <v>7.056</v>
      </c>
      <c r="F809" s="3">
        <f t="shared" si="37"/>
        <v>-7.0611788943451739E-3</v>
      </c>
      <c r="G809" s="3" cm="1">
        <f t="array" ref="G809">SUMPRODUCT(IF(((H809-$F$4:$F$515)/$B$10)&lt;=-1,0,IF(((H809-$F$4:$F$515)/$B$10)&gt;=1,1,(15/16)*(((H809-$F$4:$F$515)/$B$10)-(2/3)*((H809-$F$4:$F$515)/$B$10)^3+(1/5)*((H809-$F$4:$F$515)/$B$10)^5+8/15))))/COUNT($F$4:$F$515)</f>
        <v>0.7864803598999035</v>
      </c>
      <c r="H809" s="1">
        <f t="shared" si="38"/>
        <v>1.7171449687831047E-2</v>
      </c>
      <c r="K809" s="2">
        <v>0.01</v>
      </c>
      <c r="L809" s="3">
        <f t="shared" si="36"/>
        <v>-3.8928550312169082E-2</v>
      </c>
    </row>
    <row r="810" spans="4:12" ht="14.4" customHeight="1">
      <c r="D810" s="7">
        <v>43157</v>
      </c>
      <c r="E810" s="8">
        <v>6.9880000000000004</v>
      </c>
      <c r="F810" s="8">
        <f t="shared" si="37"/>
        <v>-9.6839264326799637E-3</v>
      </c>
      <c r="G810" s="8" cm="1">
        <f t="array" ref="G810">SUMPRODUCT(IF(((H810-$F$4:$F$515)/$B$10)&lt;=-1,0,IF(((H810-$F$4:$F$515)/$B$10)&gt;=1,1,(15/16)*(((H810-$F$4:$F$515)/$B$10)-(2/3)*((H810-$F$4:$F$515)/$B$10)^3+(1/5)*((H810-$F$4:$F$515)/$B$10)^5+8/15))))/COUNT($F$4:$F$515)</f>
        <v>0.790275691603474</v>
      </c>
      <c r="H810" s="9">
        <f t="shared" si="38"/>
        <v>1.7471449687831049E-2</v>
      </c>
      <c r="K810" s="7">
        <v>0.01</v>
      </c>
      <c r="L810" s="8">
        <f t="shared" si="36"/>
        <v>-3.8928550312169082E-2</v>
      </c>
    </row>
    <row r="811" spans="4:12" ht="14.4" customHeight="1">
      <c r="D811" s="2">
        <v>43158</v>
      </c>
      <c r="E811" s="3">
        <v>7.0759999999999996</v>
      </c>
      <c r="F811" s="3">
        <f t="shared" si="37"/>
        <v>1.2514384025728516E-2</v>
      </c>
      <c r="G811" s="3" cm="1">
        <f t="array" ref="G811">SUMPRODUCT(IF(((H811-$F$4:$F$515)/$B$10)&lt;=-1,0,IF(((H811-$F$4:$F$515)/$B$10)&gt;=1,1,(15/16)*(((H811-$F$4:$F$515)/$B$10)-(2/3)*((H811-$F$4:$F$515)/$B$10)^3+(1/5)*((H811-$F$4:$F$515)/$B$10)^5+8/15))))/COUNT($F$4:$F$515)</f>
        <v>0.79398153695440488</v>
      </c>
      <c r="H811" s="1">
        <f t="shared" si="38"/>
        <v>1.7771449687831051E-2</v>
      </c>
      <c r="K811" s="2">
        <v>0.01</v>
      </c>
      <c r="L811" s="3">
        <f t="shared" si="36"/>
        <v>-3.8928550312169082E-2</v>
      </c>
    </row>
    <row r="812" spans="4:12" ht="14.4" customHeight="1">
      <c r="D812" s="7">
        <v>43159</v>
      </c>
      <c r="E812" s="8">
        <v>7.1</v>
      </c>
      <c r="F812" s="8">
        <f t="shared" si="37"/>
        <v>3.3860077497309595E-3</v>
      </c>
      <c r="G812" s="8" cm="1">
        <f t="array" ref="G812">SUMPRODUCT(IF(((H812-$F$4:$F$515)/$B$10)&lt;=-1,0,IF(((H812-$F$4:$F$515)/$B$10)&gt;=1,1,(15/16)*(((H812-$F$4:$F$515)/$B$10)-(2/3)*((H812-$F$4:$F$515)/$B$10)^3+(1/5)*((H812-$F$4:$F$515)/$B$10)^5+8/15))))/COUNT($F$4:$F$515)</f>
        <v>0.7975986079277384</v>
      </c>
      <c r="H812" s="9">
        <f t="shared" si="38"/>
        <v>1.8071449687831052E-2</v>
      </c>
      <c r="K812" s="7">
        <v>0.01</v>
      </c>
      <c r="L812" s="8">
        <f t="shared" si="36"/>
        <v>-3.8928550312169082E-2</v>
      </c>
    </row>
    <row r="813" spans="4:12" ht="14.4" customHeight="1">
      <c r="D813" s="2">
        <v>43160</v>
      </c>
      <c r="E813" s="3">
        <v>7.008</v>
      </c>
      <c r="F813" s="3">
        <f t="shared" si="37"/>
        <v>-1.3042430413179337E-2</v>
      </c>
      <c r="G813" s="3" cm="1">
        <f t="array" ref="G813">SUMPRODUCT(IF(((H813-$F$4:$F$515)/$B$10)&lt;=-1,0,IF(((H813-$F$4:$F$515)/$B$10)&gt;=1,1,(15/16)*(((H813-$F$4:$F$515)/$B$10)-(2/3)*((H813-$F$4:$F$515)/$B$10)^3+(1/5)*((H813-$F$4:$F$515)/$B$10)^5+8/15))))/COUNT($F$4:$F$515)</f>
        <v>0.80112978580478056</v>
      </c>
      <c r="H813" s="1">
        <f t="shared" si="38"/>
        <v>1.8371449687831054E-2</v>
      </c>
      <c r="K813" s="2">
        <v>0.01</v>
      </c>
      <c r="L813" s="3">
        <f t="shared" si="36"/>
        <v>-3.8928550312169082E-2</v>
      </c>
    </row>
    <row r="814" spans="4:12" ht="14.4" customHeight="1">
      <c r="D814" s="7">
        <v>43161</v>
      </c>
      <c r="E814" s="8">
        <v>6.7220000000000004</v>
      </c>
      <c r="F814" s="8">
        <f t="shared" si="37"/>
        <v>-4.1666624331176384E-2</v>
      </c>
      <c r="G814" s="8" cm="1">
        <f t="array" ref="G814">SUMPRODUCT(IF(((H814-$F$4:$F$515)/$B$10)&lt;=-1,0,IF(((H814-$F$4:$F$515)/$B$10)&gt;=1,1,(15/16)*(((H814-$F$4:$F$515)/$B$10)-(2/3)*((H814-$F$4:$F$515)/$B$10)^3+(1/5)*((H814-$F$4:$F$515)/$B$10)^5+8/15))))/COUNT($F$4:$F$515)</f>
        <v>0.80457977428519134</v>
      </c>
      <c r="H814" s="9">
        <f t="shared" si="38"/>
        <v>1.8671449687831056E-2</v>
      </c>
      <c r="K814" s="7">
        <v>0.01</v>
      </c>
      <c r="L814" s="8">
        <f t="shared" si="36"/>
        <v>-3.8928550312169082E-2</v>
      </c>
    </row>
    <row r="815" spans="4:12" ht="14.4" customHeight="1">
      <c r="D815" s="2">
        <v>43164</v>
      </c>
      <c r="E815" s="3">
        <v>6.74</v>
      </c>
      <c r="F815" s="3">
        <f t="shared" si="37"/>
        <v>2.67419562130171E-3</v>
      </c>
      <c r="G815" s="3" cm="1">
        <f t="array" ref="G815">SUMPRODUCT(IF(((H815-$F$4:$F$515)/$B$10)&lt;=-1,0,IF(((H815-$F$4:$F$515)/$B$10)&gt;=1,1,(15/16)*(((H815-$F$4:$F$515)/$B$10)-(2/3)*((H815-$F$4:$F$515)/$B$10)^3+(1/5)*((H815-$F$4:$F$515)/$B$10)^5+8/15))))/COUNT($F$4:$F$515)</f>
        <v>0.80795390143075629</v>
      </c>
      <c r="H815" s="1">
        <f t="shared" si="38"/>
        <v>1.8971449687831057E-2</v>
      </c>
      <c r="K815" s="2">
        <v>0.01</v>
      </c>
      <c r="L815" s="3">
        <f t="shared" si="36"/>
        <v>-3.8928550312169082E-2</v>
      </c>
    </row>
    <row r="816" spans="4:12" ht="14.4" customHeight="1">
      <c r="D816" s="7">
        <v>43165</v>
      </c>
      <c r="E816" s="8">
        <v>6.7919999999999998</v>
      </c>
      <c r="F816" s="8">
        <f t="shared" si="37"/>
        <v>7.6855240848304161E-3</v>
      </c>
      <c r="G816" s="8" cm="1">
        <f t="array" ref="G816">SUMPRODUCT(IF(((H816-$F$4:$F$515)/$B$10)&lt;=-1,0,IF(((H816-$F$4:$F$515)/$B$10)&gt;=1,1,(15/16)*(((H816-$F$4:$F$515)/$B$10)-(2/3)*((H816-$F$4:$F$515)/$B$10)^3+(1/5)*((H816-$F$4:$F$515)/$B$10)^5+8/15))))/COUNT($F$4:$F$515)</f>
        <v>0.8112560852830718</v>
      </c>
      <c r="H816" s="9">
        <f t="shared" si="38"/>
        <v>1.9271449687831059E-2</v>
      </c>
      <c r="K816" s="7">
        <v>0.01</v>
      </c>
      <c r="L816" s="8">
        <f t="shared" si="36"/>
        <v>-3.8928550312169082E-2</v>
      </c>
    </row>
    <row r="817" spans="4:12" ht="14.4" customHeight="1">
      <c r="D817" s="2">
        <v>43166</v>
      </c>
      <c r="E817" s="3">
        <v>6.8140000000000001</v>
      </c>
      <c r="F817" s="3">
        <f t="shared" si="37"/>
        <v>3.2338702297286534E-3</v>
      </c>
      <c r="G817" s="3" cm="1">
        <f t="array" ref="G817">SUMPRODUCT(IF(((H817-$F$4:$F$515)/$B$10)&lt;=-1,0,IF(((H817-$F$4:$F$515)/$B$10)&gt;=1,1,(15/16)*(((H817-$F$4:$F$515)/$B$10)-(2/3)*((H817-$F$4:$F$515)/$B$10)^3+(1/5)*((H817-$F$4:$F$515)/$B$10)^5+8/15))))/COUNT($F$4:$F$515)</f>
        <v>0.81448927090579692</v>
      </c>
      <c r="H817" s="1">
        <f t="shared" si="38"/>
        <v>1.9571449687831061E-2</v>
      </c>
      <c r="K817" s="2">
        <v>0.01</v>
      </c>
      <c r="L817" s="3">
        <f t="shared" si="36"/>
        <v>-3.8928550312169082E-2</v>
      </c>
    </row>
    <row r="818" spans="4:12" ht="14.4" customHeight="1">
      <c r="D818" s="7">
        <v>43167</v>
      </c>
      <c r="E818" s="8">
        <v>6.9059999999999997</v>
      </c>
      <c r="F818" s="8">
        <f t="shared" si="37"/>
        <v>1.3411279729025703E-2</v>
      </c>
      <c r="G818" s="8" cm="1">
        <f t="array" ref="G818">SUMPRODUCT(IF(((H818-$F$4:$F$515)/$B$10)&lt;=-1,0,IF(((H818-$F$4:$F$515)/$B$10)&gt;=1,1,(15/16)*(((H818-$F$4:$F$515)/$B$10)-(2/3)*((H818-$F$4:$F$515)/$B$10)^3+(1/5)*((H818-$F$4:$F$515)/$B$10)^5+8/15))))/COUNT($F$4:$F$515)</f>
        <v>0.8176570509872636</v>
      </c>
      <c r="H818" s="9">
        <f t="shared" si="38"/>
        <v>1.9871449687831062E-2</v>
      </c>
      <c r="K818" s="7">
        <v>0.01</v>
      </c>
      <c r="L818" s="8">
        <f t="shared" si="36"/>
        <v>-3.8928550312169082E-2</v>
      </c>
    </row>
    <row r="819" spans="4:12" ht="14.4" customHeight="1">
      <c r="D819" s="2">
        <v>43168</v>
      </c>
      <c r="E819" s="3">
        <v>6.89</v>
      </c>
      <c r="F819" s="3">
        <f t="shared" si="37"/>
        <v>-2.319513942233386E-3</v>
      </c>
      <c r="G819" s="3" cm="1">
        <f t="array" ref="G819">SUMPRODUCT(IF(((H819-$F$4:$F$515)/$B$10)&lt;=-1,0,IF(((H819-$F$4:$F$515)/$B$10)&gt;=1,1,(15/16)*(((H819-$F$4:$F$515)/$B$10)-(2/3)*((H819-$F$4:$F$515)/$B$10)^3+(1/5)*((H819-$F$4:$F$515)/$B$10)^5+8/15))))/COUNT($F$4:$F$515)</f>
        <v>0.82076441243563836</v>
      </c>
      <c r="H819" s="1">
        <f t="shared" si="38"/>
        <v>2.0171449687831064E-2</v>
      </c>
      <c r="K819" s="2">
        <v>0.01</v>
      </c>
      <c r="L819" s="3">
        <f t="shared" si="36"/>
        <v>-3.8928550312169082E-2</v>
      </c>
    </row>
    <row r="820" spans="4:12" ht="14.4" customHeight="1">
      <c r="D820" s="7">
        <v>43171</v>
      </c>
      <c r="E820" s="8">
        <v>6.9260000000000002</v>
      </c>
      <c r="F820" s="8">
        <f t="shared" si="37"/>
        <v>5.2113609546629814E-3</v>
      </c>
      <c r="G820" s="8" cm="1">
        <f t="array" ref="G820">SUMPRODUCT(IF(((H820-$F$4:$F$515)/$B$10)&lt;=-1,0,IF(((H820-$F$4:$F$515)/$B$10)&gt;=1,1,(15/16)*(((H820-$F$4:$F$515)/$B$10)-(2/3)*((H820-$F$4:$F$515)/$B$10)^3+(1/5)*((H820-$F$4:$F$515)/$B$10)^5+8/15))))/COUNT($F$4:$F$515)</f>
        <v>0.82381802424729611</v>
      </c>
      <c r="H820" s="9">
        <f t="shared" si="38"/>
        <v>2.0471449687831066E-2</v>
      </c>
      <c r="K820" s="7">
        <v>0.01</v>
      </c>
      <c r="L820" s="8">
        <f t="shared" si="36"/>
        <v>-3.8928550312169082E-2</v>
      </c>
    </row>
    <row r="821" spans="4:12" ht="14.4" customHeight="1">
      <c r="D821" s="2">
        <v>43172</v>
      </c>
      <c r="E821" s="3">
        <v>6.9320000000000004</v>
      </c>
      <c r="F821" s="3">
        <f t="shared" si="37"/>
        <v>8.6592587312953214E-4</v>
      </c>
      <c r="G821" s="3" cm="1">
        <f t="array" ref="G821">SUMPRODUCT(IF(((H821-$F$4:$F$515)/$B$10)&lt;=-1,0,IF(((H821-$F$4:$F$515)/$B$10)&gt;=1,1,(15/16)*(((H821-$F$4:$F$515)/$B$10)-(2/3)*((H821-$F$4:$F$515)/$B$10)^3+(1/5)*((H821-$F$4:$F$515)/$B$10)^5+8/15))))/COUNT($F$4:$F$515)</f>
        <v>0.82682543012509568</v>
      </c>
      <c r="H821" s="1">
        <f t="shared" si="38"/>
        <v>2.0771449687831067E-2</v>
      </c>
      <c r="K821" s="2">
        <v>0.01</v>
      </c>
      <c r="L821" s="3">
        <f t="shared" si="36"/>
        <v>-3.8928550312169082E-2</v>
      </c>
    </row>
    <row r="822" spans="4:12" ht="14.4" customHeight="1">
      <c r="D822" s="7">
        <v>43173</v>
      </c>
      <c r="E822" s="8">
        <v>6.9020000000000001</v>
      </c>
      <c r="F822" s="8">
        <f t="shared" si="37"/>
        <v>-4.3371471775479698E-3</v>
      </c>
      <c r="G822" s="8" cm="1">
        <f t="array" ref="G822">SUMPRODUCT(IF(((H822-$F$4:$F$515)/$B$10)&lt;=-1,0,IF(((H822-$F$4:$F$515)/$B$10)&gt;=1,1,(15/16)*(((H822-$F$4:$F$515)/$B$10)-(2/3)*((H822-$F$4:$F$515)/$B$10)^3+(1/5)*((H822-$F$4:$F$515)/$B$10)^5+8/15))))/COUNT($F$4:$F$515)</f>
        <v>0.82979339454366341</v>
      </c>
      <c r="H822" s="9">
        <f t="shared" si="38"/>
        <v>2.1071449687831069E-2</v>
      </c>
      <c r="K822" s="7">
        <v>0.01</v>
      </c>
      <c r="L822" s="8">
        <f t="shared" si="36"/>
        <v>-3.8928550312169082E-2</v>
      </c>
    </row>
    <row r="823" spans="4:12" ht="14.4" customHeight="1">
      <c r="D823" s="2">
        <v>43174</v>
      </c>
      <c r="E823" s="3">
        <v>6.8840000000000003</v>
      </c>
      <c r="F823" s="3">
        <f t="shared" si="37"/>
        <v>-2.6113463265186945E-3</v>
      </c>
      <c r="G823" s="3" cm="1">
        <f t="array" ref="G823">SUMPRODUCT(IF(((H823-$F$4:$F$515)/$B$10)&lt;=-1,0,IF(((H823-$F$4:$F$515)/$B$10)&gt;=1,1,(15/16)*(((H823-$F$4:$F$515)/$B$10)-(2/3)*((H823-$F$4:$F$515)/$B$10)^3+(1/5)*((H823-$F$4:$F$515)/$B$10)^5+8/15))))/COUNT($F$4:$F$515)</f>
        <v>0.83272794571492792</v>
      </c>
      <c r="H823" s="1">
        <f t="shared" si="38"/>
        <v>2.1371449687831071E-2</v>
      </c>
      <c r="K823" s="2">
        <v>0.01</v>
      </c>
      <c r="L823" s="3">
        <f t="shared" si="36"/>
        <v>-3.8928550312169082E-2</v>
      </c>
    </row>
    <row r="824" spans="4:12" ht="14.4" customHeight="1">
      <c r="D824" s="7">
        <v>43175</v>
      </c>
      <c r="E824" s="8">
        <v>6.91</v>
      </c>
      <c r="F824" s="8">
        <f t="shared" si="37"/>
        <v>3.7697594302854671E-3</v>
      </c>
      <c r="G824" s="8" cm="1">
        <f t="array" ref="G824">SUMPRODUCT(IF(((H824-$F$4:$F$515)/$B$10)&lt;=-1,0,IF(((H824-$F$4:$F$515)/$B$10)&gt;=1,1,(15/16)*(((H824-$F$4:$F$515)/$B$10)-(2/3)*((H824-$F$4:$F$515)/$B$10)^3+(1/5)*((H824-$F$4:$F$515)/$B$10)^5+8/15))))/COUNT($F$4:$F$515)</f>
        <v>0.83563381353613642</v>
      </c>
      <c r="H824" s="9">
        <f t="shared" si="38"/>
        <v>2.1671449687831072E-2</v>
      </c>
      <c r="K824" s="7">
        <v>0.01</v>
      </c>
      <c r="L824" s="8">
        <f t="shared" si="36"/>
        <v>-3.8928550312169082E-2</v>
      </c>
    </row>
    <row r="825" spans="4:12" ht="14.4" customHeight="1">
      <c r="D825" s="2">
        <v>43178</v>
      </c>
      <c r="E825" s="3">
        <v>6.8579999999999997</v>
      </c>
      <c r="F825" s="3">
        <f t="shared" si="37"/>
        <v>-7.5537837388499774E-3</v>
      </c>
      <c r="G825" s="3" cm="1">
        <f t="array" ref="G825">SUMPRODUCT(IF(((H825-$F$4:$F$515)/$B$10)&lt;=-1,0,IF(((H825-$F$4:$F$515)/$B$10)&gt;=1,1,(15/16)*(((H825-$F$4:$F$515)/$B$10)-(2/3)*((H825-$F$4:$F$515)/$B$10)^3+(1/5)*((H825-$F$4:$F$515)/$B$10)^5+8/15))))/COUNT($F$4:$F$515)</f>
        <v>0.83851607248312376</v>
      </c>
      <c r="H825" s="1">
        <f t="shared" si="38"/>
        <v>2.1971449687831074E-2</v>
      </c>
      <c r="K825" s="2">
        <v>0.01</v>
      </c>
      <c r="L825" s="3">
        <f t="shared" si="36"/>
        <v>-3.8928550312169082E-2</v>
      </c>
    </row>
    <row r="826" spans="4:12" ht="14.4" customHeight="1">
      <c r="D826" s="7">
        <v>43179</v>
      </c>
      <c r="E826" s="8">
        <v>6.9480000000000004</v>
      </c>
      <c r="F826" s="8">
        <f t="shared" si="37"/>
        <v>1.3037994338130019E-2</v>
      </c>
      <c r="G826" s="8" cm="1">
        <f t="array" ref="G826">SUMPRODUCT(IF(((H826-$F$4:$F$515)/$B$10)&lt;=-1,0,IF(((H826-$F$4:$F$515)/$B$10)&gt;=1,1,(15/16)*(((H826-$F$4:$F$515)/$B$10)-(2/3)*((H826-$F$4:$F$515)/$B$10)^3+(1/5)*((H826-$F$4:$F$515)/$B$10)^5+8/15))))/COUNT($F$4:$F$515)</f>
        <v>0.84137861390113611</v>
      </c>
      <c r="H826" s="9">
        <f t="shared" si="38"/>
        <v>2.2271449687831076E-2</v>
      </c>
      <c r="K826" s="7">
        <v>0.01</v>
      </c>
      <c r="L826" s="8">
        <f t="shared" si="36"/>
        <v>-3.8928550312169082E-2</v>
      </c>
    </row>
    <row r="827" spans="4:12" ht="14.4" customHeight="1">
      <c r="D827" s="2">
        <v>43180</v>
      </c>
      <c r="E827" s="3">
        <v>6.944</v>
      </c>
      <c r="F827" s="3">
        <f t="shared" si="37"/>
        <v>-5.7587102080948211E-4</v>
      </c>
      <c r="G827" s="3" cm="1">
        <f t="array" ref="G827">SUMPRODUCT(IF(((H827-$F$4:$F$515)/$B$10)&lt;=-1,0,IF(((H827-$F$4:$F$515)/$B$10)&gt;=1,1,(15/16)*(((H827-$F$4:$F$515)/$B$10)-(2/3)*((H827-$F$4:$F$515)/$B$10)^3+(1/5)*((H827-$F$4:$F$515)/$B$10)^5+8/15))))/COUNT($F$4:$F$515)</f>
        <v>0.84422356916460894</v>
      </c>
      <c r="H827" s="1">
        <f t="shared" si="38"/>
        <v>2.2571449687831077E-2</v>
      </c>
      <c r="K827" s="2">
        <v>0.01</v>
      </c>
      <c r="L827" s="3">
        <f t="shared" si="36"/>
        <v>-3.8928550312169082E-2</v>
      </c>
    </row>
    <row r="828" spans="4:12" ht="14.4" customHeight="1">
      <c r="D828" s="7">
        <v>43181</v>
      </c>
      <c r="E828" s="8">
        <v>6.7439999999999998</v>
      </c>
      <c r="F828" s="8">
        <f t="shared" si="37"/>
        <v>-2.9224756658494784E-2</v>
      </c>
      <c r="G828" s="8" cm="1">
        <f t="array" ref="G828">SUMPRODUCT(IF(((H828-$F$4:$F$515)/$B$10)&lt;=-1,0,IF(((H828-$F$4:$F$515)/$B$10)&gt;=1,1,(15/16)*(((H828-$F$4:$F$515)/$B$10)-(2/3)*((H828-$F$4:$F$515)/$B$10)^3+(1/5)*((H828-$F$4:$F$515)/$B$10)^5+8/15))))/COUNT($F$4:$F$515)</f>
        <v>0.84705351271767382</v>
      </c>
      <c r="H828" s="9">
        <f t="shared" si="38"/>
        <v>2.2871449687831079E-2</v>
      </c>
      <c r="K828" s="7">
        <v>0.01</v>
      </c>
      <c r="L828" s="8">
        <f t="shared" si="36"/>
        <v>-3.8928550312169082E-2</v>
      </c>
    </row>
    <row r="829" spans="4:12" ht="14.4" customHeight="1">
      <c r="D829" s="2">
        <v>43182</v>
      </c>
      <c r="E829" s="3">
        <v>6.67</v>
      </c>
      <c r="F829" s="3">
        <f t="shared" si="37"/>
        <v>-1.1033360772021919E-2</v>
      </c>
      <c r="G829" s="3" cm="1">
        <f t="array" ref="G829">SUMPRODUCT(IF(((H829-$F$4:$F$515)/$B$10)&lt;=-1,0,IF(((H829-$F$4:$F$515)/$B$10)&gt;=1,1,(15/16)*(((H829-$F$4:$F$515)/$B$10)-(2/3)*((H829-$F$4:$F$515)/$B$10)^3+(1/5)*((H829-$F$4:$F$515)/$B$10)^5+8/15))))/COUNT($F$4:$F$515)</f>
        <v>0.8498713162973679</v>
      </c>
      <c r="H829" s="1">
        <f t="shared" si="38"/>
        <v>2.317144968783108E-2</v>
      </c>
      <c r="K829" s="2">
        <v>0.01</v>
      </c>
      <c r="L829" s="3">
        <f t="shared" si="36"/>
        <v>-3.8928550312169082E-2</v>
      </c>
    </row>
    <row r="830" spans="4:12" ht="14.4" customHeight="1">
      <c r="D830" s="7">
        <v>43185</v>
      </c>
      <c r="E830" s="8">
        <v>6.6239999999999997</v>
      </c>
      <c r="F830" s="8">
        <f t="shared" si="37"/>
        <v>-6.9204428445737952E-3</v>
      </c>
      <c r="G830" s="8" cm="1">
        <f t="array" ref="G830">SUMPRODUCT(IF(((H830-$F$4:$F$515)/$B$10)&lt;=-1,0,IF(((H830-$F$4:$F$515)/$B$10)&gt;=1,1,(15/16)*(((H830-$F$4:$F$515)/$B$10)-(2/3)*((H830-$F$4:$F$515)/$B$10)^3+(1/5)*((H830-$F$4:$F$515)/$B$10)^5+8/15))))/COUNT($F$4:$F$515)</f>
        <v>0.85268137969864377</v>
      </c>
      <c r="H830" s="9">
        <f t="shared" si="38"/>
        <v>2.3471449687831082E-2</v>
      </c>
      <c r="K830" s="7">
        <v>0.01</v>
      </c>
      <c r="L830" s="8">
        <f t="shared" si="36"/>
        <v>-3.8928550312169082E-2</v>
      </c>
    </row>
    <row r="831" spans="4:12" ht="14.4" customHeight="1">
      <c r="D831" s="2">
        <v>43186</v>
      </c>
      <c r="E831" s="3">
        <v>6.7560000000000002</v>
      </c>
      <c r="F831" s="3">
        <f t="shared" si="37"/>
        <v>1.9731581862595049E-2</v>
      </c>
      <c r="G831" s="3" cm="1">
        <f t="array" ref="G831">SUMPRODUCT(IF(((H831-$F$4:$F$515)/$B$10)&lt;=-1,0,IF(((H831-$F$4:$F$515)/$B$10)&gt;=1,1,(15/16)*(((H831-$F$4:$F$515)/$B$10)-(2/3)*((H831-$F$4:$F$515)/$B$10)^3+(1/5)*((H831-$F$4:$F$515)/$B$10)^5+8/15))))/COUNT($F$4:$F$515)</f>
        <v>0.85548947279821053</v>
      </c>
      <c r="H831" s="1">
        <f t="shared" si="38"/>
        <v>2.3771449687831084E-2</v>
      </c>
      <c r="K831" s="2">
        <v>0.01</v>
      </c>
      <c r="L831" s="3">
        <f t="shared" si="36"/>
        <v>-3.8928550312169082E-2</v>
      </c>
    </row>
    <row r="832" spans="4:12" ht="14.4" customHeight="1">
      <c r="D832" s="7">
        <v>43187</v>
      </c>
      <c r="E832" s="8">
        <v>6.6859999999999999</v>
      </c>
      <c r="F832" s="8">
        <f t="shared" si="37"/>
        <v>-1.0415210947646863E-2</v>
      </c>
      <c r="G832" s="8" cm="1">
        <f t="array" ref="G832">SUMPRODUCT(IF(((H832-$F$4:$F$515)/$B$10)&lt;=-1,0,IF(((H832-$F$4:$F$515)/$B$10)&gt;=1,1,(15/16)*(((H832-$F$4:$F$515)/$B$10)-(2/3)*((H832-$F$4:$F$515)/$B$10)^3+(1/5)*((H832-$F$4:$F$515)/$B$10)^5+8/15))))/COUNT($F$4:$F$515)</f>
        <v>0.85830088881950262</v>
      </c>
      <c r="H832" s="9">
        <f t="shared" si="38"/>
        <v>2.4071449687831085E-2</v>
      </c>
      <c r="K832" s="7">
        <v>0.01</v>
      </c>
      <c r="L832" s="8">
        <f t="shared" si="36"/>
        <v>-3.8928550312169082E-2</v>
      </c>
    </row>
    <row r="833" spans="4:12" ht="14.4" customHeight="1">
      <c r="D833" s="2">
        <v>43188</v>
      </c>
      <c r="E833" s="3">
        <v>6.6580000000000004</v>
      </c>
      <c r="F833" s="3">
        <f t="shared" si="37"/>
        <v>-4.1966488450735804E-3</v>
      </c>
      <c r="G833" s="3" cm="1">
        <f t="array" ref="G833">SUMPRODUCT(IF(((H833-$F$4:$F$515)/$B$10)&lt;=-1,0,IF(((H833-$F$4:$F$515)/$B$10)&gt;=1,1,(15/16)*(((H833-$F$4:$F$515)/$B$10)-(2/3)*((H833-$F$4:$F$515)/$B$10)^3+(1/5)*((H833-$F$4:$F$515)/$B$10)^5+8/15))))/COUNT($F$4:$F$515)</f>
        <v>0.86111856442241452</v>
      </c>
      <c r="H833" s="1">
        <f t="shared" si="38"/>
        <v>2.4371449687831087E-2</v>
      </c>
      <c r="K833" s="2">
        <v>0.01</v>
      </c>
      <c r="L833" s="3">
        <f t="shared" si="36"/>
        <v>-3.8928550312169082E-2</v>
      </c>
    </row>
    <row r="834" spans="4:12" ht="14.4" customHeight="1">
      <c r="D834" s="7">
        <v>43193</v>
      </c>
      <c r="E834" s="8">
        <v>6.65</v>
      </c>
      <c r="F834" s="8">
        <f t="shared" si="37"/>
        <v>-1.2022844850704101E-3</v>
      </c>
      <c r="G834" s="8" cm="1">
        <f t="array" ref="G834">SUMPRODUCT(IF(((H834-$F$4:$F$515)/$B$10)&lt;=-1,0,IF(((H834-$F$4:$F$515)/$B$10)&gt;=1,1,(15/16)*(((H834-$F$4:$F$515)/$B$10)-(2/3)*((H834-$F$4:$F$515)/$B$10)^3+(1/5)*((H834-$F$4:$F$515)/$B$10)^5+8/15))))/COUNT($F$4:$F$515)</f>
        <v>0.86394380926747438</v>
      </c>
      <c r="H834" s="9">
        <f t="shared" si="38"/>
        <v>2.4671449687831089E-2</v>
      </c>
      <c r="K834" s="7">
        <v>0.01</v>
      </c>
      <c r="L834" s="8">
        <f t="shared" si="36"/>
        <v>-3.8928550312169082E-2</v>
      </c>
    </row>
    <row r="835" spans="4:12" ht="14.4" customHeight="1">
      <c r="D835" s="2">
        <v>43194</v>
      </c>
      <c r="E835" s="3">
        <v>6.4340000000000002</v>
      </c>
      <c r="F835" s="3">
        <f t="shared" si="37"/>
        <v>-3.3020425850928146E-2</v>
      </c>
      <c r="G835" s="3" cm="1">
        <f t="array" ref="G835">SUMPRODUCT(IF(((H835-$F$4:$F$515)/$B$10)&lt;=-1,0,IF(((H835-$F$4:$F$515)/$B$10)&gt;=1,1,(15/16)*(((H835-$F$4:$F$515)/$B$10)-(2/3)*((H835-$F$4:$F$515)/$B$10)^3+(1/5)*((H835-$F$4:$F$515)/$B$10)^5+8/15))))/COUNT($F$4:$F$515)</f>
        <v>0.86677850490147801</v>
      </c>
      <c r="H835" s="1">
        <f t="shared" si="38"/>
        <v>2.497144968783109E-2</v>
      </c>
      <c r="K835" s="2">
        <v>0.01</v>
      </c>
      <c r="L835" s="3">
        <f t="shared" si="36"/>
        <v>-3.8928550312169082E-2</v>
      </c>
    </row>
    <row r="836" spans="4:12" ht="14.4" customHeight="1">
      <c r="D836" s="7">
        <v>43195</v>
      </c>
      <c r="E836" s="8">
        <v>6.65</v>
      </c>
      <c r="F836" s="8">
        <f t="shared" si="37"/>
        <v>3.3020425850928112E-2</v>
      </c>
      <c r="G836" s="8" cm="1">
        <f t="array" ref="G836">SUMPRODUCT(IF(((H836-$F$4:$F$515)/$B$10)&lt;=-1,0,IF(((H836-$F$4:$F$515)/$B$10)&gt;=1,1,(15/16)*(((H836-$F$4:$F$515)/$B$10)-(2/3)*((H836-$F$4:$F$515)/$B$10)^3+(1/5)*((H836-$F$4:$F$515)/$B$10)^5+8/15))))/COUNT($F$4:$F$515)</f>
        <v>0.86962450859034912</v>
      </c>
      <c r="H836" s="9">
        <f t="shared" si="38"/>
        <v>2.5271449687831092E-2</v>
      </c>
      <c r="K836" s="7">
        <v>0.01</v>
      </c>
      <c r="L836" s="8">
        <f t="shared" ref="L836:L899" si="39">$B$7</f>
        <v>-3.8928550312169082E-2</v>
      </c>
    </row>
    <row r="837" spans="4:12" ht="14.4" customHeight="1">
      <c r="D837" s="2">
        <v>43196</v>
      </c>
      <c r="E837" s="3">
        <v>6.556</v>
      </c>
      <c r="F837" s="3">
        <f t="shared" ref="F837:F900" si="40">LN(E837/E836)</f>
        <v>-1.4236193786179525E-2</v>
      </c>
      <c r="G837" s="3" cm="1">
        <f t="array" ref="G837">SUMPRODUCT(IF(((H837-$F$4:$F$515)/$B$10)&lt;=-1,0,IF(((H837-$F$4:$F$515)/$B$10)&gt;=1,1,(15/16)*(((H837-$F$4:$F$515)/$B$10)-(2/3)*((H837-$F$4:$F$515)/$B$10)^3+(1/5)*((H837-$F$4:$F$515)/$B$10)^5+8/15))))/COUNT($F$4:$F$515)</f>
        <v>0.87248231383895247</v>
      </c>
      <c r="H837" s="1">
        <f t="shared" ref="H837:H900" si="41">H836+0.0003</f>
        <v>2.5571449687831094E-2</v>
      </c>
      <c r="K837" s="2">
        <v>0.01</v>
      </c>
      <c r="L837" s="3">
        <f t="shared" si="39"/>
        <v>-3.8928550312169082E-2</v>
      </c>
    </row>
    <row r="838" spans="4:12" ht="14.4" customHeight="1">
      <c r="D838" s="7">
        <v>43199</v>
      </c>
      <c r="E838" s="8">
        <v>6.6520000000000001</v>
      </c>
      <c r="F838" s="8">
        <f t="shared" si="40"/>
        <v>1.453690044909795E-2</v>
      </c>
      <c r="G838" s="8" cm="1">
        <f t="array" ref="G838">SUMPRODUCT(IF(((H838-$F$4:$F$515)/$B$10)&lt;=-1,0,IF(((H838-$F$4:$F$515)/$B$10)&gt;=1,1,(15/16)*(((H838-$F$4:$F$515)/$B$10)-(2/3)*((H838-$F$4:$F$515)/$B$10)^3+(1/5)*((H838-$F$4:$F$515)/$B$10)^5+8/15))))/COUNT($F$4:$F$515)</f>
        <v>0.87535074950792313</v>
      </c>
      <c r="H838" s="9">
        <f t="shared" si="41"/>
        <v>2.5871449687831095E-2</v>
      </c>
      <c r="K838" s="7">
        <v>0.01</v>
      </c>
      <c r="L838" s="8">
        <f t="shared" si="39"/>
        <v>-3.8928550312169082E-2</v>
      </c>
    </row>
    <row r="839" spans="4:12" ht="14.4" customHeight="1">
      <c r="D839" s="2">
        <v>43200</v>
      </c>
      <c r="E839" s="3">
        <v>6.6980000000000004</v>
      </c>
      <c r="F839" s="3">
        <f t="shared" si="40"/>
        <v>6.8914130413317157E-3</v>
      </c>
      <c r="G839" s="3" cm="1">
        <f t="array" ref="G839">SUMPRODUCT(IF(((H839-$F$4:$F$515)/$B$10)&lt;=-1,0,IF(((H839-$F$4:$F$515)/$B$10)&gt;=1,1,(15/16)*(((H839-$F$4:$F$515)/$B$10)-(2/3)*((H839-$F$4:$F$515)/$B$10)^3+(1/5)*((H839-$F$4:$F$515)/$B$10)^5+8/15))))/COUNT($F$4:$F$515)</f>
        <v>0.87822541931813802</v>
      </c>
      <c r="H839" s="1">
        <f t="shared" si="41"/>
        <v>2.6171449687831097E-2</v>
      </c>
      <c r="K839" s="2">
        <v>0.01</v>
      </c>
      <c r="L839" s="3">
        <f t="shared" si="39"/>
        <v>-3.8928550312169082E-2</v>
      </c>
    </row>
    <row r="840" spans="4:12" ht="14.4" customHeight="1">
      <c r="D840" s="7">
        <v>43201</v>
      </c>
      <c r="E840" s="8">
        <v>6.5679999999999996</v>
      </c>
      <c r="F840" s="8">
        <f t="shared" si="40"/>
        <v>-1.9599602221885913E-2</v>
      </c>
      <c r="G840" s="8" cm="1">
        <f t="array" ref="G840">SUMPRODUCT(IF(((H840-$F$4:$F$515)/$B$10)&lt;=-1,0,IF(((H840-$F$4:$F$515)/$B$10)&gt;=1,1,(15/16)*(((H840-$F$4:$F$515)/$B$10)-(2/3)*((H840-$F$4:$F$515)/$B$10)^3+(1/5)*((H840-$F$4:$F$515)/$B$10)^5+8/15))))/COUNT($F$4:$F$515)</f>
        <v>0.88109957864950528</v>
      </c>
      <c r="H840" s="9">
        <f t="shared" si="41"/>
        <v>2.6471449687831099E-2</v>
      </c>
      <c r="K840" s="7">
        <v>0.01</v>
      </c>
      <c r="L840" s="8">
        <f t="shared" si="39"/>
        <v>-3.8928550312169082E-2</v>
      </c>
    </row>
    <row r="841" spans="4:12" ht="14.4" customHeight="1">
      <c r="D841" s="2">
        <v>43202</v>
      </c>
      <c r="E841" s="3">
        <v>6.6959999999999997</v>
      </c>
      <c r="F841" s="3">
        <f t="shared" si="40"/>
        <v>1.9300961037047138E-2</v>
      </c>
      <c r="G841" s="3" cm="1">
        <f t="array" ref="G841">SUMPRODUCT(IF(((H841-$F$4:$F$515)/$B$10)&lt;=-1,0,IF(((H841-$F$4:$F$515)/$B$10)&gt;=1,1,(15/16)*(((H841-$F$4:$F$515)/$B$10)-(2/3)*((H841-$F$4:$F$515)/$B$10)^3+(1/5)*((H841-$F$4:$F$515)/$B$10)^5+8/15))))/COUNT($F$4:$F$515)</f>
        <v>0.88396679790154786</v>
      </c>
      <c r="H841" s="1">
        <f t="shared" si="41"/>
        <v>2.67714496878311E-2</v>
      </c>
      <c r="K841" s="2">
        <v>0.01</v>
      </c>
      <c r="L841" s="3">
        <f t="shared" si="39"/>
        <v>-3.8928550312169082E-2</v>
      </c>
    </row>
    <row r="842" spans="4:12" ht="14.4" customHeight="1">
      <c r="D842" s="7">
        <v>43203</v>
      </c>
      <c r="E842" s="8">
        <v>6.6479999999999997</v>
      </c>
      <c r="F842" s="8">
        <f t="shared" si="40"/>
        <v>-7.1942756340270851E-3</v>
      </c>
      <c r="G842" s="8" cm="1">
        <f t="array" ref="G842">SUMPRODUCT(IF(((H842-$F$4:$F$515)/$B$10)&lt;=-1,0,IF(((H842-$F$4:$F$515)/$B$10)&gt;=1,1,(15/16)*(((H842-$F$4:$F$515)/$B$10)-(2/3)*((H842-$F$4:$F$515)/$B$10)^3+(1/5)*((H842-$F$4:$F$515)/$B$10)^5+8/15))))/COUNT($F$4:$F$515)</f>
        <v>0.88682153140000752</v>
      </c>
      <c r="H842" s="9">
        <f t="shared" si="41"/>
        <v>2.7071449687831102E-2</v>
      </c>
      <c r="K842" s="7">
        <v>0.01</v>
      </c>
      <c r="L842" s="8">
        <f t="shared" si="39"/>
        <v>-3.8928550312169082E-2</v>
      </c>
    </row>
    <row r="843" spans="4:12" ht="14.4" customHeight="1">
      <c r="D843" s="2">
        <v>43206</v>
      </c>
      <c r="E843" s="3">
        <v>6.6440000000000001</v>
      </c>
      <c r="F843" s="3">
        <f t="shared" si="40"/>
        <v>-6.018658020985623E-4</v>
      </c>
      <c r="G843" s="3" cm="1">
        <f t="array" ref="G843">SUMPRODUCT(IF(((H843-$F$4:$F$515)/$B$10)&lt;=-1,0,IF(((H843-$F$4:$F$515)/$B$10)&gt;=1,1,(15/16)*(((H843-$F$4:$F$515)/$B$10)-(2/3)*((H843-$F$4:$F$515)/$B$10)^3+(1/5)*((H843-$F$4:$F$515)/$B$10)^5+8/15))))/COUNT($F$4:$F$515)</f>
        <v>0.88965774758152383</v>
      </c>
      <c r="H843" s="1">
        <f t="shared" si="41"/>
        <v>2.7371449687831104E-2</v>
      </c>
      <c r="K843" s="2">
        <v>0.01</v>
      </c>
      <c r="L843" s="3">
        <f t="shared" si="39"/>
        <v>-3.8928550312169082E-2</v>
      </c>
    </row>
    <row r="844" spans="4:12" ht="14.4" customHeight="1">
      <c r="D844" s="7">
        <v>43207</v>
      </c>
      <c r="E844" s="8">
        <v>6.6340000000000003</v>
      </c>
      <c r="F844" s="8">
        <f t="shared" si="40"/>
        <v>-1.5062512261877809E-3</v>
      </c>
      <c r="G844" s="8" cm="1">
        <f t="array" ref="G844">SUMPRODUCT(IF(((H844-$F$4:$F$515)/$B$10)&lt;=-1,0,IF(((H844-$F$4:$F$515)/$B$10)&gt;=1,1,(15/16)*(((H844-$F$4:$F$515)/$B$10)-(2/3)*((H844-$F$4:$F$515)/$B$10)^3+(1/5)*((H844-$F$4:$F$515)/$B$10)^5+8/15))))/COUNT($F$4:$F$515)</f>
        <v>0.89246764855764016</v>
      </c>
      <c r="H844" s="9">
        <f t="shared" si="41"/>
        <v>2.7671449687831105E-2</v>
      </c>
      <c r="K844" s="7">
        <v>0.01</v>
      </c>
      <c r="L844" s="8">
        <f t="shared" si="39"/>
        <v>-3.8928550312169082E-2</v>
      </c>
    </row>
    <row r="845" spans="4:12" ht="14.4" customHeight="1">
      <c r="D845" s="2">
        <v>43208</v>
      </c>
      <c r="E845" s="3">
        <v>6.5880000000000001</v>
      </c>
      <c r="F845" s="3">
        <f t="shared" si="40"/>
        <v>-6.958128209466838E-3</v>
      </c>
      <c r="G845" s="3" cm="1">
        <f t="array" ref="G845">SUMPRODUCT(IF(((H845-$F$4:$F$515)/$B$10)&lt;=-1,0,IF(((H845-$F$4:$F$515)/$B$10)&gt;=1,1,(15/16)*(((H845-$F$4:$F$515)/$B$10)-(2/3)*((H845-$F$4:$F$515)/$B$10)^3+(1/5)*((H845-$F$4:$F$515)/$B$10)^5+8/15))))/COUNT($F$4:$F$515)</f>
        <v>0.8952425858983778</v>
      </c>
      <c r="H845" s="1">
        <f t="shared" si="41"/>
        <v>2.7971449687831107E-2</v>
      </c>
      <c r="K845" s="2">
        <v>0.01</v>
      </c>
      <c r="L845" s="3">
        <f t="shared" si="39"/>
        <v>-3.8928550312169082E-2</v>
      </c>
    </row>
    <row r="846" spans="4:12" ht="14.4" customHeight="1">
      <c r="D846" s="7">
        <v>43209</v>
      </c>
      <c r="E846" s="8">
        <v>6.66</v>
      </c>
      <c r="F846" s="8">
        <f t="shared" si="40"/>
        <v>1.0869672236903891E-2</v>
      </c>
      <c r="G846" s="8" cm="1">
        <f t="array" ref="G846">SUMPRODUCT(IF(((H846-$F$4:$F$515)/$B$10)&lt;=-1,0,IF(((H846-$F$4:$F$515)/$B$10)&gt;=1,1,(15/16)*(((H846-$F$4:$F$515)/$B$10)-(2/3)*((H846-$F$4:$F$515)/$B$10)^3+(1/5)*((H846-$F$4:$F$515)/$B$10)^5+8/15))))/COUNT($F$4:$F$515)</f>
        <v>0.89797304662544475</v>
      </c>
      <c r="H846" s="9">
        <f t="shared" si="41"/>
        <v>2.8271449687831109E-2</v>
      </c>
      <c r="K846" s="7">
        <v>0.01</v>
      </c>
      <c r="L846" s="8">
        <f t="shared" si="39"/>
        <v>-3.8928550312169082E-2</v>
      </c>
    </row>
    <row r="847" spans="4:12" ht="14.4" customHeight="1">
      <c r="D847" s="2">
        <v>43210</v>
      </c>
      <c r="E847" s="3">
        <v>6.5919999999999996</v>
      </c>
      <c r="F847" s="3">
        <f t="shared" si="40"/>
        <v>-1.0262691945127274E-2</v>
      </c>
      <c r="G847" s="3" cm="1">
        <f t="array" ref="G847">SUMPRODUCT(IF(((H847-$F$4:$F$515)/$B$10)&lt;=-1,0,IF(((H847-$F$4:$F$515)/$B$10)&gt;=1,1,(15/16)*(((H847-$F$4:$F$515)/$B$10)-(2/3)*((H847-$F$4:$F$515)/$B$10)^3+(1/5)*((H847-$F$4:$F$515)/$B$10)^5+8/15))))/COUNT($F$4:$F$515)</f>
        <v>0.90064855102702535</v>
      </c>
      <c r="H847" s="1">
        <f t="shared" si="41"/>
        <v>2.857144968783111E-2</v>
      </c>
      <c r="K847" s="2">
        <v>0.01</v>
      </c>
      <c r="L847" s="3">
        <f t="shared" si="39"/>
        <v>-3.8928550312169082E-2</v>
      </c>
    </row>
    <row r="848" spans="4:12" ht="14.4" customHeight="1">
      <c r="D848" s="7">
        <v>43213</v>
      </c>
      <c r="E848" s="8">
        <v>6.67</v>
      </c>
      <c r="F848" s="8">
        <f t="shared" si="40"/>
        <v>1.1763067320361783E-2</v>
      </c>
      <c r="G848" s="8" cm="1">
        <f t="array" ref="G848">SUMPRODUCT(IF(((H848-$F$4:$F$515)/$B$10)&lt;=-1,0,IF(((H848-$F$4:$F$515)/$B$10)&gt;=1,1,(15/16)*(((H848-$F$4:$F$515)/$B$10)-(2/3)*((H848-$F$4:$F$515)/$B$10)^3+(1/5)*((H848-$F$4:$F$515)/$B$10)^5+8/15))))/COUNT($F$4:$F$515)</f>
        <v>0.90325923477744019</v>
      </c>
      <c r="H848" s="9">
        <f t="shared" si="41"/>
        <v>2.8871449687831112E-2</v>
      </c>
      <c r="K848" s="7">
        <v>0.01</v>
      </c>
      <c r="L848" s="8">
        <f t="shared" si="39"/>
        <v>-3.8928550312169082E-2</v>
      </c>
    </row>
    <row r="849" spans="4:12" ht="14.4" customHeight="1">
      <c r="D849" s="2">
        <v>43214</v>
      </c>
      <c r="E849" s="3">
        <v>6.74</v>
      </c>
      <c r="F849" s="3">
        <f t="shared" si="40"/>
        <v>1.0440064996683422E-2</v>
      </c>
      <c r="G849" s="3" cm="1">
        <f t="array" ref="G849">SUMPRODUCT(IF(((H849-$F$4:$F$515)/$B$10)&lt;=-1,0,IF(((H849-$F$4:$F$515)/$B$10)&gt;=1,1,(15/16)*(((H849-$F$4:$F$515)/$B$10)-(2/3)*((H849-$F$4:$F$515)/$B$10)^3+(1/5)*((H849-$F$4:$F$515)/$B$10)^5+8/15))))/COUNT($F$4:$F$515)</f>
        <v>0.9057965904940829</v>
      </c>
      <c r="H849" s="1">
        <f t="shared" si="41"/>
        <v>2.9171449687831114E-2</v>
      </c>
      <c r="K849" s="2">
        <v>0.01</v>
      </c>
      <c r="L849" s="3">
        <f t="shared" si="39"/>
        <v>-3.8928550312169082E-2</v>
      </c>
    </row>
    <row r="850" spans="4:12" ht="14.4" customHeight="1">
      <c r="D850" s="7">
        <v>43215</v>
      </c>
      <c r="E850" s="8">
        <v>6.6580000000000004</v>
      </c>
      <c r="F850" s="8">
        <f t="shared" si="40"/>
        <v>-1.2240785771382453E-2</v>
      </c>
      <c r="G850" s="8" cm="1">
        <f t="array" ref="G850">SUMPRODUCT(IF(((H850-$F$4:$F$515)/$B$10)&lt;=-1,0,IF(((H850-$F$4:$F$515)/$B$10)&gt;=1,1,(15/16)*(((H850-$F$4:$F$515)/$B$10)-(2/3)*((H850-$F$4:$F$515)/$B$10)^3+(1/5)*((H850-$F$4:$F$515)/$B$10)^5+8/15))))/COUNT($F$4:$F$515)</f>
        <v>0.90825373004161392</v>
      </c>
      <c r="H850" s="9">
        <f t="shared" si="41"/>
        <v>2.9471449687831115E-2</v>
      </c>
      <c r="K850" s="7">
        <v>0.01</v>
      </c>
      <c r="L850" s="8">
        <f t="shared" si="39"/>
        <v>-3.8928550312169082E-2</v>
      </c>
    </row>
    <row r="851" spans="4:12" ht="14.4" customHeight="1">
      <c r="D851" s="2">
        <v>43216</v>
      </c>
      <c r="E851" s="3">
        <v>6.72</v>
      </c>
      <c r="F851" s="3">
        <f t="shared" si="40"/>
        <v>9.2690153822248336E-3</v>
      </c>
      <c r="G851" s="3" cm="1">
        <f t="array" ref="G851">SUMPRODUCT(IF(((H851-$F$4:$F$515)/$B$10)&lt;=-1,0,IF(((H851-$F$4:$F$515)/$B$10)&gt;=1,1,(15/16)*(((H851-$F$4:$F$515)/$B$10)-(2/3)*((H851-$F$4:$F$515)/$B$10)^3+(1/5)*((H851-$F$4:$F$515)/$B$10)^5+8/15))))/COUNT($F$4:$F$515)</f>
        <v>0.91062607193525857</v>
      </c>
      <c r="H851" s="1">
        <f t="shared" si="41"/>
        <v>2.9771449687831117E-2</v>
      </c>
      <c r="K851" s="2">
        <v>0.01</v>
      </c>
      <c r="L851" s="3">
        <f t="shared" si="39"/>
        <v>-3.8928550312169082E-2</v>
      </c>
    </row>
    <row r="852" spans="4:12" ht="14.4" customHeight="1">
      <c r="D852" s="7">
        <v>43217</v>
      </c>
      <c r="E852" s="8">
        <v>6.7480000000000002</v>
      </c>
      <c r="F852" s="8">
        <f t="shared" si="40"/>
        <v>4.158010148663677E-3</v>
      </c>
      <c r="G852" s="8" cm="1">
        <f t="array" ref="G852">SUMPRODUCT(IF(((H852-$F$4:$F$515)/$B$10)&lt;=-1,0,IF(((H852-$F$4:$F$515)/$B$10)&gt;=1,1,(15/16)*(((H852-$F$4:$F$515)/$B$10)-(2/3)*((H852-$F$4:$F$515)/$B$10)^3+(1/5)*((H852-$F$4:$F$515)/$B$10)^5+8/15))))/COUNT($F$4:$F$515)</f>
        <v>0.91291102355838394</v>
      </c>
      <c r="H852" s="9">
        <f t="shared" si="41"/>
        <v>3.0071449687831119E-2</v>
      </c>
      <c r="K852" s="7">
        <v>0.01</v>
      </c>
      <c r="L852" s="8">
        <f t="shared" si="39"/>
        <v>-3.8928550312169082E-2</v>
      </c>
    </row>
    <row r="853" spans="4:12" ht="14.4" customHeight="1">
      <c r="D853" s="2">
        <v>43220</v>
      </c>
      <c r="E853" s="3">
        <v>6.8120000000000003</v>
      </c>
      <c r="F853" s="3">
        <f t="shared" si="40"/>
        <v>9.4395981167199466E-3</v>
      </c>
      <c r="G853" s="3" cm="1">
        <f t="array" ref="G853">SUMPRODUCT(IF(((H853-$F$4:$F$515)/$B$10)&lt;=-1,0,IF(((H853-$F$4:$F$515)/$B$10)&gt;=1,1,(15/16)*(((H853-$F$4:$F$515)/$B$10)-(2/3)*((H853-$F$4:$F$515)/$B$10)^3+(1/5)*((H853-$F$4:$F$515)/$B$10)^5+8/15))))/COUNT($F$4:$F$515)</f>
        <v>0.91510860526597471</v>
      </c>
      <c r="H853" s="1">
        <f t="shared" si="41"/>
        <v>3.037144968783112E-2</v>
      </c>
      <c r="K853" s="2">
        <v>0.01</v>
      </c>
      <c r="L853" s="3">
        <f t="shared" si="39"/>
        <v>-3.8928550312169082E-2</v>
      </c>
    </row>
    <row r="854" spans="4:12" ht="14.4" customHeight="1">
      <c r="D854" s="7">
        <v>43222</v>
      </c>
      <c r="E854" s="8">
        <v>6.9240000000000004</v>
      </c>
      <c r="F854" s="8">
        <f t="shared" si="40"/>
        <v>1.6307874513521083E-2</v>
      </c>
      <c r="G854" s="8" cm="1">
        <f t="array" ref="G854">SUMPRODUCT(IF(((H854-$F$4:$F$515)/$B$10)&lt;=-1,0,IF(((H854-$F$4:$F$515)/$B$10)&gt;=1,1,(15/16)*(((H854-$F$4:$F$515)/$B$10)-(2/3)*((H854-$F$4:$F$515)/$B$10)^3+(1/5)*((H854-$F$4:$F$515)/$B$10)^5+8/15))))/COUNT($F$4:$F$515)</f>
        <v>0.91722019494240892</v>
      </c>
      <c r="H854" s="9">
        <f t="shared" si="41"/>
        <v>3.0671449687831122E-2</v>
      </c>
      <c r="K854" s="7">
        <v>0.01</v>
      </c>
      <c r="L854" s="8">
        <f t="shared" si="39"/>
        <v>-3.8928550312169082E-2</v>
      </c>
    </row>
    <row r="855" spans="4:12" ht="14.4" customHeight="1">
      <c r="D855" s="2">
        <v>43223</v>
      </c>
      <c r="E855" s="3">
        <v>6.7960000000000003</v>
      </c>
      <c r="F855" s="3">
        <f t="shared" si="40"/>
        <v>-1.865943350427722E-2</v>
      </c>
      <c r="G855" s="3" cm="1">
        <f t="array" ref="G855">SUMPRODUCT(IF(((H855-$F$4:$F$515)/$B$10)&lt;=-1,0,IF(((H855-$F$4:$F$515)/$B$10)&gt;=1,1,(15/16)*(((H855-$F$4:$F$515)/$B$10)-(2/3)*((H855-$F$4:$F$515)/$B$10)^3+(1/5)*((H855-$F$4:$F$515)/$B$10)^5+8/15))))/COUNT($F$4:$F$515)</f>
        <v>0.91924793827029028</v>
      </c>
      <c r="H855" s="1">
        <f t="shared" si="41"/>
        <v>3.0971449687831124E-2</v>
      </c>
      <c r="K855" s="2">
        <v>0.01</v>
      </c>
      <c r="L855" s="3">
        <f t="shared" si="39"/>
        <v>-3.8928550312169082E-2</v>
      </c>
    </row>
    <row r="856" spans="4:12" ht="14.4" customHeight="1">
      <c r="D856" s="7">
        <v>43224</v>
      </c>
      <c r="E856" s="8">
        <v>6.8380000000000001</v>
      </c>
      <c r="F856" s="8">
        <f t="shared" si="40"/>
        <v>6.1610874074239479E-3</v>
      </c>
      <c r="G856" s="8" cm="1">
        <f t="array" ref="G856">SUMPRODUCT(IF(((H856-$F$4:$F$515)/$B$10)&lt;=-1,0,IF(((H856-$F$4:$F$515)/$B$10)&gt;=1,1,(15/16)*(((H856-$F$4:$F$515)/$B$10)-(2/3)*((H856-$F$4:$F$515)/$B$10)^3+(1/5)*((H856-$F$4:$F$515)/$B$10)^5+8/15))))/COUNT($F$4:$F$515)</f>
        <v>0.92119431006908925</v>
      </c>
      <c r="H856" s="9">
        <f t="shared" si="41"/>
        <v>3.1271449687831125E-2</v>
      </c>
      <c r="K856" s="7">
        <v>0.01</v>
      </c>
      <c r="L856" s="8">
        <f t="shared" si="39"/>
        <v>-3.8928550312169082E-2</v>
      </c>
    </row>
    <row r="857" spans="4:12" ht="14.4" customHeight="1">
      <c r="D857" s="2">
        <v>43227</v>
      </c>
      <c r="E857" s="3">
        <v>6.8639999999999999</v>
      </c>
      <c r="F857" s="3">
        <f t="shared" si="40"/>
        <v>3.7950709685515343E-3</v>
      </c>
      <c r="G857" s="3" cm="1">
        <f t="array" ref="G857">SUMPRODUCT(IF(((H857-$F$4:$F$515)/$B$10)&lt;=-1,0,IF(((H857-$F$4:$F$515)/$B$10)&gt;=1,1,(15/16)*(((H857-$F$4:$F$515)/$B$10)-(2/3)*((H857-$F$4:$F$515)/$B$10)^3+(1/5)*((H857-$F$4:$F$515)/$B$10)^5+8/15))))/COUNT($F$4:$F$515)</f>
        <v>0.92306186948581748</v>
      </c>
      <c r="H857" s="1">
        <f t="shared" si="41"/>
        <v>3.1571449687831127E-2</v>
      </c>
      <c r="K857" s="2">
        <v>0.01</v>
      </c>
      <c r="L857" s="3">
        <f t="shared" si="39"/>
        <v>-3.8928550312169082E-2</v>
      </c>
    </row>
    <row r="858" spans="4:12" ht="14.4" customHeight="1">
      <c r="D858" s="7">
        <v>43228</v>
      </c>
      <c r="E858" s="8">
        <v>6.8</v>
      </c>
      <c r="F858" s="8">
        <f t="shared" si="40"/>
        <v>-9.3677500036001594E-3</v>
      </c>
      <c r="G858" s="8" cm="1">
        <f t="array" ref="G858">SUMPRODUCT(IF(((H858-$F$4:$F$515)/$B$10)&lt;=-1,0,IF(((H858-$F$4:$F$515)/$B$10)&gt;=1,1,(15/16)*(((H858-$F$4:$F$515)/$B$10)-(2/3)*((H858-$F$4:$F$515)/$B$10)^3+(1/5)*((H858-$F$4:$F$515)/$B$10)^5+8/15))))/COUNT($F$4:$F$515)</f>
        <v>0.92485293052541939</v>
      </c>
      <c r="H858" s="9">
        <f t="shared" si="41"/>
        <v>3.1871449687831128E-2</v>
      </c>
      <c r="K858" s="7">
        <v>0.01</v>
      </c>
      <c r="L858" s="8">
        <f t="shared" si="39"/>
        <v>-3.8928550312169082E-2</v>
      </c>
    </row>
    <row r="859" spans="4:12" ht="14.4" customHeight="1">
      <c r="D859" s="2">
        <v>43229</v>
      </c>
      <c r="E859" s="3">
        <v>6.8159999999999998</v>
      </c>
      <c r="F859" s="3">
        <f t="shared" si="40"/>
        <v>2.350177344953673E-3</v>
      </c>
      <c r="G859" s="3" cm="1">
        <f t="array" ref="G859">SUMPRODUCT(IF(((H859-$F$4:$F$515)/$B$10)&lt;=-1,0,IF(((H859-$F$4:$F$515)/$B$10)&gt;=1,1,(15/16)*(((H859-$F$4:$F$515)/$B$10)-(2/3)*((H859-$F$4:$F$515)/$B$10)^3+(1/5)*((H859-$F$4:$F$515)/$B$10)^5+8/15))))/COUNT($F$4:$F$515)</f>
        <v>0.92657059181371582</v>
      </c>
      <c r="H859" s="1">
        <f t="shared" si="41"/>
        <v>3.217144968783113E-2</v>
      </c>
      <c r="K859" s="2">
        <v>0.01</v>
      </c>
      <c r="L859" s="3">
        <f t="shared" si="39"/>
        <v>-3.8928550312169082E-2</v>
      </c>
    </row>
    <row r="860" spans="4:12" ht="14.4" customHeight="1">
      <c r="D860" s="7">
        <v>43230</v>
      </c>
      <c r="E860" s="8">
        <v>6.91</v>
      </c>
      <c r="F860" s="8">
        <f t="shared" si="40"/>
        <v>1.3696848252563856E-2</v>
      </c>
      <c r="G860" s="8" cm="1">
        <f t="array" ref="G860">SUMPRODUCT(IF(((H860-$F$4:$F$515)/$B$10)&lt;=-1,0,IF(((H860-$F$4:$F$515)/$B$10)&gt;=1,1,(15/16)*(((H860-$F$4:$F$515)/$B$10)-(2/3)*((H860-$F$4:$F$515)/$B$10)^3+(1/5)*((H860-$F$4:$F$515)/$B$10)^5+8/15))))/COUNT($F$4:$F$515)</f>
        <v>0.92821801382841473</v>
      </c>
      <c r="H860" s="9">
        <f t="shared" si="41"/>
        <v>3.2471449687831132E-2</v>
      </c>
      <c r="K860" s="7">
        <v>0.01</v>
      </c>
      <c r="L860" s="8">
        <f t="shared" si="39"/>
        <v>-3.8928550312169082E-2</v>
      </c>
    </row>
    <row r="861" spans="4:12" ht="14.4" customHeight="1">
      <c r="D861" s="2">
        <v>43231</v>
      </c>
      <c r="E861" s="3">
        <v>6.94</v>
      </c>
      <c r="F861" s="3">
        <f t="shared" si="40"/>
        <v>4.3321367391347372E-3</v>
      </c>
      <c r="G861" s="3" cm="1">
        <f t="array" ref="G861">SUMPRODUCT(IF(((H861-$F$4:$F$515)/$B$10)&lt;=-1,0,IF(((H861-$F$4:$F$515)/$B$10)&gt;=1,1,(15/16)*(((H861-$F$4:$F$515)/$B$10)-(2/3)*((H861-$F$4:$F$515)/$B$10)^3+(1/5)*((H861-$F$4:$F$515)/$B$10)^5+8/15))))/COUNT($F$4:$F$515)</f>
        <v>0.9297982333530509</v>
      </c>
      <c r="H861" s="1">
        <f t="shared" si="41"/>
        <v>3.2771449687831133E-2</v>
      </c>
      <c r="K861" s="2">
        <v>0.01</v>
      </c>
      <c r="L861" s="3">
        <f t="shared" si="39"/>
        <v>-3.8928550312169082E-2</v>
      </c>
    </row>
    <row r="862" spans="4:12" ht="14.4" customHeight="1">
      <c r="D862" s="7">
        <v>43234</v>
      </c>
      <c r="E862" s="8">
        <v>6.8719999999999999</v>
      </c>
      <c r="F862" s="8">
        <f t="shared" si="40"/>
        <v>-9.8465898367589479E-3</v>
      </c>
      <c r="G862" s="8" cm="1">
        <f t="array" ref="G862">SUMPRODUCT(IF(((H862-$F$4:$F$515)/$B$10)&lt;=-1,0,IF(((H862-$F$4:$F$515)/$B$10)&gt;=1,1,(15/16)*(((H862-$F$4:$F$515)/$B$10)-(2/3)*((H862-$F$4:$F$515)/$B$10)^3+(1/5)*((H862-$F$4:$F$515)/$B$10)^5+8/15))))/COUNT($F$4:$F$515)</f>
        <v>0.93131465422786019</v>
      </c>
      <c r="H862" s="9">
        <f t="shared" si="41"/>
        <v>3.3071449687831135E-2</v>
      </c>
      <c r="K862" s="7">
        <v>0.01</v>
      </c>
      <c r="L862" s="8">
        <f t="shared" si="39"/>
        <v>-3.8928550312169082E-2</v>
      </c>
    </row>
    <row r="863" spans="4:12" ht="14.4" customHeight="1">
      <c r="D863" s="2">
        <v>43235</v>
      </c>
      <c r="E863" s="3">
        <v>6.8819999999999997</v>
      </c>
      <c r="F863" s="3">
        <f t="shared" si="40"/>
        <v>1.4541226933343409E-3</v>
      </c>
      <c r="G863" s="3" cm="1">
        <f t="array" ref="G863">SUMPRODUCT(IF(((H863-$F$4:$F$515)/$B$10)&lt;=-1,0,IF(((H863-$F$4:$F$515)/$B$10)&gt;=1,1,(15/16)*(((H863-$F$4:$F$515)/$B$10)-(2/3)*((H863-$F$4:$F$515)/$B$10)^3+(1/5)*((H863-$F$4:$F$515)/$B$10)^5+8/15))))/COUNT($F$4:$F$515)</f>
        <v>0.93277056813964976</v>
      </c>
      <c r="H863" s="1">
        <f t="shared" si="41"/>
        <v>3.3371449687831137E-2</v>
      </c>
      <c r="K863" s="2">
        <v>0.01</v>
      </c>
      <c r="L863" s="3">
        <f t="shared" si="39"/>
        <v>-3.8928550312169082E-2</v>
      </c>
    </row>
    <row r="864" spans="4:12" ht="14.4" customHeight="1">
      <c r="D864" s="7">
        <v>43236</v>
      </c>
      <c r="E864" s="8">
        <v>6.7779999999999996</v>
      </c>
      <c r="F864" s="8">
        <f t="shared" si="40"/>
        <v>-1.5227234190429019E-2</v>
      </c>
      <c r="G864" s="8" cm="1">
        <f t="array" ref="G864">SUMPRODUCT(IF(((H864-$F$4:$F$515)/$B$10)&lt;=-1,0,IF(((H864-$F$4:$F$515)/$B$10)&gt;=1,1,(15/16)*(((H864-$F$4:$F$515)/$B$10)-(2/3)*((H864-$F$4:$F$515)/$B$10)^3+(1/5)*((H864-$F$4:$F$515)/$B$10)^5+8/15))))/COUNT($F$4:$F$515)</f>
        <v>0.93416898034973572</v>
      </c>
      <c r="H864" s="9">
        <f t="shared" si="41"/>
        <v>3.3671449687831138E-2</v>
      </c>
      <c r="K864" s="7">
        <v>0.01</v>
      </c>
      <c r="L864" s="8">
        <f t="shared" si="39"/>
        <v>-3.8928550312169082E-2</v>
      </c>
    </row>
    <row r="865" spans="4:12" ht="14.4" customHeight="1">
      <c r="D865" s="2">
        <v>43237</v>
      </c>
      <c r="E865" s="3">
        <v>6.8259999999999996</v>
      </c>
      <c r="F865" s="3">
        <f t="shared" si="40"/>
        <v>7.0567772996556971E-3</v>
      </c>
      <c r="G865" s="3" cm="1">
        <f t="array" ref="G865">SUMPRODUCT(IF(((H865-$F$4:$F$515)/$B$10)&lt;=-1,0,IF(((H865-$F$4:$F$515)/$B$10)&gt;=1,1,(15/16)*(((H865-$F$4:$F$515)/$B$10)-(2/3)*((H865-$F$4:$F$515)/$B$10)^3+(1/5)*((H865-$F$4:$F$515)/$B$10)^5+8/15))))/COUNT($F$4:$F$515)</f>
        <v>0.93551358625156822</v>
      </c>
      <c r="H865" s="1">
        <f t="shared" si="41"/>
        <v>3.397144968783114E-2</v>
      </c>
      <c r="K865" s="2">
        <v>0.01</v>
      </c>
      <c r="L865" s="3">
        <f t="shared" si="39"/>
        <v>-3.8928550312169082E-2</v>
      </c>
    </row>
    <row r="866" spans="4:12" ht="14.4" customHeight="1">
      <c r="D866" s="7">
        <v>43238</v>
      </c>
      <c r="E866" s="8">
        <v>7.0339999999999998</v>
      </c>
      <c r="F866" s="8">
        <f t="shared" si="40"/>
        <v>3.001668356727542E-2</v>
      </c>
      <c r="G866" s="8" cm="1">
        <f t="array" ref="G866">SUMPRODUCT(IF(((H866-$F$4:$F$515)/$B$10)&lt;=-1,0,IF(((H866-$F$4:$F$515)/$B$10)&gt;=1,1,(15/16)*(((H866-$F$4:$F$515)/$B$10)-(2/3)*((H866-$F$4:$F$515)/$B$10)^3+(1/5)*((H866-$F$4:$F$515)/$B$10)^5+8/15))))/COUNT($F$4:$F$515)</f>
        <v>0.93680870430338814</v>
      </c>
      <c r="H866" s="9">
        <f t="shared" si="41"/>
        <v>3.4271449687831142E-2</v>
      </c>
      <c r="K866" s="7">
        <v>0.01</v>
      </c>
      <c r="L866" s="8">
        <f t="shared" si="39"/>
        <v>-3.8928550312169082E-2</v>
      </c>
    </row>
    <row r="867" spans="4:12" ht="14.4" customHeight="1">
      <c r="D867" s="2">
        <v>43241</v>
      </c>
      <c r="E867" s="3">
        <v>7.0659999999999998</v>
      </c>
      <c r="F867" s="3">
        <f t="shared" si="40"/>
        <v>4.5390148851628025E-3</v>
      </c>
      <c r="G867" s="3" cm="1">
        <f t="array" ref="G867">SUMPRODUCT(IF(((H867-$F$4:$F$515)/$B$10)&lt;=-1,0,IF(((H867-$F$4:$F$515)/$B$10)&gt;=1,1,(15/16)*(((H867-$F$4:$F$515)/$B$10)-(2/3)*((H867-$F$4:$F$515)/$B$10)^3+(1/5)*((H867-$F$4:$F$515)/$B$10)^5+8/15))))/COUNT($F$4:$F$515)</f>
        <v>0.93805785630771965</v>
      </c>
      <c r="H867" s="1">
        <f t="shared" si="41"/>
        <v>3.4571449687831143E-2</v>
      </c>
      <c r="K867" s="2">
        <v>0.01</v>
      </c>
      <c r="L867" s="3">
        <f t="shared" si="39"/>
        <v>-3.8928550312169082E-2</v>
      </c>
    </row>
    <row r="868" spans="4:12" ht="14.4" customHeight="1">
      <c r="D868" s="7">
        <v>43242</v>
      </c>
      <c r="E868" s="8">
        <v>7.1680000000000001</v>
      </c>
      <c r="F868" s="8">
        <f t="shared" si="40"/>
        <v>1.4332126735676015E-2</v>
      </c>
      <c r="G868" s="8" cm="1">
        <f t="array" ref="G868">SUMPRODUCT(IF(((H868-$F$4:$F$515)/$B$10)&lt;=-1,0,IF(((H868-$F$4:$F$515)/$B$10)&gt;=1,1,(15/16)*(((H868-$F$4:$F$515)/$B$10)-(2/3)*((H868-$F$4:$F$515)/$B$10)^3+(1/5)*((H868-$F$4:$F$515)/$B$10)^5+8/15))))/COUNT($F$4:$F$515)</f>
        <v>0.93926380470105408</v>
      </c>
      <c r="H868" s="9">
        <f t="shared" si="41"/>
        <v>3.4871449687831145E-2</v>
      </c>
      <c r="K868" s="7">
        <v>0.01</v>
      </c>
      <c r="L868" s="8">
        <f t="shared" si="39"/>
        <v>-3.8928550312169082E-2</v>
      </c>
    </row>
    <row r="869" spans="4:12" ht="14.4" customHeight="1">
      <c r="D869" s="2">
        <v>43243</v>
      </c>
      <c r="E869" s="3">
        <v>7.0439999999999996</v>
      </c>
      <c r="F869" s="3">
        <f t="shared" si="40"/>
        <v>-1.7450485038669705E-2</v>
      </c>
      <c r="G869" s="3" cm="1">
        <f t="array" ref="G869">SUMPRODUCT(IF(((H869-$F$4:$F$515)/$B$10)&lt;=-1,0,IF(((H869-$F$4:$F$515)/$B$10)&gt;=1,1,(15/16)*(((H869-$F$4:$F$515)/$B$10)-(2/3)*((H869-$F$4:$F$515)/$B$10)^3+(1/5)*((H869-$F$4:$F$515)/$B$10)^5+8/15))))/COUNT($F$4:$F$515)</f>
        <v>0.940428251366343</v>
      </c>
      <c r="H869" s="1">
        <f t="shared" si="41"/>
        <v>3.5171449687831147E-2</v>
      </c>
      <c r="K869" s="2">
        <v>0.01</v>
      </c>
      <c r="L869" s="3">
        <f t="shared" si="39"/>
        <v>-3.8928550312169082E-2</v>
      </c>
    </row>
    <row r="870" spans="4:12" ht="14.4" customHeight="1">
      <c r="D870" s="7">
        <v>43244</v>
      </c>
      <c r="E870" s="8">
        <v>7.016</v>
      </c>
      <c r="F870" s="8">
        <f t="shared" si="40"/>
        <v>-3.9829355640776821E-3</v>
      </c>
      <c r="G870" s="8" cm="1">
        <f t="array" ref="G870">SUMPRODUCT(IF(((H870-$F$4:$F$515)/$B$10)&lt;=-1,0,IF(((H870-$F$4:$F$515)/$B$10)&gt;=1,1,(15/16)*(((H870-$F$4:$F$515)/$B$10)-(2/3)*((H870-$F$4:$F$515)/$B$10)^3+(1/5)*((H870-$F$4:$F$515)/$B$10)^5+8/15))))/COUNT($F$4:$F$515)</f>
        <v>0.94155260954807873</v>
      </c>
      <c r="H870" s="9">
        <f t="shared" si="41"/>
        <v>3.5471449687831148E-2</v>
      </c>
      <c r="K870" s="7">
        <v>0.01</v>
      </c>
      <c r="L870" s="8">
        <f t="shared" si="39"/>
        <v>-3.8928550312169082E-2</v>
      </c>
    </row>
    <row r="871" spans="4:12" ht="14.4" customHeight="1">
      <c r="D871" s="2">
        <v>43245</v>
      </c>
      <c r="E871" s="3">
        <v>6.95</v>
      </c>
      <c r="F871" s="3">
        <f t="shared" si="40"/>
        <v>-9.4515954931811141E-3</v>
      </c>
      <c r="G871" s="3" cm="1">
        <f t="array" ref="G871">SUMPRODUCT(IF(((H871-$F$4:$F$515)/$B$10)&lt;=-1,0,IF(((H871-$F$4:$F$515)/$B$10)&gt;=1,1,(15/16)*(((H871-$F$4:$F$515)/$B$10)-(2/3)*((H871-$F$4:$F$515)/$B$10)^3+(1/5)*((H871-$F$4:$F$515)/$B$10)^5+8/15))))/COUNT($F$4:$F$515)</f>
        <v>0.94263899365727422</v>
      </c>
      <c r="H871" s="1">
        <f t="shared" si="41"/>
        <v>3.577144968783115E-2</v>
      </c>
      <c r="K871" s="2">
        <v>0.01</v>
      </c>
      <c r="L871" s="3">
        <f t="shared" si="39"/>
        <v>-3.8928550312169082E-2</v>
      </c>
    </row>
    <row r="872" spans="4:12" ht="14.4" customHeight="1">
      <c r="D872" s="7">
        <v>43248</v>
      </c>
      <c r="E872" s="8">
        <v>6.5640000000000001</v>
      </c>
      <c r="F872" s="8">
        <f t="shared" si="40"/>
        <v>-5.7141486348856373E-2</v>
      </c>
      <c r="G872" s="8" cm="1">
        <f t="array" ref="G872">SUMPRODUCT(IF(((H872-$F$4:$F$515)/$B$10)&lt;=-1,0,IF(((H872-$F$4:$F$515)/$B$10)&gt;=1,1,(15/16)*(((H872-$F$4:$F$515)/$B$10)-(2/3)*((H872-$F$4:$F$515)/$B$10)^3+(1/5)*((H872-$F$4:$F$515)/$B$10)^5+8/15))))/COUNT($F$4:$F$515)</f>
        <v>0.94369113226519297</v>
      </c>
      <c r="H872" s="9">
        <f t="shared" si="41"/>
        <v>3.6071449687831152E-2</v>
      </c>
      <c r="K872" s="7">
        <v>0.01</v>
      </c>
      <c r="L872" s="8">
        <f t="shared" si="39"/>
        <v>-3.8928550312169082E-2</v>
      </c>
    </row>
    <row r="873" spans="4:12" ht="14.4" customHeight="1">
      <c r="D873" s="2">
        <v>43249</v>
      </c>
      <c r="E873" s="3">
        <v>6.25</v>
      </c>
      <c r="F873" s="3">
        <f t="shared" si="40"/>
        <v>-4.9018709479534392E-2</v>
      </c>
      <c r="G873" s="3" cm="1">
        <f t="array" ref="G873">SUMPRODUCT(IF(((H873-$F$4:$F$515)/$B$10)&lt;=-1,0,IF(((H873-$F$4:$F$515)/$B$10)&gt;=1,1,(15/16)*(((H873-$F$4:$F$515)/$B$10)-(2/3)*((H873-$F$4:$F$515)/$B$10)^3+(1/5)*((H873-$F$4:$F$515)/$B$10)^5+8/15))))/COUNT($F$4:$F$515)</f>
        <v>0.94471407203194824</v>
      </c>
      <c r="H873" s="1">
        <f t="shared" si="41"/>
        <v>3.6371449687831153E-2</v>
      </c>
      <c r="K873" s="2">
        <v>0.01</v>
      </c>
      <c r="L873" s="3">
        <f t="shared" si="39"/>
        <v>-3.8928550312169082E-2</v>
      </c>
    </row>
    <row r="874" spans="4:12" ht="14.4" customHeight="1">
      <c r="D874" s="7">
        <v>43250</v>
      </c>
      <c r="E874" s="8">
        <v>6.26</v>
      </c>
      <c r="F874" s="8">
        <f t="shared" si="40"/>
        <v>1.5987213636970735E-3</v>
      </c>
      <c r="G874" s="8" cm="1">
        <f t="array" ref="G874">SUMPRODUCT(IF(((H874-$F$4:$F$515)/$B$10)&lt;=-1,0,IF(((H874-$F$4:$F$515)/$B$10)&gt;=1,1,(15/16)*(((H874-$F$4:$F$515)/$B$10)-(2/3)*((H874-$F$4:$F$515)/$B$10)^3+(1/5)*((H874-$F$4:$F$515)/$B$10)^5+8/15))))/COUNT($F$4:$F$515)</f>
        <v>0.9457131594543795</v>
      </c>
      <c r="H874" s="9">
        <f t="shared" si="41"/>
        <v>3.6671449687831155E-2</v>
      </c>
      <c r="K874" s="7">
        <v>0.01</v>
      </c>
      <c r="L874" s="8">
        <f t="shared" si="39"/>
        <v>-3.8928550312169082E-2</v>
      </c>
    </row>
    <row r="875" spans="4:12" ht="14.4" customHeight="1">
      <c r="D875" s="2">
        <v>43251</v>
      </c>
      <c r="E875" s="3">
        <v>6.1980000000000004</v>
      </c>
      <c r="F875" s="3">
        <f t="shared" si="40"/>
        <v>-9.9535257464505346E-3</v>
      </c>
      <c r="G875" s="3" cm="1">
        <f t="array" ref="G875">SUMPRODUCT(IF(((H875-$F$4:$F$515)/$B$10)&lt;=-1,0,IF(((H875-$F$4:$F$515)/$B$10)&gt;=1,1,(15/16)*(((H875-$F$4:$F$515)/$B$10)-(2/3)*((H875-$F$4:$F$515)/$B$10)^3+(1/5)*((H875-$F$4:$F$515)/$B$10)^5+8/15))))/COUNT($F$4:$F$515)</f>
        <v>0.94669440374546876</v>
      </c>
      <c r="H875" s="1">
        <f t="shared" si="41"/>
        <v>3.6971449687831157E-2</v>
      </c>
      <c r="K875" s="2">
        <v>0.01</v>
      </c>
      <c r="L875" s="3">
        <f t="shared" si="39"/>
        <v>-3.8928550312169082E-2</v>
      </c>
    </row>
    <row r="876" spans="4:12" ht="14.4" customHeight="1">
      <c r="D876" s="7">
        <v>43252</v>
      </c>
      <c r="E876" s="8">
        <v>6.29</v>
      </c>
      <c r="F876" s="8">
        <f t="shared" si="40"/>
        <v>1.4734411346792584E-2</v>
      </c>
      <c r="G876" s="8" cm="1">
        <f t="array" ref="G876">SUMPRODUCT(IF(((H876-$F$4:$F$515)/$B$10)&lt;=-1,0,IF(((H876-$F$4:$F$515)/$B$10)&gt;=1,1,(15/16)*(((H876-$F$4:$F$515)/$B$10)-(2/3)*((H876-$F$4:$F$515)/$B$10)^3+(1/5)*((H876-$F$4:$F$515)/$B$10)^5+8/15))))/COUNT($F$4:$F$515)</f>
        <v>0.94766462658111417</v>
      </c>
      <c r="H876" s="9">
        <f t="shared" si="41"/>
        <v>3.7271449687831158E-2</v>
      </c>
      <c r="K876" s="7">
        <v>0.01</v>
      </c>
      <c r="L876" s="8">
        <f t="shared" si="39"/>
        <v>-3.8928550312169082E-2</v>
      </c>
    </row>
    <row r="877" spans="4:12" ht="14.4" customHeight="1">
      <c r="D877" s="2">
        <v>43255</v>
      </c>
      <c r="E877" s="3">
        <v>6.282</v>
      </c>
      <c r="F877" s="3">
        <f t="shared" si="40"/>
        <v>-1.2726695958943336E-3</v>
      </c>
      <c r="G877" s="3" cm="1">
        <f t="array" ref="G877">SUMPRODUCT(IF(((H877-$F$4:$F$515)/$B$10)&lt;=-1,0,IF(((H877-$F$4:$F$515)/$B$10)&gt;=1,1,(15/16)*(((H877-$F$4:$F$515)/$B$10)-(2/3)*((H877-$F$4:$F$515)/$B$10)^3+(1/5)*((H877-$F$4:$F$515)/$B$10)^5+8/15))))/COUNT($F$4:$F$515)</f>
        <v>0.94862986998172516</v>
      </c>
      <c r="H877" s="1">
        <f t="shared" si="41"/>
        <v>3.757144968783116E-2</v>
      </c>
      <c r="K877" s="2">
        <v>0.01</v>
      </c>
      <c r="L877" s="3">
        <f t="shared" si="39"/>
        <v>-3.8928550312169082E-2</v>
      </c>
    </row>
    <row r="878" spans="4:12" ht="14.4" customHeight="1">
      <c r="D878" s="7">
        <v>43256</v>
      </c>
      <c r="E878" s="8">
        <v>6.2240000000000002</v>
      </c>
      <c r="F878" s="8">
        <f t="shared" si="40"/>
        <v>-9.275614240364256E-3</v>
      </c>
      <c r="G878" s="8" cm="1">
        <f t="array" ref="G878">SUMPRODUCT(IF(((H878-$F$4:$F$515)/$B$10)&lt;=-1,0,IF(((H878-$F$4:$F$515)/$B$10)&gt;=1,1,(15/16)*(((H878-$F$4:$F$515)/$B$10)-(2/3)*((H878-$F$4:$F$515)/$B$10)^3+(1/5)*((H878-$F$4:$F$515)/$B$10)^5+8/15))))/COUNT($F$4:$F$515)</f>
        <v>0.94959550962298767</v>
      </c>
      <c r="H878" s="9">
        <f t="shared" si="41"/>
        <v>3.7871449687831162E-2</v>
      </c>
      <c r="K878" s="7">
        <v>0.01</v>
      </c>
      <c r="L878" s="8">
        <f t="shared" si="39"/>
        <v>-3.8928550312169082E-2</v>
      </c>
    </row>
    <row r="879" spans="4:12" ht="14.4" customHeight="1">
      <c r="D879" s="2">
        <v>43257</v>
      </c>
      <c r="E879" s="3">
        <v>6.2619999999999996</v>
      </c>
      <c r="F879" s="3">
        <f t="shared" si="40"/>
        <v>6.0868360281233292E-3</v>
      </c>
      <c r="G879" s="3" cm="1">
        <f t="array" ref="G879">SUMPRODUCT(IF(((H879-$F$4:$F$515)/$B$10)&lt;=-1,0,IF(((H879-$F$4:$F$515)/$B$10)&gt;=1,1,(15/16)*(((H879-$F$4:$F$515)/$B$10)-(2/3)*((H879-$F$4:$F$515)/$B$10)^3+(1/5)*((H879-$F$4:$F$515)/$B$10)^5+8/15))))/COUNT($F$4:$F$515)</f>
        <v>0.95056378646334394</v>
      </c>
      <c r="H879" s="1">
        <f t="shared" si="41"/>
        <v>3.8171449687831163E-2</v>
      </c>
      <c r="K879" s="2">
        <v>0.01</v>
      </c>
      <c r="L879" s="3">
        <f t="shared" si="39"/>
        <v>-3.8928550312169082E-2</v>
      </c>
    </row>
    <row r="880" spans="4:12" ht="14.4" customHeight="1">
      <c r="D880" s="7">
        <v>43258</v>
      </c>
      <c r="E880" s="8">
        <v>6.34</v>
      </c>
      <c r="F880" s="8">
        <f t="shared" si="40"/>
        <v>1.2379145544920556E-2</v>
      </c>
      <c r="G880" s="8" cm="1">
        <f t="array" ref="G880">SUMPRODUCT(IF(((H880-$F$4:$F$515)/$B$10)&lt;=-1,0,IF(((H880-$F$4:$F$515)/$B$10)&gt;=1,1,(15/16)*(((H880-$F$4:$F$515)/$B$10)-(2/3)*((H880-$F$4:$F$515)/$B$10)^3+(1/5)*((H880-$F$4:$F$515)/$B$10)^5+8/15))))/COUNT($F$4:$F$515)</f>
        <v>0.95153378389159426</v>
      </c>
      <c r="H880" s="9">
        <f t="shared" si="41"/>
        <v>3.8471449687831165E-2</v>
      </c>
      <c r="K880" s="7">
        <v>0.01</v>
      </c>
      <c r="L880" s="8">
        <f t="shared" si="39"/>
        <v>-3.8928550312169082E-2</v>
      </c>
    </row>
    <row r="881" spans="4:12" ht="14.4" customHeight="1">
      <c r="D881" s="2">
        <v>43259</v>
      </c>
      <c r="E881" s="3">
        <v>6.28</v>
      </c>
      <c r="F881" s="3">
        <f t="shared" si="40"/>
        <v>-9.5087879690271878E-3</v>
      </c>
      <c r="G881" s="3" cm="1">
        <f t="array" ref="G881">SUMPRODUCT(IF(((H881-$F$4:$F$515)/$B$10)&lt;=-1,0,IF(((H881-$F$4:$F$515)/$B$10)&gt;=1,1,(15/16)*(((H881-$F$4:$F$515)/$B$10)-(2/3)*((H881-$F$4:$F$515)/$B$10)^3+(1/5)*((H881-$F$4:$F$515)/$B$10)^5+8/15))))/COUNT($F$4:$F$515)</f>
        <v>0.95250411244586131</v>
      </c>
      <c r="H881" s="1">
        <f t="shared" si="41"/>
        <v>3.8771449687831167E-2</v>
      </c>
      <c r="K881" s="2">
        <v>0.01</v>
      </c>
      <c r="L881" s="3">
        <f t="shared" si="39"/>
        <v>-3.8928550312169082E-2</v>
      </c>
    </row>
    <row r="882" spans="4:12" ht="14.4" customHeight="1">
      <c r="D882" s="7">
        <v>43262</v>
      </c>
      <c r="E882" s="8">
        <v>6.4459999999999997</v>
      </c>
      <c r="F882" s="8">
        <f t="shared" si="40"/>
        <v>2.608980291313874E-2</v>
      </c>
      <c r="G882" s="8" cm="1">
        <f t="array" ref="G882">SUMPRODUCT(IF(((H882-$F$4:$F$515)/$B$10)&lt;=-1,0,IF(((H882-$F$4:$F$515)/$B$10)&gt;=1,1,(15/16)*(((H882-$F$4:$F$515)/$B$10)-(2/3)*((H882-$F$4:$F$515)/$B$10)^3+(1/5)*((H882-$F$4:$F$515)/$B$10)^5+8/15))))/COUNT($F$4:$F$515)</f>
        <v>0.95347382752630838</v>
      </c>
      <c r="H882" s="9">
        <f t="shared" si="41"/>
        <v>3.9071449687831168E-2</v>
      </c>
      <c r="K882" s="7">
        <v>0.01</v>
      </c>
      <c r="L882" s="8">
        <f t="shared" si="39"/>
        <v>-3.8928550312169082E-2</v>
      </c>
    </row>
    <row r="883" spans="4:12" ht="14.4" customHeight="1">
      <c r="D883" s="2">
        <v>43263</v>
      </c>
      <c r="E883" s="3">
        <v>6.4260000000000002</v>
      </c>
      <c r="F883" s="3">
        <f t="shared" si="40"/>
        <v>-3.107522699579356E-3</v>
      </c>
      <c r="G883" s="3" cm="1">
        <f t="array" ref="G883">SUMPRODUCT(IF(((H883-$F$4:$F$515)/$B$10)&lt;=-1,0,IF(((H883-$F$4:$F$515)/$B$10)&gt;=1,1,(15/16)*(((H883-$F$4:$F$515)/$B$10)-(2/3)*((H883-$F$4:$F$515)/$B$10)^3+(1/5)*((H883-$F$4:$F$515)/$B$10)^5+8/15))))/COUNT($F$4:$F$515)</f>
        <v>0.95444252032960186</v>
      </c>
      <c r="H883" s="1">
        <f t="shared" si="41"/>
        <v>3.937144968783117E-2</v>
      </c>
      <c r="K883" s="2">
        <v>0.01</v>
      </c>
      <c r="L883" s="3">
        <f t="shared" si="39"/>
        <v>-3.8928550312169082E-2</v>
      </c>
    </row>
    <row r="884" spans="4:12" ht="14.4" customHeight="1">
      <c r="D884" s="7">
        <v>43264</v>
      </c>
      <c r="E884" s="8">
        <v>6.3780000000000001</v>
      </c>
      <c r="F884" s="8">
        <f t="shared" si="40"/>
        <v>-7.4976921058008128E-3</v>
      </c>
      <c r="G884" s="8" cm="1">
        <f t="array" ref="G884">SUMPRODUCT(IF(((H884-$F$4:$F$515)/$B$10)&lt;=-1,0,IF(((H884-$F$4:$F$515)/$B$10)&gt;=1,1,(15/16)*(((H884-$F$4:$F$515)/$B$10)-(2/3)*((H884-$F$4:$F$515)/$B$10)^3+(1/5)*((H884-$F$4:$F$515)/$B$10)^5+8/15))))/COUNT($F$4:$F$515)</f>
        <v>0.95541004362125659</v>
      </c>
      <c r="H884" s="9">
        <f t="shared" si="41"/>
        <v>3.9671449687831171E-2</v>
      </c>
      <c r="K884" s="7">
        <v>0.01</v>
      </c>
      <c r="L884" s="8">
        <f t="shared" si="39"/>
        <v>-3.8928550312169082E-2</v>
      </c>
    </row>
    <row r="885" spans="4:12" ht="14.4" customHeight="1">
      <c r="D885" s="2">
        <v>43265</v>
      </c>
      <c r="E885" s="3">
        <v>6.39</v>
      </c>
      <c r="F885" s="3">
        <f t="shared" si="40"/>
        <v>1.8796998015774722E-3</v>
      </c>
      <c r="G885" s="3" cm="1">
        <f t="array" ref="G885">SUMPRODUCT(IF(((H885-$F$4:$F$515)/$B$10)&lt;=-1,0,IF(((H885-$F$4:$F$515)/$B$10)&gt;=1,1,(15/16)*(((H885-$F$4:$F$515)/$B$10)-(2/3)*((H885-$F$4:$F$515)/$B$10)^3+(1/5)*((H885-$F$4:$F$515)/$B$10)^5+8/15))))/COUNT($F$4:$F$515)</f>
        <v>0.95637529598628246</v>
      </c>
      <c r="H885" s="1">
        <f t="shared" si="41"/>
        <v>3.9971449687831173E-2</v>
      </c>
      <c r="K885" s="2">
        <v>0.01</v>
      </c>
      <c r="L885" s="3">
        <f t="shared" si="39"/>
        <v>-3.8928550312169082E-2</v>
      </c>
    </row>
    <row r="886" spans="4:12" ht="14.4" customHeight="1">
      <c r="D886" s="7">
        <v>43266</v>
      </c>
      <c r="E886" s="8">
        <v>6.2439999999999998</v>
      </c>
      <c r="F886" s="8">
        <f t="shared" si="40"/>
        <v>-2.3113265736257826E-2</v>
      </c>
      <c r="G886" s="8" cm="1">
        <f t="array" ref="G886">SUMPRODUCT(IF(((H886-$F$4:$F$515)/$B$10)&lt;=-1,0,IF(((H886-$F$4:$F$515)/$B$10)&gt;=1,1,(15/16)*(((H886-$F$4:$F$515)/$B$10)-(2/3)*((H886-$F$4:$F$515)/$B$10)^3+(1/5)*((H886-$F$4:$F$515)/$B$10)^5+8/15))))/COUNT($F$4:$F$515)</f>
        <v>0.95733645187476613</v>
      </c>
      <c r="H886" s="9">
        <f t="shared" si="41"/>
        <v>4.0271449687831175E-2</v>
      </c>
      <c r="K886" s="7">
        <v>0.01</v>
      </c>
      <c r="L886" s="8">
        <f t="shared" si="39"/>
        <v>-3.8928550312169082E-2</v>
      </c>
    </row>
    <row r="887" spans="4:12" ht="14.4" customHeight="1">
      <c r="D887" s="2">
        <v>43269</v>
      </c>
      <c r="E887" s="3">
        <v>6.1879999999999997</v>
      </c>
      <c r="F887" s="3">
        <f t="shared" si="40"/>
        <v>-9.009069942365968E-3</v>
      </c>
      <c r="G887" s="3" cm="1">
        <f t="array" ref="G887">SUMPRODUCT(IF(((H887-$F$4:$F$515)/$B$10)&lt;=-1,0,IF(((H887-$F$4:$F$515)/$B$10)&gt;=1,1,(15/16)*(((H887-$F$4:$F$515)/$B$10)-(2/3)*((H887-$F$4:$F$515)/$B$10)^3+(1/5)*((H887-$F$4:$F$515)/$B$10)^5+8/15))))/COUNT($F$4:$F$515)</f>
        <v>0.95829179888792482</v>
      </c>
      <c r="H887" s="1">
        <f t="shared" si="41"/>
        <v>4.0571449687831176E-2</v>
      </c>
      <c r="K887" s="2">
        <v>0.01</v>
      </c>
      <c r="L887" s="3">
        <f t="shared" si="39"/>
        <v>-3.8928550312169082E-2</v>
      </c>
    </row>
    <row r="888" spans="4:12" ht="14.4" customHeight="1">
      <c r="D888" s="7">
        <v>43270</v>
      </c>
      <c r="E888" s="8">
        <v>6.1580000000000004</v>
      </c>
      <c r="F888" s="8">
        <f t="shared" si="40"/>
        <v>-4.8598832085109287E-3</v>
      </c>
      <c r="G888" s="8" cm="1">
        <f t="array" ref="G888">SUMPRODUCT(IF(((H888-$F$4:$F$515)/$B$10)&lt;=-1,0,IF(((H888-$F$4:$F$515)/$B$10)&gt;=1,1,(15/16)*(((H888-$F$4:$F$515)/$B$10)-(2/3)*((H888-$F$4:$F$515)/$B$10)^3+(1/5)*((H888-$F$4:$F$515)/$B$10)^5+8/15))))/COUNT($F$4:$F$515)</f>
        <v>0.95923987282449208</v>
      </c>
      <c r="H888" s="9">
        <f t="shared" si="41"/>
        <v>4.0871449687831178E-2</v>
      </c>
      <c r="K888" s="7">
        <v>0.01</v>
      </c>
      <c r="L888" s="8">
        <f t="shared" si="39"/>
        <v>-3.8928550312169082E-2</v>
      </c>
    </row>
    <row r="889" spans="4:12" ht="14.4" customHeight="1">
      <c r="D889" s="2">
        <v>43271</v>
      </c>
      <c r="E889" s="3">
        <v>6.16</v>
      </c>
      <c r="F889" s="3">
        <f t="shared" si="40"/>
        <v>3.2472804311980047E-4</v>
      </c>
      <c r="G889" s="3" cm="1">
        <f t="array" ref="G889">SUMPRODUCT(IF(((H889-$F$4:$F$515)/$B$10)&lt;=-1,0,IF(((H889-$F$4:$F$515)/$B$10)&gt;=1,1,(15/16)*(((H889-$F$4:$F$515)/$B$10)-(2/3)*((H889-$F$4:$F$515)/$B$10)^3+(1/5)*((H889-$F$4:$F$515)/$B$10)^5+8/15))))/COUNT($F$4:$F$515)</f>
        <v>0.96017938585753548</v>
      </c>
      <c r="H889" s="1">
        <f t="shared" si="41"/>
        <v>4.117144968783118E-2</v>
      </c>
      <c r="K889" s="2">
        <v>0.01</v>
      </c>
      <c r="L889" s="3">
        <f t="shared" si="39"/>
        <v>-3.8928550312169082E-2</v>
      </c>
    </row>
    <row r="890" spans="4:12" ht="14.4" customHeight="1">
      <c r="D890" s="7">
        <v>43272</v>
      </c>
      <c r="E890" s="8">
        <v>6.0640000000000001</v>
      </c>
      <c r="F890" s="8">
        <f t="shared" si="40"/>
        <v>-1.570712920535788E-2</v>
      </c>
      <c r="G890" s="8" cm="1">
        <f t="array" ref="G890">SUMPRODUCT(IF(((H890-$F$4:$F$515)/$B$10)&lt;=-1,0,IF(((H890-$F$4:$F$515)/$B$10)&gt;=1,1,(15/16)*(((H890-$F$4:$F$515)/$B$10)-(2/3)*((H890-$F$4:$F$515)/$B$10)^3+(1/5)*((H890-$F$4:$F$515)/$B$10)^5+8/15))))/COUNT($F$4:$F$515)</f>
        <v>0.96110933784776176</v>
      </c>
      <c r="H890" s="9">
        <f t="shared" si="41"/>
        <v>4.1471449687831181E-2</v>
      </c>
      <c r="K890" s="7">
        <v>0.01</v>
      </c>
      <c r="L890" s="8">
        <f t="shared" si="39"/>
        <v>-3.8928550312169082E-2</v>
      </c>
    </row>
    <row r="891" spans="4:12" ht="14.4" customHeight="1">
      <c r="D891" s="2">
        <v>43273</v>
      </c>
      <c r="E891" s="3">
        <v>6.1079999999999997</v>
      </c>
      <c r="F891" s="3">
        <f t="shared" si="40"/>
        <v>7.2297390163153759E-3</v>
      </c>
      <c r="G891" s="3" cm="1">
        <f t="array" ref="G891">SUMPRODUCT(IF(((H891-$F$4:$F$515)/$B$10)&lt;=-1,0,IF(((H891-$F$4:$F$515)/$B$10)&gt;=1,1,(15/16)*(((H891-$F$4:$F$515)/$B$10)-(2/3)*((H891-$F$4:$F$515)/$B$10)^3+(1/5)*((H891-$F$4:$F$515)/$B$10)^5+8/15))))/COUNT($F$4:$F$515)</f>
        <v>0.96202898553999128</v>
      </c>
      <c r="H891" s="1">
        <f t="shared" si="41"/>
        <v>4.1771449687831183E-2</v>
      </c>
      <c r="K891" s="2">
        <v>0.01</v>
      </c>
      <c r="L891" s="3">
        <f t="shared" si="39"/>
        <v>-3.8928550312169082E-2</v>
      </c>
    </row>
    <row r="892" spans="4:12" ht="14.4" customHeight="1">
      <c r="D892" s="7">
        <v>43276</v>
      </c>
      <c r="E892" s="8">
        <v>6.0019999999999998</v>
      </c>
      <c r="F892" s="8">
        <f t="shared" si="40"/>
        <v>-1.750664033821064E-2</v>
      </c>
      <c r="G892" s="8" cm="1">
        <f t="array" ref="G892">SUMPRODUCT(IF(((H892-$F$4:$F$515)/$B$10)&lt;=-1,0,IF(((H892-$F$4:$F$515)/$B$10)&gt;=1,1,(15/16)*(((H892-$F$4:$F$515)/$B$10)-(2/3)*((H892-$F$4:$F$515)/$B$10)^3+(1/5)*((H892-$F$4:$F$515)/$B$10)^5+8/15))))/COUNT($F$4:$F$515)</f>
        <v>0.96293720390478987</v>
      </c>
      <c r="H892" s="9">
        <f t="shared" si="41"/>
        <v>4.2071449687831185E-2</v>
      </c>
      <c r="K892" s="7">
        <v>0.01</v>
      </c>
      <c r="L892" s="8">
        <f t="shared" si="39"/>
        <v>-3.8928550312169082E-2</v>
      </c>
    </row>
    <row r="893" spans="4:12" ht="14.4" customHeight="1">
      <c r="D893" s="2">
        <v>43277</v>
      </c>
      <c r="E893" s="3">
        <v>6.0179999999999998</v>
      </c>
      <c r="F893" s="3">
        <f t="shared" si="40"/>
        <v>2.6622311896781548E-3</v>
      </c>
      <c r="G893" s="3" cm="1">
        <f t="array" ref="G893">SUMPRODUCT(IF(((H893-$F$4:$F$515)/$B$10)&lt;=-1,0,IF(((H893-$F$4:$F$515)/$B$10)&gt;=1,1,(15/16)*(((H893-$F$4:$F$515)/$B$10)-(2/3)*((H893-$F$4:$F$515)/$B$10)^3+(1/5)*((H893-$F$4:$F$515)/$B$10)^5+8/15))))/COUNT($F$4:$F$515)</f>
        <v>0.96383268940019406</v>
      </c>
      <c r="H893" s="1">
        <f t="shared" si="41"/>
        <v>4.2371449687831186E-2</v>
      </c>
      <c r="K893" s="2">
        <v>0.01</v>
      </c>
      <c r="L893" s="3">
        <f t="shared" si="39"/>
        <v>-3.8928550312169082E-2</v>
      </c>
    </row>
    <row r="894" spans="4:12" ht="14.4" customHeight="1">
      <c r="D894" s="7">
        <v>43278</v>
      </c>
      <c r="E894" s="8">
        <v>6.0060000000000002</v>
      </c>
      <c r="F894" s="8">
        <f t="shared" si="40"/>
        <v>-1.9960086467149273E-3</v>
      </c>
      <c r="G894" s="8" cm="1">
        <f t="array" ref="G894">SUMPRODUCT(IF(((H894-$F$4:$F$515)/$B$10)&lt;=-1,0,IF(((H894-$F$4:$F$515)/$B$10)&gt;=1,1,(15/16)*(((H894-$F$4:$F$515)/$B$10)-(2/3)*((H894-$F$4:$F$515)/$B$10)^3+(1/5)*((H894-$F$4:$F$515)/$B$10)^5+8/15))))/COUNT($F$4:$F$515)</f>
        <v>0.96471487375545895</v>
      </c>
      <c r="H894" s="9">
        <f t="shared" si="41"/>
        <v>4.2671449687831188E-2</v>
      </c>
      <c r="K894" s="7">
        <v>0.01</v>
      </c>
      <c r="L894" s="8">
        <f t="shared" si="39"/>
        <v>-3.8928550312169082E-2</v>
      </c>
    </row>
    <row r="895" spans="4:12" ht="14.4" customHeight="1">
      <c r="D895" s="2">
        <v>43279</v>
      </c>
      <c r="E895" s="3">
        <v>5.98</v>
      </c>
      <c r="F895" s="3">
        <f t="shared" si="40"/>
        <v>-4.3384015985981298E-3</v>
      </c>
      <c r="G895" s="3" cm="1">
        <f t="array" ref="G895">SUMPRODUCT(IF(((H895-$F$4:$F$515)/$B$10)&lt;=-1,0,IF(((H895-$F$4:$F$515)/$B$10)&gt;=1,1,(15/16)*(((H895-$F$4:$F$515)/$B$10)-(2/3)*((H895-$F$4:$F$515)/$B$10)^3+(1/5)*((H895-$F$4:$F$515)/$B$10)^5+8/15))))/COUNT($F$4:$F$515)</f>
        <v>0.9655839654030709</v>
      </c>
      <c r="H895" s="1">
        <f t="shared" si="41"/>
        <v>4.297144968783119E-2</v>
      </c>
      <c r="K895" s="2">
        <v>0.01</v>
      </c>
      <c r="L895" s="3">
        <f t="shared" si="39"/>
        <v>-3.8928550312169082E-2</v>
      </c>
    </row>
    <row r="896" spans="4:12" ht="14.4" customHeight="1">
      <c r="D896" s="7">
        <v>43280</v>
      </c>
      <c r="E896" s="8">
        <v>6.0780000000000003</v>
      </c>
      <c r="F896" s="8">
        <f t="shared" si="40"/>
        <v>1.6255126532060883E-2</v>
      </c>
      <c r="G896" s="8" cm="1">
        <f t="array" ref="G896">SUMPRODUCT(IF(((H896-$F$4:$F$515)/$B$10)&lt;=-1,0,IF(((H896-$F$4:$F$515)/$B$10)&gt;=1,1,(15/16)*(((H896-$F$4:$F$515)/$B$10)-(2/3)*((H896-$F$4:$F$515)/$B$10)^3+(1/5)*((H896-$F$4:$F$515)/$B$10)^5+8/15))))/COUNT($F$4:$F$515)</f>
        <v>0.96644080537259236</v>
      </c>
      <c r="H896" s="9">
        <f t="shared" si="41"/>
        <v>4.3271449687831191E-2</v>
      </c>
      <c r="K896" s="7">
        <v>0.01</v>
      </c>
      <c r="L896" s="8">
        <f t="shared" si="39"/>
        <v>-3.8928550312169082E-2</v>
      </c>
    </row>
    <row r="897" spans="4:12" ht="14.4" customHeight="1">
      <c r="D897" s="2">
        <v>43283</v>
      </c>
      <c r="E897" s="3">
        <v>5.984</v>
      </c>
      <c r="F897" s="3">
        <f t="shared" si="40"/>
        <v>-1.5586453822425283E-2</v>
      </c>
      <c r="G897" s="3" cm="1">
        <f t="array" ref="G897">SUMPRODUCT(IF(((H897-$F$4:$F$515)/$B$10)&lt;=-1,0,IF(((H897-$F$4:$F$515)/$B$10)&gt;=1,1,(15/16)*(((H897-$F$4:$F$515)/$B$10)-(2/3)*((H897-$F$4:$F$515)/$B$10)^3+(1/5)*((H897-$F$4:$F$515)/$B$10)^5+8/15))))/COUNT($F$4:$F$515)</f>
        <v>0.96728697854528412</v>
      </c>
      <c r="H897" s="1">
        <f t="shared" si="41"/>
        <v>4.3571449687831193E-2</v>
      </c>
      <c r="K897" s="2">
        <v>0.01</v>
      </c>
      <c r="L897" s="3">
        <f t="shared" si="39"/>
        <v>-3.8928550312169082E-2</v>
      </c>
    </row>
    <row r="898" spans="4:12" ht="14.4" customHeight="1">
      <c r="D898" s="7">
        <v>43284</v>
      </c>
      <c r="E898" s="8">
        <v>5.98</v>
      </c>
      <c r="F898" s="8">
        <f t="shared" si="40"/>
        <v>-6.6867270963569822E-4</v>
      </c>
      <c r="G898" s="8" cm="1">
        <f t="array" ref="G898">SUMPRODUCT(IF(((H898-$F$4:$F$515)/$B$10)&lt;=-1,0,IF(((H898-$F$4:$F$515)/$B$10)&gt;=1,1,(15/16)*(((H898-$F$4:$F$515)/$B$10)-(2/3)*((H898-$F$4:$F$515)/$B$10)^3+(1/5)*((H898-$F$4:$F$515)/$B$10)^5+8/15))))/COUNT($F$4:$F$515)</f>
        <v>0.96812371880625625</v>
      </c>
      <c r="H898" s="9">
        <f t="shared" si="41"/>
        <v>4.3871449687831195E-2</v>
      </c>
      <c r="K898" s="7">
        <v>0.01</v>
      </c>
      <c r="L898" s="8">
        <f t="shared" si="39"/>
        <v>-3.8928550312169082E-2</v>
      </c>
    </row>
    <row r="899" spans="4:12" ht="14.4" customHeight="1">
      <c r="D899" s="2">
        <v>43285</v>
      </c>
      <c r="E899" s="3">
        <v>6.0039999999999996</v>
      </c>
      <c r="F899" s="3">
        <f t="shared" si="40"/>
        <v>4.0053458086750614E-3</v>
      </c>
      <c r="G899" s="3" cm="1">
        <f t="array" ref="G899">SUMPRODUCT(IF(((H899-$F$4:$F$515)/$B$10)&lt;=-1,0,IF(((H899-$F$4:$F$515)/$B$10)&gt;=1,1,(15/16)*(((H899-$F$4:$F$515)/$B$10)-(2/3)*((H899-$F$4:$F$515)/$B$10)^3+(1/5)*((H899-$F$4:$F$515)/$B$10)^5+8/15))))/COUNT($F$4:$F$515)</f>
        <v>0.96895180849379636</v>
      </c>
      <c r="H899" s="1">
        <f t="shared" si="41"/>
        <v>4.4171449687831196E-2</v>
      </c>
      <c r="K899" s="2">
        <v>0.01</v>
      </c>
      <c r="L899" s="3">
        <f t="shared" si="39"/>
        <v>-3.8928550312169082E-2</v>
      </c>
    </row>
    <row r="900" spans="4:12" ht="14.4" customHeight="1">
      <c r="D900" s="7">
        <v>43286</v>
      </c>
      <c r="E900" s="8">
        <v>6.06</v>
      </c>
      <c r="F900" s="8">
        <f t="shared" si="40"/>
        <v>9.2838863100076583E-3</v>
      </c>
      <c r="G900" s="8" cm="1">
        <f t="array" ref="G900">SUMPRODUCT(IF(((H900-$F$4:$F$515)/$B$10)&lt;=-1,0,IF(((H900-$F$4:$F$515)/$B$10)&gt;=1,1,(15/16)*(((H900-$F$4:$F$515)/$B$10)-(2/3)*((H900-$F$4:$F$515)/$B$10)^3+(1/5)*((H900-$F$4:$F$515)/$B$10)^5+8/15))))/COUNT($F$4:$F$515)</f>
        <v>0.96977110983146941</v>
      </c>
      <c r="H900" s="9">
        <f t="shared" si="41"/>
        <v>4.4471449687831198E-2</v>
      </c>
      <c r="K900" s="7">
        <v>0.01</v>
      </c>
      <c r="L900" s="8">
        <f t="shared" ref="L900:L963" si="42">$B$7</f>
        <v>-3.8928550312169082E-2</v>
      </c>
    </row>
    <row r="901" spans="4:12" ht="14.4" customHeight="1">
      <c r="D901" s="2">
        <v>43287</v>
      </c>
      <c r="E901" s="3">
        <v>6.0380000000000003</v>
      </c>
      <c r="F901" s="3">
        <f t="shared" ref="F901:F964" si="43">LN(E901/E900)</f>
        <v>-3.636968796575879E-3</v>
      </c>
      <c r="G901" s="3" cm="1">
        <f t="array" ref="G901">SUMPRODUCT(IF(((H901-$F$4:$F$515)/$B$10)&lt;=-1,0,IF(((H901-$F$4:$F$515)/$B$10)&gt;=1,1,(15/16)*(((H901-$F$4:$F$515)/$B$10)-(2/3)*((H901-$F$4:$F$515)/$B$10)^3+(1/5)*((H901-$F$4:$F$515)/$B$10)^5+8/15))))/COUNT($F$4:$F$515)</f>
        <v>0.97058103712411292</v>
      </c>
      <c r="H901" s="1">
        <f t="shared" ref="H901:H964" si="44">H900+0.0003</f>
        <v>4.47714496878312E-2</v>
      </c>
      <c r="K901" s="2">
        <v>0.01</v>
      </c>
      <c r="L901" s="3">
        <f t="shared" si="42"/>
        <v>-3.8928550312169082E-2</v>
      </c>
    </row>
    <row r="902" spans="4:12" ht="14.4" customHeight="1">
      <c r="D902" s="7">
        <v>43290</v>
      </c>
      <c r="E902" s="8">
        <v>6.1059999999999999</v>
      </c>
      <c r="F902" s="8">
        <f t="shared" si="43"/>
        <v>1.1199063028039044E-2</v>
      </c>
      <c r="G902" s="8" cm="1">
        <f t="array" ref="G902">SUMPRODUCT(IF(((H902-$F$4:$F$515)/$B$10)&lt;=-1,0,IF(((H902-$F$4:$F$515)/$B$10)&gt;=1,1,(15/16)*(((H902-$F$4:$F$515)/$B$10)-(2/3)*((H902-$F$4:$F$515)/$B$10)^3+(1/5)*((H902-$F$4:$F$515)/$B$10)^5+8/15))))/COUNT($F$4:$F$515)</f>
        <v>0.97137988047146473</v>
      </c>
      <c r="H902" s="9">
        <f t="shared" si="44"/>
        <v>4.5071449687831201E-2</v>
      </c>
      <c r="K902" s="7">
        <v>0.01</v>
      </c>
      <c r="L902" s="8">
        <f t="shared" si="42"/>
        <v>-3.8928550312169082E-2</v>
      </c>
    </row>
    <row r="903" spans="4:12" ht="14.4" customHeight="1">
      <c r="D903" s="2">
        <v>43291</v>
      </c>
      <c r="E903" s="3">
        <v>6.0919999999999996</v>
      </c>
      <c r="F903" s="3">
        <f t="shared" si="43"/>
        <v>-2.2954592797707397E-3</v>
      </c>
      <c r="G903" s="3" cm="1">
        <f t="array" ref="G903">SUMPRODUCT(IF(((H903-$F$4:$F$515)/$B$10)&lt;=-1,0,IF(((H903-$F$4:$F$515)/$B$10)&gt;=1,1,(15/16)*(((H903-$F$4:$F$515)/$B$10)-(2/3)*((H903-$F$4:$F$515)/$B$10)^3+(1/5)*((H903-$F$4:$F$515)/$B$10)^5+8/15))))/COUNT($F$4:$F$515)</f>
        <v>0.97216569473032644</v>
      </c>
      <c r="H903" s="1">
        <f t="shared" si="44"/>
        <v>4.5371449687831203E-2</v>
      </c>
      <c r="K903" s="2">
        <v>0.01</v>
      </c>
      <c r="L903" s="3">
        <f t="shared" si="42"/>
        <v>-3.8928550312169082E-2</v>
      </c>
    </row>
    <row r="904" spans="4:12" ht="14.4" customHeight="1">
      <c r="D904" s="7">
        <v>43292</v>
      </c>
      <c r="E904" s="8">
        <v>6.0380000000000003</v>
      </c>
      <c r="F904" s="8">
        <f t="shared" si="43"/>
        <v>-8.9036037482682663E-3</v>
      </c>
      <c r="G904" s="8" cm="1">
        <f t="array" ref="G904">SUMPRODUCT(IF(((H904-$F$4:$F$515)/$B$10)&lt;=-1,0,IF(((H904-$F$4:$F$515)/$B$10)&gt;=1,1,(15/16)*(((H904-$F$4:$F$515)/$B$10)-(2/3)*((H904-$F$4:$F$515)/$B$10)^3+(1/5)*((H904-$F$4:$F$515)/$B$10)^5+8/15))))/COUNT($F$4:$F$515)</f>
        <v>0.97293676264971907</v>
      </c>
      <c r="H904" s="9">
        <f t="shared" si="44"/>
        <v>4.5671449687831205E-2</v>
      </c>
      <c r="K904" s="7">
        <v>0.01</v>
      </c>
      <c r="L904" s="8">
        <f t="shared" si="42"/>
        <v>-3.8928550312169082E-2</v>
      </c>
    </row>
    <row r="905" spans="4:12" ht="14.4" customHeight="1">
      <c r="D905" s="2">
        <v>43293</v>
      </c>
      <c r="E905" s="3">
        <v>6.05</v>
      </c>
      <c r="F905" s="3">
        <f t="shared" si="43"/>
        <v>1.9854407581029569E-3</v>
      </c>
      <c r="G905" s="3" cm="1">
        <f t="array" ref="G905">SUMPRODUCT(IF(((H905-$F$4:$F$515)/$B$10)&lt;=-1,0,IF(((H905-$F$4:$F$515)/$B$10)&gt;=1,1,(15/16)*(((H905-$F$4:$F$515)/$B$10)-(2/3)*((H905-$F$4:$F$515)/$B$10)^3+(1/5)*((H905-$F$4:$F$515)/$B$10)^5+8/15))))/COUNT($F$4:$F$515)</f>
        <v>0.97369168594260258</v>
      </c>
      <c r="H905" s="1">
        <f t="shared" si="44"/>
        <v>4.5971449687831206E-2</v>
      </c>
      <c r="K905" s="2">
        <v>0.01</v>
      </c>
      <c r="L905" s="3">
        <f t="shared" si="42"/>
        <v>-3.8928550312169082E-2</v>
      </c>
    </row>
    <row r="906" spans="4:12" ht="14.4" customHeight="1">
      <c r="D906" s="7">
        <v>43294</v>
      </c>
      <c r="E906" s="8">
        <v>6.03</v>
      </c>
      <c r="F906" s="8">
        <f t="shared" si="43"/>
        <v>-3.3112613036559201E-3</v>
      </c>
      <c r="G906" s="8" cm="1">
        <f t="array" ref="G906">SUMPRODUCT(IF(((H906-$F$4:$F$515)/$B$10)&lt;=-1,0,IF(((H906-$F$4:$F$515)/$B$10)&gt;=1,1,(15/16)*(((H906-$F$4:$F$515)/$B$10)-(2/3)*((H906-$F$4:$F$515)/$B$10)^3+(1/5)*((H906-$F$4:$F$515)/$B$10)^5+8/15))))/COUNT($F$4:$F$515)</f>
        <v>0.97442947549593528</v>
      </c>
      <c r="H906" s="9">
        <f t="shared" si="44"/>
        <v>4.6271449687831208E-2</v>
      </c>
      <c r="K906" s="7">
        <v>0.01</v>
      </c>
      <c r="L906" s="8">
        <f t="shared" si="42"/>
        <v>-3.8928550312169082E-2</v>
      </c>
    </row>
    <row r="907" spans="4:12" ht="14.4" customHeight="1">
      <c r="D907" s="2">
        <v>43297</v>
      </c>
      <c r="E907" s="3">
        <v>6</v>
      </c>
      <c r="F907" s="3">
        <f t="shared" si="43"/>
        <v>-4.9875415110391622E-3</v>
      </c>
      <c r="G907" s="3" cm="1">
        <f t="array" ref="G907">SUMPRODUCT(IF(((H907-$F$4:$F$515)/$B$10)&lt;=-1,0,IF(((H907-$F$4:$F$515)/$B$10)&gt;=1,1,(15/16)*(((H907-$F$4:$F$515)/$B$10)-(2/3)*((H907-$F$4:$F$515)/$B$10)^3+(1/5)*((H907-$F$4:$F$515)/$B$10)^5+8/15))))/COUNT($F$4:$F$515)</f>
        <v>0.975149747831354</v>
      </c>
      <c r="H907" s="1">
        <f t="shared" si="44"/>
        <v>4.657144968783121E-2</v>
      </c>
      <c r="K907" s="2">
        <v>0.01</v>
      </c>
      <c r="L907" s="3">
        <f t="shared" si="42"/>
        <v>-3.8928550312169082E-2</v>
      </c>
    </row>
    <row r="908" spans="4:12" ht="14.4" customHeight="1">
      <c r="D908" s="7">
        <v>43298</v>
      </c>
      <c r="E908" s="8">
        <v>5.9560000000000004</v>
      </c>
      <c r="F908" s="8">
        <f t="shared" si="43"/>
        <v>-7.3603544062924185E-3</v>
      </c>
      <c r="G908" s="8" cm="1">
        <f t="array" ref="G908">SUMPRODUCT(IF(((H908-$F$4:$F$515)/$B$10)&lt;=-1,0,IF(((H908-$F$4:$F$515)/$B$10)&gt;=1,1,(15/16)*(((H908-$F$4:$F$515)/$B$10)-(2/3)*((H908-$F$4:$F$515)/$B$10)^3+(1/5)*((H908-$F$4:$F$515)/$B$10)^5+8/15))))/COUNT($F$4:$F$515)</f>
        <v>0.9758529952343844</v>
      </c>
      <c r="H908" s="9">
        <f t="shared" si="44"/>
        <v>4.6871449687831211E-2</v>
      </c>
      <c r="K908" s="7">
        <v>0.01</v>
      </c>
      <c r="L908" s="8">
        <f t="shared" si="42"/>
        <v>-3.8928550312169082E-2</v>
      </c>
    </row>
    <row r="909" spans="4:12" ht="14.4" customHeight="1">
      <c r="D909" s="2">
        <v>43299</v>
      </c>
      <c r="E909" s="3">
        <v>5.97</v>
      </c>
      <c r="F909" s="3">
        <f t="shared" si="43"/>
        <v>2.3478125827479735E-3</v>
      </c>
      <c r="G909" s="3" cm="1">
        <f t="array" ref="G909">SUMPRODUCT(IF(((H909-$F$4:$F$515)/$B$10)&lt;=-1,0,IF(((H909-$F$4:$F$515)/$B$10)&gt;=1,1,(15/16)*(((H909-$F$4:$F$515)/$B$10)-(2/3)*((H909-$F$4:$F$515)/$B$10)^3+(1/5)*((H909-$F$4:$F$515)/$B$10)^5+8/15))))/COUNT($F$4:$F$515)</f>
        <v>0.97653981589828798</v>
      </c>
      <c r="H909" s="1">
        <f t="shared" si="44"/>
        <v>4.7171449687831213E-2</v>
      </c>
      <c r="K909" s="2">
        <v>0.01</v>
      </c>
      <c r="L909" s="3">
        <f t="shared" si="42"/>
        <v>-3.8928550312169082E-2</v>
      </c>
    </row>
    <row r="910" spans="4:12" ht="14.4" customHeight="1">
      <c r="D910" s="7">
        <v>43300</v>
      </c>
      <c r="E910" s="8">
        <v>5.9619999999999997</v>
      </c>
      <c r="F910" s="8">
        <f t="shared" si="43"/>
        <v>-1.3409321486310528E-3</v>
      </c>
      <c r="G910" s="8" cm="1">
        <f t="array" ref="G910">SUMPRODUCT(IF(((H910-$F$4:$F$515)/$B$10)&lt;=-1,0,IF(((H910-$F$4:$F$515)/$B$10)&gt;=1,1,(15/16)*(((H910-$F$4:$F$515)/$B$10)-(2/3)*((H910-$F$4:$F$515)/$B$10)^3+(1/5)*((H910-$F$4:$F$515)/$B$10)^5+8/15))))/COUNT($F$4:$F$515)</f>
        <v>0.97721066229434506</v>
      </c>
      <c r="H910" s="9">
        <f t="shared" si="44"/>
        <v>4.7471449687831214E-2</v>
      </c>
      <c r="K910" s="7">
        <v>0.01</v>
      </c>
      <c r="L910" s="8">
        <f t="shared" si="42"/>
        <v>-3.8928550312169082E-2</v>
      </c>
    </row>
    <row r="911" spans="4:12" ht="14.4" customHeight="1">
      <c r="D911" s="2">
        <v>43301</v>
      </c>
      <c r="E911" s="3">
        <v>5.8920000000000003</v>
      </c>
      <c r="F911" s="3">
        <f t="shared" si="43"/>
        <v>-1.1810496655495795E-2</v>
      </c>
      <c r="G911" s="3" cm="1">
        <f t="array" ref="G911">SUMPRODUCT(IF(((H911-$F$4:$F$515)/$B$10)&lt;=-1,0,IF(((H911-$F$4:$F$515)/$B$10)&gt;=1,1,(15/16)*(((H911-$F$4:$F$515)/$B$10)-(2/3)*((H911-$F$4:$F$515)/$B$10)^3+(1/5)*((H911-$F$4:$F$515)/$B$10)^5+8/15))))/COUNT($F$4:$F$515)</f>
        <v>0.97786489112928354</v>
      </c>
      <c r="H911" s="1">
        <f t="shared" si="44"/>
        <v>4.7771449687831216E-2</v>
      </c>
      <c r="K911" s="2">
        <v>0.01</v>
      </c>
      <c r="L911" s="3">
        <f t="shared" si="42"/>
        <v>-3.8928550312169082E-2</v>
      </c>
    </row>
    <row r="912" spans="4:12" ht="14.4" customHeight="1">
      <c r="D912" s="7">
        <v>43304</v>
      </c>
      <c r="E912" s="8">
        <v>5.8659999999999997</v>
      </c>
      <c r="F912" s="8">
        <f t="shared" si="43"/>
        <v>-4.4225280451246326E-3</v>
      </c>
      <c r="G912" s="8" cm="1">
        <f t="array" ref="G912">SUMPRODUCT(IF(((H912-$F$4:$F$515)/$B$10)&lt;=-1,0,IF(((H912-$F$4:$F$515)/$B$10)&gt;=1,1,(15/16)*(((H912-$F$4:$F$515)/$B$10)-(2/3)*((H912-$F$4:$F$515)/$B$10)^3+(1/5)*((H912-$F$4:$F$515)/$B$10)^5+8/15))))/COUNT($F$4:$F$515)</f>
        <v>0.97850179294427808</v>
      </c>
      <c r="H912" s="9">
        <f t="shared" si="44"/>
        <v>4.8071449687831218E-2</v>
      </c>
      <c r="K912" s="7">
        <v>0.01</v>
      </c>
      <c r="L912" s="8">
        <f t="shared" si="42"/>
        <v>-3.8928550312169082E-2</v>
      </c>
    </row>
    <row r="913" spans="4:12" ht="14.4" customHeight="1">
      <c r="D913" s="2">
        <v>43305</v>
      </c>
      <c r="E913" s="3">
        <v>6.0359999999999996</v>
      </c>
      <c r="F913" s="3">
        <f t="shared" si="43"/>
        <v>2.8568570350343245E-2</v>
      </c>
      <c r="G913" s="3" cm="1">
        <f t="array" ref="G913">SUMPRODUCT(IF(((H913-$F$4:$F$515)/$B$10)&lt;=-1,0,IF(((H913-$F$4:$F$515)/$B$10)&gt;=1,1,(15/16)*(((H913-$F$4:$F$515)/$B$10)-(2/3)*((H913-$F$4:$F$515)/$B$10)^3+(1/5)*((H913-$F$4:$F$515)/$B$10)^5+8/15))))/COUNT($F$4:$F$515)</f>
        <v>0.9791209460253063</v>
      </c>
      <c r="H913" s="1">
        <f t="shared" si="44"/>
        <v>4.8371449687831219E-2</v>
      </c>
      <c r="K913" s="2">
        <v>0.01</v>
      </c>
      <c r="L913" s="3">
        <f t="shared" si="42"/>
        <v>-3.8928550312169082E-2</v>
      </c>
    </row>
    <row r="914" spans="4:12" ht="14.4" customHeight="1">
      <c r="D914" s="7">
        <v>43306</v>
      </c>
      <c r="E914" s="8">
        <v>6</v>
      </c>
      <c r="F914" s="8">
        <f t="shared" si="43"/>
        <v>-5.982071677547429E-3</v>
      </c>
      <c r="G914" s="8" cm="1">
        <f t="array" ref="G914">SUMPRODUCT(IF(((H914-$F$4:$F$515)/$B$10)&lt;=-1,0,IF(((H914-$F$4:$F$515)/$B$10)&gt;=1,1,(15/16)*(((H914-$F$4:$F$515)/$B$10)-(2/3)*((H914-$F$4:$F$515)/$B$10)^3+(1/5)*((H914-$F$4:$F$515)/$B$10)^5+8/15))))/COUNT($F$4:$F$515)</f>
        <v>0.97972229658987242</v>
      </c>
      <c r="H914" s="9">
        <f t="shared" si="44"/>
        <v>4.8671449687831221E-2</v>
      </c>
      <c r="K914" s="7">
        <v>0.01</v>
      </c>
      <c r="L914" s="8">
        <f t="shared" si="42"/>
        <v>-3.8928550312169082E-2</v>
      </c>
    </row>
    <row r="915" spans="4:12" ht="14.4" customHeight="1">
      <c r="D915" s="2">
        <v>43307</v>
      </c>
      <c r="E915" s="3">
        <v>5.9779999999999998</v>
      </c>
      <c r="F915" s="3">
        <f t="shared" si="43"/>
        <v>-3.6734053663089248E-3</v>
      </c>
      <c r="G915" s="3" cm="1">
        <f t="array" ref="G915">SUMPRODUCT(IF(((H915-$F$4:$F$515)/$B$10)&lt;=-1,0,IF(((H915-$F$4:$F$515)/$B$10)&gt;=1,1,(15/16)*(((H915-$F$4:$F$515)/$B$10)-(2/3)*((H915-$F$4:$F$515)/$B$10)^3+(1/5)*((H915-$F$4:$F$515)/$B$10)^5+8/15))))/COUNT($F$4:$F$515)</f>
        <v>0.98030623897372549</v>
      </c>
      <c r="H915" s="1">
        <f t="shared" si="44"/>
        <v>4.8971449687831223E-2</v>
      </c>
      <c r="K915" s="2">
        <v>0.01</v>
      </c>
      <c r="L915" s="3">
        <f t="shared" si="42"/>
        <v>-3.8928550312169082E-2</v>
      </c>
    </row>
    <row r="916" spans="4:12" ht="14.4" customHeight="1">
      <c r="D916" s="7">
        <v>43308</v>
      </c>
      <c r="E916" s="8">
        <v>6.0339999999999998</v>
      </c>
      <c r="F916" s="8">
        <f t="shared" si="43"/>
        <v>9.3240768751232436E-3</v>
      </c>
      <c r="G916" s="8" cm="1">
        <f t="array" ref="G916">SUMPRODUCT(IF(((H916-$F$4:$F$515)/$B$10)&lt;=-1,0,IF(((H916-$F$4:$F$515)/$B$10)&gt;=1,1,(15/16)*(((H916-$F$4:$F$515)/$B$10)-(2/3)*((H916-$F$4:$F$515)/$B$10)^3+(1/5)*((H916-$F$4:$F$515)/$B$10)^5+8/15))))/COUNT($F$4:$F$515)</f>
        <v>0.98087367522393676</v>
      </c>
      <c r="H916" s="9">
        <f t="shared" si="44"/>
        <v>4.9271449687831224E-2</v>
      </c>
      <c r="K916" s="7">
        <v>0.01</v>
      </c>
      <c r="L916" s="8">
        <f t="shared" si="42"/>
        <v>-3.8928550312169082E-2</v>
      </c>
    </row>
    <row r="917" spans="4:12" ht="14.4" customHeight="1">
      <c r="D917" s="2">
        <v>43311</v>
      </c>
      <c r="E917" s="3">
        <v>6.0759999999999996</v>
      </c>
      <c r="F917" s="3">
        <f t="shared" si="43"/>
        <v>6.9364439966569484E-3</v>
      </c>
      <c r="G917" s="3" cm="1">
        <f t="array" ref="G917">SUMPRODUCT(IF(((H917-$F$4:$F$515)/$B$10)&lt;=-1,0,IF(((H917-$F$4:$F$515)/$B$10)&gt;=1,1,(15/16)*(((H917-$F$4:$F$515)/$B$10)-(2/3)*((H917-$F$4:$F$515)/$B$10)^3+(1/5)*((H917-$F$4:$F$515)/$B$10)^5+8/15))))/COUNT($F$4:$F$515)</f>
        <v>0.98142561482333679</v>
      </c>
      <c r="H917" s="1">
        <f t="shared" si="44"/>
        <v>4.9571449687831226E-2</v>
      </c>
      <c r="K917" s="2">
        <v>0.01</v>
      </c>
      <c r="L917" s="3">
        <f t="shared" si="42"/>
        <v>-3.8928550312169082E-2</v>
      </c>
    </row>
    <row r="918" spans="4:12" ht="14.4" customHeight="1">
      <c r="D918" s="7">
        <v>43312</v>
      </c>
      <c r="E918" s="8">
        <v>6.15</v>
      </c>
      <c r="F918" s="8">
        <f t="shared" si="43"/>
        <v>1.2105497084900302E-2</v>
      </c>
      <c r="G918" s="8" cm="1">
        <f t="array" ref="G918">SUMPRODUCT(IF(((H918-$F$4:$F$515)/$B$10)&lt;=-1,0,IF(((H918-$F$4:$F$515)/$B$10)&gt;=1,1,(15/16)*(((H918-$F$4:$F$515)/$B$10)-(2/3)*((H918-$F$4:$F$515)/$B$10)^3+(1/5)*((H918-$F$4:$F$515)/$B$10)^5+8/15))))/COUNT($F$4:$F$515)</f>
        <v>0.98196315459073413</v>
      </c>
      <c r="H918" s="9">
        <f t="shared" si="44"/>
        <v>4.9871449687831228E-2</v>
      </c>
      <c r="K918" s="7">
        <v>0.01</v>
      </c>
      <c r="L918" s="8">
        <f t="shared" si="42"/>
        <v>-3.8928550312169082E-2</v>
      </c>
    </row>
    <row r="919" spans="4:12" ht="14.4" customHeight="1">
      <c r="D919" s="2">
        <v>43313</v>
      </c>
      <c r="E919" s="3">
        <v>6.0780000000000003</v>
      </c>
      <c r="F919" s="3">
        <f t="shared" si="43"/>
        <v>-1.1776387323825183E-2</v>
      </c>
      <c r="G919" s="3" cm="1">
        <f t="array" ref="G919">SUMPRODUCT(IF(((H919-$F$4:$F$515)/$B$10)&lt;=-1,0,IF(((H919-$F$4:$F$515)/$B$10)&gt;=1,1,(15/16)*(((H919-$F$4:$F$515)/$B$10)-(2/3)*((H919-$F$4:$F$515)/$B$10)^3+(1/5)*((H919-$F$4:$F$515)/$B$10)^5+8/15))))/COUNT($F$4:$F$515)</f>
        <v>0.98248751817809588</v>
      </c>
      <c r="H919" s="1">
        <f t="shared" si="44"/>
        <v>5.0171449687831229E-2</v>
      </c>
      <c r="K919" s="2">
        <v>0.01</v>
      </c>
      <c r="L919" s="3">
        <f t="shared" si="42"/>
        <v>-3.8928550312169082E-2</v>
      </c>
    </row>
    <row r="920" spans="4:12" ht="14.4" customHeight="1">
      <c r="D920" s="7">
        <v>43314</v>
      </c>
      <c r="E920" s="8">
        <v>6.0359999999999996</v>
      </c>
      <c r="F920" s="8">
        <f t="shared" si="43"/>
        <v>-6.9341535889989635E-3</v>
      </c>
      <c r="G920" s="8" cm="1">
        <f t="array" ref="G920">SUMPRODUCT(IF(((H920-$F$4:$F$515)/$B$10)&lt;=-1,0,IF(((H920-$F$4:$F$515)/$B$10)&gt;=1,1,(15/16)*(((H920-$F$4:$F$515)/$B$10)-(2/3)*((H920-$F$4:$F$515)/$B$10)^3+(1/5)*((H920-$F$4:$F$515)/$B$10)^5+8/15))))/COUNT($F$4:$F$515)</f>
        <v>0.9829998750386334</v>
      </c>
      <c r="H920" s="9">
        <f t="shared" si="44"/>
        <v>5.0471449687831231E-2</v>
      </c>
      <c r="K920" s="7">
        <v>0.01</v>
      </c>
      <c r="L920" s="8">
        <f t="shared" si="42"/>
        <v>-3.8928550312169082E-2</v>
      </c>
    </row>
    <row r="921" spans="4:12" ht="14.4" customHeight="1">
      <c r="D921" s="2">
        <v>43315</v>
      </c>
      <c r="E921" s="3">
        <v>6.1219999999999999</v>
      </c>
      <c r="F921" s="3">
        <f t="shared" si="43"/>
        <v>1.4147299617618424E-2</v>
      </c>
      <c r="G921" s="3" cm="1">
        <f t="array" ref="G921">SUMPRODUCT(IF(((H921-$F$4:$F$515)/$B$10)&lt;=-1,0,IF(((H921-$F$4:$F$515)/$B$10)&gt;=1,1,(15/16)*(((H921-$F$4:$F$515)/$B$10)-(2/3)*((H921-$F$4:$F$515)/$B$10)^3+(1/5)*((H921-$F$4:$F$515)/$B$10)^5+8/15))))/COUNT($F$4:$F$515)</f>
        <v>0.98350018546194307</v>
      </c>
      <c r="H921" s="1">
        <f t="shared" si="44"/>
        <v>5.0771449687831233E-2</v>
      </c>
      <c r="K921" s="2">
        <v>0.01</v>
      </c>
      <c r="L921" s="3">
        <f t="shared" si="42"/>
        <v>-3.8928550312169082E-2</v>
      </c>
    </row>
    <row r="922" spans="4:12" ht="14.4" customHeight="1">
      <c r="D922" s="7">
        <v>43318</v>
      </c>
      <c r="E922" s="8">
        <v>6.0419999999999998</v>
      </c>
      <c r="F922" s="8">
        <f t="shared" si="43"/>
        <v>-1.3153757558740542E-2</v>
      </c>
      <c r="G922" s="8" cm="1">
        <f t="array" ref="G922">SUMPRODUCT(IF(((H922-$F$4:$F$515)/$B$10)&lt;=-1,0,IF(((H922-$F$4:$F$515)/$B$10)&gt;=1,1,(15/16)*(((H922-$F$4:$F$515)/$B$10)-(2/3)*((H922-$F$4:$F$515)/$B$10)^3+(1/5)*((H922-$F$4:$F$515)/$B$10)^5+8/15))))/COUNT($F$4:$F$515)</f>
        <v>0.98398732335679273</v>
      </c>
      <c r="H922" s="9">
        <f t="shared" si="44"/>
        <v>5.1071449687831234E-2</v>
      </c>
      <c r="K922" s="7">
        <v>0.01</v>
      </c>
      <c r="L922" s="8">
        <f t="shared" si="42"/>
        <v>-3.8928550312169082E-2</v>
      </c>
    </row>
    <row r="923" spans="4:12" ht="14.4" customHeight="1">
      <c r="D923" s="2">
        <v>43319</v>
      </c>
      <c r="E923" s="3">
        <v>6.1840000000000002</v>
      </c>
      <c r="F923" s="3">
        <f t="shared" si="43"/>
        <v>2.3230228320640714E-2</v>
      </c>
      <c r="G923" s="3" cm="1">
        <f t="array" ref="G923">SUMPRODUCT(IF(((H923-$F$4:$F$515)/$B$10)&lt;=-1,0,IF(((H923-$F$4:$F$515)/$B$10)&gt;=1,1,(15/16)*(((H923-$F$4:$F$515)/$B$10)-(2/3)*((H923-$F$4:$F$515)/$B$10)^3+(1/5)*((H923-$F$4:$F$515)/$B$10)^5+8/15))))/COUNT($F$4:$F$515)</f>
        <v>0.98445989200388162</v>
      </c>
      <c r="H923" s="1">
        <f t="shared" si="44"/>
        <v>5.1371449687831236E-2</v>
      </c>
      <c r="K923" s="2">
        <v>0.01</v>
      </c>
      <c r="L923" s="3">
        <f t="shared" si="42"/>
        <v>-3.8928550312169082E-2</v>
      </c>
    </row>
    <row r="924" spans="4:12" ht="14.4" customHeight="1">
      <c r="D924" s="7">
        <v>43320</v>
      </c>
      <c r="E924" s="8">
        <v>6.1879999999999997</v>
      </c>
      <c r="F924" s="8">
        <f t="shared" si="43"/>
        <v>6.4662142569885898E-4</v>
      </c>
      <c r="G924" s="8" cm="1">
        <f t="array" ref="G924">SUMPRODUCT(IF(((H924-$F$4:$F$515)/$B$10)&lt;=-1,0,IF(((H924-$F$4:$F$515)/$B$10)&gt;=1,1,(15/16)*(((H924-$F$4:$F$515)/$B$10)-(2/3)*((H924-$F$4:$F$515)/$B$10)^3+(1/5)*((H924-$F$4:$F$515)/$B$10)^5+8/15))))/COUNT($F$4:$F$515)</f>
        <v>0.98491647199836174</v>
      </c>
      <c r="H924" s="9">
        <f t="shared" si="44"/>
        <v>5.1671449687831238E-2</v>
      </c>
      <c r="K924" s="7">
        <v>0.01</v>
      </c>
      <c r="L924" s="8">
        <f t="shared" si="42"/>
        <v>-3.8928550312169082E-2</v>
      </c>
    </row>
    <row r="925" spans="4:12" ht="14.4" customHeight="1">
      <c r="D925" s="2">
        <v>43321</v>
      </c>
      <c r="E925" s="3">
        <v>6.1580000000000004</v>
      </c>
      <c r="F925" s="3">
        <f t="shared" si="43"/>
        <v>-4.8598832085109287E-3</v>
      </c>
      <c r="G925" s="3" cm="1">
        <f t="array" ref="G925">SUMPRODUCT(IF(((H925-$F$4:$F$515)/$B$10)&lt;=-1,0,IF(((H925-$F$4:$F$515)/$B$10)&gt;=1,1,(15/16)*(((H925-$F$4:$F$515)/$B$10)-(2/3)*((H925-$F$4:$F$515)/$B$10)^3+(1/5)*((H925-$F$4:$F$515)/$B$10)^5+8/15))))/COUNT($F$4:$F$515)</f>
        <v>0.98535532370679446</v>
      </c>
      <c r="H925" s="1">
        <f t="shared" si="44"/>
        <v>5.1971449687831239E-2</v>
      </c>
      <c r="K925" s="2">
        <v>0.01</v>
      </c>
      <c r="L925" s="3">
        <f t="shared" si="42"/>
        <v>-3.8928550312169082E-2</v>
      </c>
    </row>
    <row r="926" spans="4:12" ht="14.4" customHeight="1">
      <c r="D926" s="7">
        <v>43322</v>
      </c>
      <c r="E926" s="8">
        <v>6.0179999999999998</v>
      </c>
      <c r="F926" s="8">
        <f t="shared" si="43"/>
        <v>-2.2997071294455235E-2</v>
      </c>
      <c r="G926" s="8" cm="1">
        <f t="array" ref="G926">SUMPRODUCT(IF(((H926-$F$4:$F$515)/$B$10)&lt;=-1,0,IF(((H926-$F$4:$F$515)/$B$10)&gt;=1,1,(15/16)*(((H926-$F$4:$F$515)/$B$10)-(2/3)*((H926-$F$4:$F$515)/$B$10)^3+(1/5)*((H926-$F$4:$F$515)/$B$10)^5+8/15))))/COUNT($F$4:$F$515)</f>
        <v>0.98577493572346597</v>
      </c>
      <c r="H926" s="9">
        <f t="shared" si="44"/>
        <v>5.2271449687831241E-2</v>
      </c>
      <c r="K926" s="7">
        <v>0.01</v>
      </c>
      <c r="L926" s="8">
        <f t="shared" si="42"/>
        <v>-3.8928550312169082E-2</v>
      </c>
    </row>
    <row r="927" spans="4:12" ht="14.4" customHeight="1">
      <c r="D927" s="2">
        <v>43325</v>
      </c>
      <c r="E927" s="3">
        <v>5.9139999999999997</v>
      </c>
      <c r="F927" s="3">
        <f t="shared" si="43"/>
        <v>-1.7432556777568067E-2</v>
      </c>
      <c r="G927" s="3" cm="1">
        <f t="array" ref="G927">SUMPRODUCT(IF(((H927-$F$4:$F$515)/$B$10)&lt;=-1,0,IF(((H927-$F$4:$F$515)/$B$10)&gt;=1,1,(15/16)*(((H927-$F$4:$F$515)/$B$10)-(2/3)*((H927-$F$4:$F$515)/$B$10)^3+(1/5)*((H927-$F$4:$F$515)/$B$10)^5+8/15))))/COUNT($F$4:$F$515)</f>
        <v>0.98617414511481649</v>
      </c>
      <c r="H927" s="1">
        <f t="shared" si="44"/>
        <v>5.2571449687831243E-2</v>
      </c>
      <c r="K927" s="2">
        <v>0.01</v>
      </c>
      <c r="L927" s="3">
        <f t="shared" si="42"/>
        <v>-3.8928550312169082E-2</v>
      </c>
    </row>
    <row r="928" spans="4:12" ht="14.4" customHeight="1">
      <c r="D928" s="7">
        <v>43326</v>
      </c>
      <c r="E928" s="8">
        <v>5.8920000000000003</v>
      </c>
      <c r="F928" s="8">
        <f t="shared" si="43"/>
        <v>-3.7269228299015569E-3</v>
      </c>
      <c r="G928" s="8" cm="1">
        <f t="array" ref="G928">SUMPRODUCT(IF(((H928-$F$4:$F$515)/$B$10)&lt;=-1,0,IF(((H928-$F$4:$F$515)/$B$10)&gt;=1,1,(15/16)*(((H928-$F$4:$F$515)/$B$10)-(2/3)*((H928-$F$4:$F$515)/$B$10)^3+(1/5)*((H928-$F$4:$F$515)/$B$10)^5+8/15))))/COUNT($F$4:$F$515)</f>
        <v>0.98655218252447108</v>
      </c>
      <c r="H928" s="9">
        <f t="shared" si="44"/>
        <v>5.2871449687831244E-2</v>
      </c>
      <c r="K928" s="7">
        <v>0.01</v>
      </c>
      <c r="L928" s="8">
        <f t="shared" si="42"/>
        <v>-3.8928550312169082E-2</v>
      </c>
    </row>
    <row r="929" spans="4:12" ht="14.4" customHeight="1">
      <c r="D929" s="2">
        <v>43327</v>
      </c>
      <c r="E929" s="3">
        <v>5.8179999999999996</v>
      </c>
      <c r="F929" s="3">
        <f t="shared" si="43"/>
        <v>-1.2638938527374055E-2</v>
      </c>
      <c r="G929" s="3" cm="1">
        <f t="array" ref="G929">SUMPRODUCT(IF(((H929-$F$4:$F$515)/$B$10)&lt;=-1,0,IF(((H929-$F$4:$F$515)/$B$10)&gt;=1,1,(15/16)*(((H929-$F$4:$F$515)/$B$10)-(2/3)*((H929-$F$4:$F$515)/$B$10)^3+(1/5)*((H929-$F$4:$F$515)/$B$10)^5+8/15))))/COUNT($F$4:$F$515)</f>
        <v>0.98690871727827023</v>
      </c>
      <c r="H929" s="1">
        <f t="shared" si="44"/>
        <v>5.3171449687831246E-2</v>
      </c>
      <c r="K929" s="2">
        <v>0.01</v>
      </c>
      <c r="L929" s="3">
        <f t="shared" si="42"/>
        <v>-3.8928550312169082E-2</v>
      </c>
    </row>
    <row r="930" spans="4:12" ht="14.4" customHeight="1">
      <c r="D930" s="7">
        <v>43328</v>
      </c>
      <c r="E930" s="8">
        <v>5.85</v>
      </c>
      <c r="F930" s="8">
        <f t="shared" si="43"/>
        <v>5.4851011707553032E-3</v>
      </c>
      <c r="G930" s="8" cm="1">
        <f t="array" ref="G930">SUMPRODUCT(IF(((H930-$F$4:$F$515)/$B$10)&lt;=-1,0,IF(((H930-$F$4:$F$515)/$B$10)&gt;=1,1,(15/16)*(((H930-$F$4:$F$515)/$B$10)-(2/3)*((H930-$F$4:$F$515)/$B$10)^3+(1/5)*((H930-$F$4:$F$515)/$B$10)^5+8/15))))/COUNT($F$4:$F$515)</f>
        <v>0.98724398596755436</v>
      </c>
      <c r="H930" s="9">
        <f t="shared" si="44"/>
        <v>5.3471449687831248E-2</v>
      </c>
      <c r="K930" s="7">
        <v>0.01</v>
      </c>
      <c r="L930" s="8">
        <f t="shared" si="42"/>
        <v>-3.8928550312169082E-2</v>
      </c>
    </row>
    <row r="931" spans="4:12" ht="14.4" customHeight="1">
      <c r="D931" s="2">
        <v>43329</v>
      </c>
      <c r="E931" s="3">
        <v>5.7939999999999996</v>
      </c>
      <c r="F931" s="3">
        <f t="shared" si="43"/>
        <v>-9.61876189660648E-3</v>
      </c>
      <c r="G931" s="3" cm="1">
        <f t="array" ref="G931">SUMPRODUCT(IF(((H931-$F$4:$F$515)/$B$10)&lt;=-1,0,IF(((H931-$F$4:$F$515)/$B$10)&gt;=1,1,(15/16)*(((H931-$F$4:$F$515)/$B$10)-(2/3)*((H931-$F$4:$F$515)/$B$10)^3+(1/5)*((H931-$F$4:$F$515)/$B$10)^5+8/15))))/COUNT($F$4:$F$515)</f>
        <v>0.98755892290474945</v>
      </c>
      <c r="H931" s="1">
        <f t="shared" si="44"/>
        <v>5.3771449687831249E-2</v>
      </c>
      <c r="K931" s="2">
        <v>0.01</v>
      </c>
      <c r="L931" s="3">
        <f t="shared" si="42"/>
        <v>-3.8928550312169082E-2</v>
      </c>
    </row>
    <row r="932" spans="4:12" ht="14.4" customHeight="1">
      <c r="D932" s="7">
        <v>43332</v>
      </c>
      <c r="E932" s="8">
        <v>5.86</v>
      </c>
      <c r="F932" s="8">
        <f t="shared" si="43"/>
        <v>1.1326704241762709E-2</v>
      </c>
      <c r="G932" s="8" cm="1">
        <f t="array" ref="G932">SUMPRODUCT(IF(((H932-$F$4:$F$515)/$B$10)&lt;=-1,0,IF(((H932-$F$4:$F$515)/$B$10)&gt;=1,1,(15/16)*(((H932-$F$4:$F$515)/$B$10)-(2/3)*((H932-$F$4:$F$515)/$B$10)^3+(1/5)*((H932-$F$4:$F$515)/$B$10)^5+8/15))))/COUNT($F$4:$F$515)</f>
        <v>0.98785408615359471</v>
      </c>
      <c r="H932" s="9">
        <f t="shared" si="44"/>
        <v>5.4071449687831251E-2</v>
      </c>
      <c r="K932" s="7">
        <v>0.01</v>
      </c>
      <c r="L932" s="8">
        <f t="shared" si="42"/>
        <v>-3.8928550312169082E-2</v>
      </c>
    </row>
    <row r="933" spans="4:12" ht="14.4" customHeight="1">
      <c r="D933" s="2">
        <v>43333</v>
      </c>
      <c r="E933" s="3">
        <v>5.8620000000000001</v>
      </c>
      <c r="F933" s="3">
        <f t="shared" si="43"/>
        <v>3.4123869977942467E-4</v>
      </c>
      <c r="G933" s="3" cm="1">
        <f t="array" ref="G933">SUMPRODUCT(IF(((H933-$F$4:$F$515)/$B$10)&lt;=-1,0,IF(((H933-$F$4:$F$515)/$B$10)&gt;=1,1,(15/16)*(((H933-$F$4:$F$515)/$B$10)-(2/3)*((H933-$F$4:$F$515)/$B$10)^3+(1/5)*((H933-$F$4:$F$515)/$B$10)^5+8/15))))/COUNT($F$4:$F$515)</f>
        <v>0.98812984829641781</v>
      </c>
      <c r="H933" s="1">
        <f t="shared" si="44"/>
        <v>5.4371449687831253E-2</v>
      </c>
      <c r="K933" s="2">
        <v>0.01</v>
      </c>
      <c r="L933" s="3">
        <f t="shared" si="42"/>
        <v>-3.8928550312169082E-2</v>
      </c>
    </row>
    <row r="934" spans="4:12" ht="14.4" customHeight="1">
      <c r="D934" s="7">
        <v>43334</v>
      </c>
      <c r="E934" s="8">
        <v>5.9080000000000004</v>
      </c>
      <c r="F934" s="8">
        <f t="shared" si="43"/>
        <v>7.8165223804328096E-3</v>
      </c>
      <c r="G934" s="8" cm="1">
        <f t="array" ref="G934">SUMPRODUCT(IF(((H934-$F$4:$F$515)/$B$10)&lt;=-1,0,IF(((H934-$F$4:$F$515)/$B$10)&gt;=1,1,(15/16)*(((H934-$F$4:$F$515)/$B$10)-(2/3)*((H934-$F$4:$F$515)/$B$10)^3+(1/5)*((H934-$F$4:$F$515)/$B$10)^5+8/15))))/COUNT($F$4:$F$515)</f>
        <v>0.988387438316503</v>
      </c>
      <c r="H934" s="9">
        <f t="shared" si="44"/>
        <v>5.4671449687831254E-2</v>
      </c>
      <c r="K934" s="7">
        <v>0.01</v>
      </c>
      <c r="L934" s="8">
        <f t="shared" si="42"/>
        <v>-3.8928550312169082E-2</v>
      </c>
    </row>
    <row r="935" spans="4:12" ht="14.4" customHeight="1">
      <c r="D935" s="2">
        <v>43335</v>
      </c>
      <c r="E935" s="3">
        <v>5.8879999999999999</v>
      </c>
      <c r="F935" s="3">
        <f t="shared" si="43"/>
        <v>-3.3909832425583681E-3</v>
      </c>
      <c r="G935" s="3" cm="1">
        <f t="array" ref="G935">SUMPRODUCT(IF(((H935-$F$4:$F$515)/$B$10)&lt;=-1,0,IF(((H935-$F$4:$F$515)/$B$10)&gt;=1,1,(15/16)*(((H935-$F$4:$F$515)/$B$10)-(2/3)*((H935-$F$4:$F$515)/$B$10)^3+(1/5)*((H935-$F$4:$F$515)/$B$10)^5+8/15))))/COUNT($F$4:$F$515)</f>
        <v>0.98862856824874057</v>
      </c>
      <c r="H935" s="1">
        <f t="shared" si="44"/>
        <v>5.4971449687831256E-2</v>
      </c>
      <c r="K935" s="2">
        <v>0.01</v>
      </c>
      <c r="L935" s="3">
        <f t="shared" si="42"/>
        <v>-3.8928550312169082E-2</v>
      </c>
    </row>
    <row r="936" spans="4:12" ht="14.4" customHeight="1">
      <c r="D936" s="7">
        <v>43336</v>
      </c>
      <c r="E936" s="8">
        <v>5.91</v>
      </c>
      <c r="F936" s="8">
        <f t="shared" si="43"/>
        <v>3.7294499914317255E-3</v>
      </c>
      <c r="G936" s="8" cm="1">
        <f t="array" ref="G936">SUMPRODUCT(IF(((H936-$F$4:$F$515)/$B$10)&lt;=-1,0,IF(((H936-$F$4:$F$515)/$B$10)&gt;=1,1,(15/16)*(((H936-$F$4:$F$515)/$B$10)-(2/3)*((H936-$F$4:$F$515)/$B$10)^3+(1/5)*((H936-$F$4:$F$515)/$B$10)^5+8/15))))/COUNT($F$4:$F$515)</f>
        <v>0.98885520909933833</v>
      </c>
      <c r="H936" s="9">
        <f t="shared" si="44"/>
        <v>5.5271449687831258E-2</v>
      </c>
      <c r="K936" s="7">
        <v>0.01</v>
      </c>
      <c r="L936" s="8">
        <f t="shared" si="42"/>
        <v>-3.8928550312169082E-2</v>
      </c>
    </row>
    <row r="937" spans="4:12" ht="14.4" customHeight="1">
      <c r="D937" s="2">
        <v>43339</v>
      </c>
      <c r="E937" s="3">
        <v>5.9480000000000004</v>
      </c>
      <c r="F937" s="3">
        <f t="shared" si="43"/>
        <v>6.4091971799019537E-3</v>
      </c>
      <c r="G937" s="3" cm="1">
        <f t="array" ref="G937">SUMPRODUCT(IF(((H937-$F$4:$F$515)/$B$10)&lt;=-1,0,IF(((H937-$F$4:$F$515)/$B$10)&gt;=1,1,(15/16)*(((H937-$F$4:$F$515)/$B$10)-(2/3)*((H937-$F$4:$F$515)/$B$10)^3+(1/5)*((H937-$F$4:$F$515)/$B$10)^5+8/15))))/COUNT($F$4:$F$515)</f>
        <v>0.98906966348835657</v>
      </c>
      <c r="H937" s="1">
        <f t="shared" si="44"/>
        <v>5.5571449687831259E-2</v>
      </c>
      <c r="K937" s="2">
        <v>0.01</v>
      </c>
      <c r="L937" s="3">
        <f t="shared" si="42"/>
        <v>-3.8928550312169082E-2</v>
      </c>
    </row>
    <row r="938" spans="4:12" ht="14.4" customHeight="1">
      <c r="D938" s="7">
        <v>43340</v>
      </c>
      <c r="E938" s="8">
        <v>5.93</v>
      </c>
      <c r="F938" s="8">
        <f t="shared" si="43"/>
        <v>-3.030815588274712E-3</v>
      </c>
      <c r="G938" s="8" cm="1">
        <f t="array" ref="G938">SUMPRODUCT(IF(((H938-$F$4:$F$515)/$B$10)&lt;=-1,0,IF(((H938-$F$4:$F$515)/$B$10)&gt;=1,1,(15/16)*(((H938-$F$4:$F$515)/$B$10)-(2/3)*((H938-$F$4:$F$515)/$B$10)^3+(1/5)*((H938-$F$4:$F$515)/$B$10)^5+8/15))))/COUNT($F$4:$F$515)</f>
        <v>0.98927487380199175</v>
      </c>
      <c r="H938" s="9">
        <f t="shared" si="44"/>
        <v>5.5871449687831261E-2</v>
      </c>
      <c r="K938" s="7">
        <v>0.01</v>
      </c>
      <c r="L938" s="8">
        <f t="shared" si="42"/>
        <v>-3.8928550312169082E-2</v>
      </c>
    </row>
    <row r="939" spans="4:12" ht="14.4" customHeight="1">
      <c r="D939" s="2">
        <v>43341</v>
      </c>
      <c r="E939" s="3">
        <v>5.8520000000000003</v>
      </c>
      <c r="F939" s="3">
        <f t="shared" si="43"/>
        <v>-1.3240729851756155E-2</v>
      </c>
      <c r="G939" s="3" cm="1">
        <f t="array" ref="G939">SUMPRODUCT(IF(((H939-$F$4:$F$515)/$B$10)&lt;=-1,0,IF(((H939-$F$4:$F$515)/$B$10)&gt;=1,1,(15/16)*(((H939-$F$4:$F$515)/$B$10)-(2/3)*((H939-$F$4:$F$515)/$B$10)^3+(1/5)*((H939-$F$4:$F$515)/$B$10)^5+8/15))))/COUNT($F$4:$F$515)</f>
        <v>0.98947321139326649</v>
      </c>
      <c r="H939" s="1">
        <f t="shared" si="44"/>
        <v>5.6171449687831262E-2</v>
      </c>
      <c r="K939" s="2">
        <v>0.01</v>
      </c>
      <c r="L939" s="3">
        <f t="shared" si="42"/>
        <v>-3.8928550312169082E-2</v>
      </c>
    </row>
    <row r="940" spans="4:12" ht="14.4" customHeight="1">
      <c r="D940" s="7">
        <v>43342</v>
      </c>
      <c r="E940" s="8">
        <v>5.7919999999999998</v>
      </c>
      <c r="F940" s="8">
        <f t="shared" si="43"/>
        <v>-1.030582807446272E-2</v>
      </c>
      <c r="G940" s="8" cm="1">
        <f t="array" ref="G940">SUMPRODUCT(IF(((H940-$F$4:$F$515)/$B$10)&lt;=-1,0,IF(((H940-$F$4:$F$515)/$B$10)&gt;=1,1,(15/16)*(((H940-$F$4:$F$515)/$B$10)-(2/3)*((H940-$F$4:$F$515)/$B$10)^3+(1/5)*((H940-$F$4:$F$515)/$B$10)^5+8/15))))/COUNT($F$4:$F$515)</f>
        <v>0.98966657191096319</v>
      </c>
      <c r="H940" s="9">
        <f t="shared" si="44"/>
        <v>5.6471449687831264E-2</v>
      </c>
      <c r="K940" s="7">
        <v>0.01</v>
      </c>
      <c r="L940" s="8">
        <f t="shared" si="42"/>
        <v>-3.8928550312169082E-2</v>
      </c>
    </row>
    <row r="941" spans="4:12" ht="14.4" customHeight="1">
      <c r="D941" s="2">
        <v>43343</v>
      </c>
      <c r="E941" s="3">
        <v>5.75</v>
      </c>
      <c r="F941" s="3">
        <f t="shared" si="43"/>
        <v>-7.2778002741560885E-3</v>
      </c>
      <c r="G941" s="3" cm="1">
        <f t="array" ref="G941">SUMPRODUCT(IF(((H941-$F$4:$F$515)/$B$10)&lt;=-1,0,IF(((H941-$F$4:$F$515)/$B$10)&gt;=1,1,(15/16)*(((H941-$F$4:$F$515)/$B$10)-(2/3)*((H941-$F$4:$F$515)/$B$10)^3+(1/5)*((H941-$F$4:$F$515)/$B$10)^5+8/15))))/COUNT($F$4:$F$515)</f>
        <v>0.98985695291631726</v>
      </c>
      <c r="H941" s="1">
        <f t="shared" si="44"/>
        <v>5.6771449687831266E-2</v>
      </c>
      <c r="K941" s="2">
        <v>0.01</v>
      </c>
      <c r="L941" s="3">
        <f t="shared" si="42"/>
        <v>-3.8928550312169082E-2</v>
      </c>
    </row>
    <row r="942" spans="4:12" ht="14.4" customHeight="1">
      <c r="D942" s="7">
        <v>43346</v>
      </c>
      <c r="E942" s="8">
        <v>5.7759999999999998</v>
      </c>
      <c r="F942" s="8">
        <f t="shared" si="43"/>
        <v>4.5115467812661047E-3</v>
      </c>
      <c r="G942" s="8" cm="1">
        <f t="array" ref="G942">SUMPRODUCT(IF(((H942-$F$4:$F$515)/$B$10)&lt;=-1,0,IF(((H942-$F$4:$F$515)/$B$10)&gt;=1,1,(15/16)*(((H942-$F$4:$F$515)/$B$10)-(2/3)*((H942-$F$4:$F$515)/$B$10)^3+(1/5)*((H942-$F$4:$F$515)/$B$10)^5+8/15))))/COUNT($F$4:$F$515)</f>
        <v>0.99004647182619077</v>
      </c>
      <c r="H942" s="9">
        <f t="shared" si="44"/>
        <v>5.7071449687831267E-2</v>
      </c>
      <c r="K942" s="7">
        <v>0.01</v>
      </c>
      <c r="L942" s="8">
        <f t="shared" si="42"/>
        <v>-3.8928550312169082E-2</v>
      </c>
    </row>
    <row r="943" spans="4:12" ht="14.4" customHeight="1">
      <c r="D943" s="2">
        <v>43347</v>
      </c>
      <c r="E943" s="3">
        <v>5.7859999999999996</v>
      </c>
      <c r="F943" s="3">
        <f t="shared" si="43"/>
        <v>1.7298049634182026E-3</v>
      </c>
      <c r="G943" s="3" cm="1">
        <f t="array" ref="G943">SUMPRODUCT(IF(((H943-$F$4:$F$515)/$B$10)&lt;=-1,0,IF(((H943-$F$4:$F$515)/$B$10)&gt;=1,1,(15/16)*(((H943-$F$4:$F$515)/$B$10)-(2/3)*((H943-$F$4:$F$515)/$B$10)^3+(1/5)*((H943-$F$4:$F$515)/$B$10)^5+8/15))))/COUNT($F$4:$F$515)</f>
        <v>0.99023688791415088</v>
      </c>
      <c r="H943" s="1">
        <f t="shared" si="44"/>
        <v>5.7371449687831269E-2</v>
      </c>
      <c r="K943" s="2">
        <v>0.01</v>
      </c>
      <c r="L943" s="3">
        <f t="shared" si="42"/>
        <v>-3.8928550312169082E-2</v>
      </c>
    </row>
    <row r="944" spans="4:12" ht="14.4" customHeight="1">
      <c r="D944" s="7">
        <v>43348</v>
      </c>
      <c r="E944" s="8">
        <v>5.8319999999999999</v>
      </c>
      <c r="F944" s="8">
        <f t="shared" si="43"/>
        <v>7.9187881524137096E-3</v>
      </c>
      <c r="G944" s="8" cm="1">
        <f t="array" ref="G944">SUMPRODUCT(IF(((H944-$F$4:$F$515)/$B$10)&lt;=-1,0,IF(((H944-$F$4:$F$515)/$B$10)&gt;=1,1,(15/16)*(((H944-$F$4:$F$515)/$B$10)-(2/3)*((H944-$F$4:$F$515)/$B$10)^3+(1/5)*((H944-$F$4:$F$515)/$B$10)^5+8/15))))/COUNT($F$4:$F$515)</f>
        <v>0.99042964871938977</v>
      </c>
      <c r="H944" s="9">
        <f t="shared" si="44"/>
        <v>5.7671449687831271E-2</v>
      </c>
      <c r="K944" s="7">
        <v>0.01</v>
      </c>
      <c r="L944" s="8">
        <f t="shared" si="42"/>
        <v>-3.8928550312169082E-2</v>
      </c>
    </row>
    <row r="945" spans="4:12" ht="14.4" customHeight="1">
      <c r="D945" s="2">
        <v>43349</v>
      </c>
      <c r="E945" s="3">
        <v>5.8040000000000003</v>
      </c>
      <c r="F945" s="3">
        <f t="shared" si="43"/>
        <v>-4.8126596844155706E-3</v>
      </c>
      <c r="G945" s="3" cm="1">
        <f t="array" ref="G945">SUMPRODUCT(IF(((H945-$F$4:$F$515)/$B$10)&lt;=-1,0,IF(((H945-$F$4:$F$515)/$B$10)&gt;=1,1,(15/16)*(((H945-$F$4:$F$515)/$B$10)-(2/3)*((H945-$F$4:$F$515)/$B$10)^3+(1/5)*((H945-$F$4:$F$515)/$B$10)^5+8/15))))/COUNT($F$4:$F$515)</f>
        <v>0.99062593922783315</v>
      </c>
      <c r="H945" s="1">
        <f t="shared" si="44"/>
        <v>5.7971449687831272E-2</v>
      </c>
      <c r="K945" s="2">
        <v>0.01</v>
      </c>
      <c r="L945" s="3">
        <f t="shared" si="42"/>
        <v>-3.8928550312169082E-2</v>
      </c>
    </row>
    <row r="946" spans="4:12" ht="14.4" customHeight="1">
      <c r="D946" s="7">
        <v>43350</v>
      </c>
      <c r="E946" s="8">
        <v>5.7320000000000002</v>
      </c>
      <c r="F946" s="8">
        <f t="shared" si="43"/>
        <v>-1.2482825056016059E-2</v>
      </c>
      <c r="G946" s="8" cm="1">
        <f t="array" ref="G946">SUMPRODUCT(IF(((H946-$F$4:$F$515)/$B$10)&lt;=-1,0,IF(((H946-$F$4:$F$515)/$B$10)&gt;=1,1,(15/16)*(((H946-$F$4:$F$515)/$B$10)-(2/3)*((H946-$F$4:$F$515)/$B$10)^3+(1/5)*((H946-$F$4:$F$515)/$B$10)^5+8/15))))/COUNT($F$4:$F$515)</f>
        <v>0.99082573752380343</v>
      </c>
      <c r="H946" s="9">
        <f t="shared" si="44"/>
        <v>5.8271449687831274E-2</v>
      </c>
      <c r="K946" s="7">
        <v>0.01</v>
      </c>
      <c r="L946" s="8">
        <f t="shared" si="42"/>
        <v>-3.8928550312169082E-2</v>
      </c>
    </row>
    <row r="947" spans="4:12" ht="14.4" customHeight="1">
      <c r="D947" s="2">
        <v>43353</v>
      </c>
      <c r="E947" s="3">
        <v>5.782</v>
      </c>
      <c r="F947" s="3">
        <f t="shared" si="43"/>
        <v>8.6851336282288659E-3</v>
      </c>
      <c r="G947" s="3" cm="1">
        <f t="array" ref="G947">SUMPRODUCT(IF(((H947-$F$4:$F$515)/$B$10)&lt;=-1,0,IF(((H947-$F$4:$F$515)/$B$10)&gt;=1,1,(15/16)*(((H947-$F$4:$F$515)/$B$10)-(2/3)*((H947-$F$4:$F$515)/$B$10)^3+(1/5)*((H947-$F$4:$F$515)/$B$10)^5+8/15))))/COUNT($F$4:$F$515)</f>
        <v>0.99102862541762349</v>
      </c>
      <c r="H947" s="1">
        <f t="shared" si="44"/>
        <v>5.8571449687831276E-2</v>
      </c>
      <c r="K947" s="2">
        <v>0.01</v>
      </c>
      <c r="L947" s="3">
        <f t="shared" si="42"/>
        <v>-3.8928550312169082E-2</v>
      </c>
    </row>
    <row r="948" spans="4:12" ht="14.4" customHeight="1">
      <c r="D948" s="7">
        <v>43354</v>
      </c>
      <c r="E948" s="8">
        <v>5.7939999999999996</v>
      </c>
      <c r="F948" s="8">
        <f t="shared" si="43"/>
        <v>2.0732557530042015E-3</v>
      </c>
      <c r="G948" s="8" cm="1">
        <f t="array" ref="G948">SUMPRODUCT(IF(((H948-$F$4:$F$515)/$B$10)&lt;=-1,0,IF(((H948-$F$4:$F$515)/$B$10)&gt;=1,1,(15/16)*(((H948-$F$4:$F$515)/$B$10)-(2/3)*((H948-$F$4:$F$515)/$B$10)^3+(1/5)*((H948-$F$4:$F$515)/$B$10)^5+8/15))))/COUNT($F$4:$F$515)</f>
        <v>0.99123416388418062</v>
      </c>
      <c r="H948" s="9">
        <f t="shared" si="44"/>
        <v>5.8871449687831277E-2</v>
      </c>
      <c r="K948" s="7">
        <v>0.01</v>
      </c>
      <c r="L948" s="8">
        <f t="shared" si="42"/>
        <v>-3.8928550312169082E-2</v>
      </c>
    </row>
    <row r="949" spans="4:12" ht="14.4" customHeight="1">
      <c r="D949" s="2">
        <v>43355</v>
      </c>
      <c r="E949" s="3">
        <v>5.7759999999999998</v>
      </c>
      <c r="F949" s="3">
        <f t="shared" si="43"/>
        <v>-3.1114977566334919E-3</v>
      </c>
      <c r="G949" s="3" cm="1">
        <f t="array" ref="G949">SUMPRODUCT(IF(((H949-$F$4:$F$515)/$B$10)&lt;=-1,0,IF(((H949-$F$4:$F$515)/$B$10)&gt;=1,1,(15/16)*(((H949-$F$4:$F$515)/$B$10)-(2/3)*((H949-$F$4:$F$515)/$B$10)^3+(1/5)*((H949-$F$4:$F$515)/$B$10)^5+8/15))))/COUNT($F$4:$F$515)</f>
        <v>0.99144191945884552</v>
      </c>
      <c r="H949" s="1">
        <f t="shared" si="44"/>
        <v>5.9171449687831279E-2</v>
      </c>
      <c r="K949" s="2">
        <v>0.01</v>
      </c>
      <c r="L949" s="3">
        <f t="shared" si="42"/>
        <v>-3.8928550312169082E-2</v>
      </c>
    </row>
    <row r="950" spans="4:12" ht="14.4" customHeight="1">
      <c r="D950" s="7">
        <v>43356</v>
      </c>
      <c r="E950" s="8">
        <v>5.9539999999999997</v>
      </c>
      <c r="F950" s="8">
        <f t="shared" si="43"/>
        <v>3.0351861003059546E-2</v>
      </c>
      <c r="G950" s="8" cm="1">
        <f t="array" ref="G950">SUMPRODUCT(IF(((H950-$F$4:$F$515)/$B$10)&lt;=-1,0,IF(((H950-$F$4:$F$515)/$B$10)&gt;=1,1,(15/16)*(((H950-$F$4:$F$515)/$B$10)-(2/3)*((H950-$F$4:$F$515)/$B$10)^3+(1/5)*((H950-$F$4:$F$515)/$B$10)^5+8/15))))/COUNT($F$4:$F$515)</f>
        <v>0.99165148929582236</v>
      </c>
      <c r="H950" s="9">
        <f t="shared" si="44"/>
        <v>5.9471449687831281E-2</v>
      </c>
      <c r="K950" s="7">
        <v>0.01</v>
      </c>
      <c r="L950" s="8">
        <f t="shared" si="42"/>
        <v>-3.8928550312169082E-2</v>
      </c>
    </row>
    <row r="951" spans="4:12" ht="14.4" customHeight="1">
      <c r="D951" s="2">
        <v>43357</v>
      </c>
      <c r="E951" s="3">
        <v>5.85</v>
      </c>
      <c r="F951" s="3">
        <f t="shared" si="43"/>
        <v>-1.7621601349819559E-2</v>
      </c>
      <c r="G951" s="3" cm="1">
        <f t="array" ref="G951">SUMPRODUCT(IF(((H951-$F$4:$F$515)/$B$10)&lt;=-1,0,IF(((H951-$F$4:$F$515)/$B$10)&gt;=1,1,(15/16)*(((H951-$F$4:$F$515)/$B$10)-(2/3)*((H951-$F$4:$F$515)/$B$10)^3+(1/5)*((H951-$F$4:$F$515)/$B$10)^5+8/15))))/COUNT($F$4:$F$515)</f>
        <v>0.99186252622649984</v>
      </c>
      <c r="H951" s="1">
        <f t="shared" si="44"/>
        <v>5.9771449687831282E-2</v>
      </c>
      <c r="K951" s="2">
        <v>0.01</v>
      </c>
      <c r="L951" s="3">
        <f t="shared" si="42"/>
        <v>-3.8928550312169082E-2</v>
      </c>
    </row>
    <row r="952" spans="4:12" ht="14.4" customHeight="1">
      <c r="D952" s="7">
        <v>43360</v>
      </c>
      <c r="E952" s="8">
        <v>5.8819999999999997</v>
      </c>
      <c r="F952" s="8">
        <f t="shared" si="43"/>
        <v>5.4551788880382278E-3</v>
      </c>
      <c r="G952" s="8" cm="1">
        <f t="array" ref="G952">SUMPRODUCT(IF(((H952-$F$4:$F$515)/$B$10)&lt;=-1,0,IF(((H952-$F$4:$F$515)/$B$10)&gt;=1,1,(15/16)*(((H952-$F$4:$F$515)/$B$10)-(2/3)*((H952-$F$4:$F$515)/$B$10)^3+(1/5)*((H952-$F$4:$F$515)/$B$10)^5+8/15))))/COUNT($F$4:$F$515)</f>
        <v>0.9920747638177998</v>
      </c>
      <c r="H952" s="9">
        <f t="shared" si="44"/>
        <v>6.0071449687831284E-2</v>
      </c>
      <c r="K952" s="7">
        <v>0.01</v>
      </c>
      <c r="L952" s="8">
        <f t="shared" si="42"/>
        <v>-3.8928550312169082E-2</v>
      </c>
    </row>
    <row r="953" spans="4:12" ht="14.4" customHeight="1">
      <c r="D953" s="2">
        <v>43361</v>
      </c>
      <c r="E953" s="3">
        <v>5.9740000000000002</v>
      </c>
      <c r="F953" s="3">
        <f t="shared" si="43"/>
        <v>1.5519879662114822E-2</v>
      </c>
      <c r="G953" s="3" cm="1">
        <f t="array" ref="G953">SUMPRODUCT(IF(((H953-$F$4:$F$515)/$B$10)&lt;=-1,0,IF(((H953-$F$4:$F$515)/$B$10)&gt;=1,1,(15/16)*(((H953-$F$4:$F$515)/$B$10)-(2/3)*((H953-$F$4:$F$515)/$B$10)^3+(1/5)*((H953-$F$4:$F$515)/$B$10)^5+8/15))))/COUNT($F$4:$F$515)</f>
        <v>0.99228804143052807</v>
      </c>
      <c r="H953" s="1">
        <f t="shared" si="44"/>
        <v>6.0371449687831286E-2</v>
      </c>
      <c r="K953" s="2">
        <v>0.01</v>
      </c>
      <c r="L953" s="3">
        <f t="shared" si="42"/>
        <v>-3.8928550312169082E-2</v>
      </c>
    </row>
    <row r="954" spans="4:12" ht="14.4" customHeight="1">
      <c r="D954" s="7">
        <v>43362</v>
      </c>
      <c r="E954" s="8">
        <v>6.032</v>
      </c>
      <c r="F954" s="8">
        <f t="shared" si="43"/>
        <v>9.6619109117368901E-3</v>
      </c>
      <c r="G954" s="8" cm="1">
        <f t="array" ref="G954">SUMPRODUCT(IF(((H954-$F$4:$F$515)/$B$10)&lt;=-1,0,IF(((H954-$F$4:$F$515)/$B$10)&gt;=1,1,(15/16)*(((H954-$F$4:$F$515)/$B$10)-(2/3)*((H954-$F$4:$F$515)/$B$10)^3+(1/5)*((H954-$F$4:$F$515)/$B$10)^5+8/15))))/COUNT($F$4:$F$515)</f>
        <v>0.9925023292777253</v>
      </c>
      <c r="H954" s="9">
        <f t="shared" si="44"/>
        <v>6.0671449687831287E-2</v>
      </c>
      <c r="K954" s="7">
        <v>0.01</v>
      </c>
      <c r="L954" s="8">
        <f t="shared" si="42"/>
        <v>-3.8928550312169082E-2</v>
      </c>
    </row>
    <row r="955" spans="4:12" ht="14.4" customHeight="1">
      <c r="D955" s="2">
        <v>43363</v>
      </c>
      <c r="E955" s="3">
        <v>6.0439999999999996</v>
      </c>
      <c r="F955" s="3">
        <f t="shared" si="43"/>
        <v>1.9874137048381956E-3</v>
      </c>
      <c r="G955" s="3" cm="1">
        <f t="array" ref="G955">SUMPRODUCT(IF(((H955-$F$4:$F$515)/$B$10)&lt;=-1,0,IF(((H955-$F$4:$F$515)/$B$10)&gt;=1,1,(15/16)*(((H955-$F$4:$F$515)/$B$10)-(2/3)*((H955-$F$4:$F$515)/$B$10)^3+(1/5)*((H955-$F$4:$F$515)/$B$10)^5+8/15))))/COUNT($F$4:$F$515)</f>
        <v>0.99271775348301583</v>
      </c>
      <c r="H955" s="1">
        <f t="shared" si="44"/>
        <v>6.0971449687831289E-2</v>
      </c>
      <c r="K955" s="2">
        <v>0.01</v>
      </c>
      <c r="L955" s="3">
        <f t="shared" si="42"/>
        <v>-3.8928550312169082E-2</v>
      </c>
    </row>
    <row r="956" spans="4:12" ht="14.4" customHeight="1">
      <c r="D956" s="7">
        <v>43364</v>
      </c>
      <c r="E956" s="8">
        <v>6.1139999999999999</v>
      </c>
      <c r="F956" s="8">
        <f t="shared" si="43"/>
        <v>1.1515179058149612E-2</v>
      </c>
      <c r="G956" s="8" cm="1">
        <f t="array" ref="G956">SUMPRODUCT(IF(((H956-$F$4:$F$515)/$B$10)&lt;=-1,0,IF(((H956-$F$4:$F$515)/$B$10)&gt;=1,1,(15/16)*(((H956-$F$4:$F$515)/$B$10)-(2/3)*((H956-$F$4:$F$515)/$B$10)^3+(1/5)*((H956-$F$4:$F$515)/$B$10)^5+8/15))))/COUNT($F$4:$F$515)</f>
        <v>0.9929344787821559</v>
      </c>
      <c r="H956" s="9">
        <f t="shared" si="44"/>
        <v>6.1271449687831291E-2</v>
      </c>
      <c r="K956" s="7">
        <v>0.01</v>
      </c>
      <c r="L956" s="8">
        <f t="shared" si="42"/>
        <v>-3.8928550312169082E-2</v>
      </c>
    </row>
    <row r="957" spans="4:12" ht="14.4" customHeight="1">
      <c r="D957" s="2">
        <v>43367</v>
      </c>
      <c r="E957" s="3">
        <v>6.0659999999999998</v>
      </c>
      <c r="F957" s="3">
        <f t="shared" si="43"/>
        <v>-7.8818142022533677E-3</v>
      </c>
      <c r="G957" s="3" cm="1">
        <f t="array" ref="G957">SUMPRODUCT(IF(((H957-$F$4:$F$515)/$B$10)&lt;=-1,0,IF(((H957-$F$4:$F$515)/$B$10)&gt;=1,1,(15/16)*(((H957-$F$4:$F$515)/$B$10)-(2/3)*((H957-$F$4:$F$515)/$B$10)^3+(1/5)*((H957-$F$4:$F$515)/$B$10)^5+8/15))))/COUNT($F$4:$F$515)</f>
        <v>0.9931521429471335</v>
      </c>
      <c r="H957" s="1">
        <f t="shared" si="44"/>
        <v>6.1571449687831292E-2</v>
      </c>
      <c r="K957" s="2">
        <v>0.01</v>
      </c>
      <c r="L957" s="3">
        <f t="shared" si="42"/>
        <v>-3.8928550312169082E-2</v>
      </c>
    </row>
    <row r="958" spans="4:12" ht="14.4" customHeight="1">
      <c r="D958" s="7">
        <v>43368</v>
      </c>
      <c r="E958" s="8">
        <v>6.0720000000000001</v>
      </c>
      <c r="F958" s="8">
        <f t="shared" si="43"/>
        <v>9.88630826939435E-4</v>
      </c>
      <c r="G958" s="8" cm="1">
        <f t="array" ref="G958">SUMPRODUCT(IF(((H958-$F$4:$F$515)/$B$10)&lt;=-1,0,IF(((H958-$F$4:$F$515)/$B$10)&gt;=1,1,(15/16)*(((H958-$F$4:$F$515)/$B$10)-(2/3)*((H958-$F$4:$F$515)/$B$10)^3+(1/5)*((H958-$F$4:$F$515)/$B$10)^5+8/15))))/COUNT($F$4:$F$515)</f>
        <v>0.99336984826293062</v>
      </c>
      <c r="H958" s="9">
        <f t="shared" si="44"/>
        <v>6.1871449687831294E-2</v>
      </c>
      <c r="K958" s="7">
        <v>0.01</v>
      </c>
      <c r="L958" s="8">
        <f t="shared" si="42"/>
        <v>-3.8928550312169082E-2</v>
      </c>
    </row>
    <row r="959" spans="4:12" ht="14.4" customHeight="1">
      <c r="D959" s="2">
        <v>43369</v>
      </c>
      <c r="E959" s="3">
        <v>6.0419999999999998</v>
      </c>
      <c r="F959" s="3">
        <f t="shared" si="43"/>
        <v>-4.9529571288486427E-3</v>
      </c>
      <c r="G959" s="3" cm="1">
        <f t="array" ref="G959">SUMPRODUCT(IF(((H959-$F$4:$F$515)/$B$10)&lt;=-1,0,IF(((H959-$F$4:$F$515)/$B$10)&gt;=1,1,(15/16)*(((H959-$F$4:$F$515)/$B$10)-(2/3)*((H959-$F$4:$F$515)/$B$10)^3+(1/5)*((H959-$F$4:$F$515)/$B$10)^5+8/15))))/COUNT($F$4:$F$515)</f>
        <v>0.99358619704901163</v>
      </c>
      <c r="H959" s="1">
        <f t="shared" si="44"/>
        <v>6.2171449687831296E-2</v>
      </c>
      <c r="K959" s="2">
        <v>0.01</v>
      </c>
      <c r="L959" s="3">
        <f t="shared" si="42"/>
        <v>-3.8928550312169082E-2</v>
      </c>
    </row>
    <row r="960" spans="4:12" ht="14.4" customHeight="1">
      <c r="D960" s="7">
        <v>43370</v>
      </c>
      <c r="E960" s="8">
        <v>6.0279999999999996</v>
      </c>
      <c r="F960" s="8">
        <f t="shared" si="43"/>
        <v>-2.3198022002312805E-3</v>
      </c>
      <c r="G960" s="8" cm="1">
        <f t="array" ref="G960">SUMPRODUCT(IF(((H960-$F$4:$F$515)/$B$10)&lt;=-1,0,IF(((H960-$F$4:$F$515)/$B$10)&gt;=1,1,(15/16)*(((H960-$F$4:$F$515)/$B$10)-(2/3)*((H960-$F$4:$F$515)/$B$10)^3+(1/5)*((H960-$F$4:$F$515)/$B$10)^5+8/15))))/COUNT($F$4:$F$515)</f>
        <v>0.99379977354185278</v>
      </c>
      <c r="H960" s="9">
        <f t="shared" si="44"/>
        <v>6.2471449687831297E-2</v>
      </c>
      <c r="K960" s="7">
        <v>0.01</v>
      </c>
      <c r="L960" s="8">
        <f t="shared" si="42"/>
        <v>-3.8928550312169082E-2</v>
      </c>
    </row>
    <row r="961" spans="4:12" ht="14.4" customHeight="1">
      <c r="D961" s="2">
        <v>43371</v>
      </c>
      <c r="E961" s="3">
        <v>5.8440000000000003</v>
      </c>
      <c r="F961" s="3">
        <f t="shared" si="43"/>
        <v>-3.0999786875795812E-2</v>
      </c>
      <c r="G961" s="3" cm="1">
        <f t="array" ref="G961">SUMPRODUCT(IF(((H961-$F$4:$F$515)/$B$10)&lt;=-1,0,IF(((H961-$F$4:$F$515)/$B$10)&gt;=1,1,(15/16)*(((H961-$F$4:$F$515)/$B$10)-(2/3)*((H961-$F$4:$F$515)/$B$10)^3+(1/5)*((H961-$F$4:$F$515)/$B$10)^5+8/15))))/COUNT($F$4:$F$515)</f>
        <v>0.99400919112919572</v>
      </c>
      <c r="H961" s="1">
        <f t="shared" si="44"/>
        <v>6.2771449687831299E-2</v>
      </c>
      <c r="K961" s="2">
        <v>0.01</v>
      </c>
      <c r="L961" s="3">
        <f t="shared" si="42"/>
        <v>-3.8928550312169082E-2</v>
      </c>
    </row>
    <row r="962" spans="4:12" ht="14.4" customHeight="1">
      <c r="D962" s="7">
        <v>43374</v>
      </c>
      <c r="E962" s="8">
        <v>5.7240000000000002</v>
      </c>
      <c r="F962" s="8">
        <f t="shared" si="43"/>
        <v>-2.0747632194248543E-2</v>
      </c>
      <c r="G962" s="8" cm="1">
        <f t="array" ref="G962">SUMPRODUCT(IF(((H962-$F$4:$F$515)/$B$10)&lt;=-1,0,IF(((H962-$F$4:$F$515)/$B$10)&gt;=1,1,(15/16)*(((H962-$F$4:$F$515)/$B$10)-(2/3)*((H962-$F$4:$F$515)/$B$10)^3+(1/5)*((H962-$F$4:$F$515)/$B$10)^5+8/15))))/COUNT($F$4:$F$515)</f>
        <v>0.99421310738505819</v>
      </c>
      <c r="H962" s="9">
        <f t="shared" si="44"/>
        <v>6.3071449687831294E-2</v>
      </c>
      <c r="K962" s="7">
        <v>0.01</v>
      </c>
      <c r="L962" s="8">
        <f t="shared" si="42"/>
        <v>-3.8928550312169082E-2</v>
      </c>
    </row>
    <row r="963" spans="4:12" ht="14.4" customHeight="1">
      <c r="D963" s="2">
        <v>43375</v>
      </c>
      <c r="E963" s="3">
        <v>5.69</v>
      </c>
      <c r="F963" s="3">
        <f t="shared" si="43"/>
        <v>-5.9576135559648961E-3</v>
      </c>
      <c r="G963" s="3" cm="1">
        <f t="array" ref="G963">SUMPRODUCT(IF(((H963-$F$4:$F$515)/$B$10)&lt;=-1,0,IF(((H963-$F$4:$F$515)/$B$10)&gt;=1,1,(15/16)*(((H963-$F$4:$F$515)/$B$10)-(2/3)*((H963-$F$4:$F$515)/$B$10)^3+(1/5)*((H963-$F$4:$F$515)/$B$10)^5+8/15))))/COUNT($F$4:$F$515)</f>
        <v>0.99441023910474302</v>
      </c>
      <c r="H963" s="1">
        <f t="shared" si="44"/>
        <v>6.3371449687831288E-2</v>
      </c>
      <c r="K963" s="2">
        <v>0.01</v>
      </c>
      <c r="L963" s="3">
        <f t="shared" si="42"/>
        <v>-3.8928550312169082E-2</v>
      </c>
    </row>
    <row r="964" spans="4:12" ht="14.4" customHeight="1">
      <c r="D964" s="7">
        <v>43376</v>
      </c>
      <c r="E964" s="8">
        <v>5.726</v>
      </c>
      <c r="F964" s="8">
        <f t="shared" si="43"/>
        <v>6.3069585376836212E-3</v>
      </c>
      <c r="G964" s="8" cm="1">
        <f t="array" ref="G964">SUMPRODUCT(IF(((H964-$F$4:$F$515)/$B$10)&lt;=-1,0,IF(((H964-$F$4:$F$515)/$B$10)&gt;=1,1,(15/16)*(((H964-$F$4:$F$515)/$B$10)-(2/3)*((H964-$F$4:$F$515)/$B$10)^3+(1/5)*((H964-$F$4:$F$515)/$B$10)^5+8/15))))/COUNT($F$4:$F$515)</f>
        <v>0.9945993773398496</v>
      </c>
      <c r="H964" s="9">
        <f t="shared" si="44"/>
        <v>6.3671449687831283E-2</v>
      </c>
      <c r="K964" s="7">
        <v>0.01</v>
      </c>
      <c r="L964" s="8">
        <f t="shared" ref="L964:L1025" si="45">$B$7</f>
        <v>-3.8928550312169082E-2</v>
      </c>
    </row>
    <row r="965" spans="4:12" ht="14.4" customHeight="1">
      <c r="D965" s="2">
        <v>43377</v>
      </c>
      <c r="E965" s="3">
        <v>5.8380000000000001</v>
      </c>
      <c r="F965" s="3">
        <f t="shared" ref="F965:F1025" si="46">LN(E965/E964)</f>
        <v>1.937106575599979E-2</v>
      </c>
      <c r="G965" s="3" cm="1">
        <f t="array" ref="G965">SUMPRODUCT(IF(((H965-$F$4:$F$515)/$B$10)&lt;=-1,0,IF(((H965-$F$4:$F$515)/$B$10)&gt;=1,1,(15/16)*(((H965-$F$4:$F$515)/$B$10)-(2/3)*((H965-$F$4:$F$515)/$B$10)^3+(1/5)*((H965-$F$4:$F$515)/$B$10)^5+8/15))))/COUNT($F$4:$F$515)</f>
        <v>0.99477940243328244</v>
      </c>
      <c r="H965" s="1">
        <f t="shared" ref="H965:H1025" si="47">H964+0.0003</f>
        <v>6.3971449687831278E-2</v>
      </c>
      <c r="K965" s="2">
        <v>0.01</v>
      </c>
      <c r="L965" s="3">
        <f t="shared" si="45"/>
        <v>-3.8928550312169082E-2</v>
      </c>
    </row>
    <row r="966" spans="4:12" ht="14.4" customHeight="1">
      <c r="D966" s="7">
        <v>43378</v>
      </c>
      <c r="E966" s="8">
        <v>5.78</v>
      </c>
      <c r="F966" s="8">
        <f t="shared" si="46"/>
        <v>-9.9845897476368312E-3</v>
      </c>
      <c r="G966" s="8" cm="1">
        <f t="array" ref="G966">SUMPRODUCT(IF(((H966-$F$4:$F$515)/$B$10)&lt;=-1,0,IF(((H966-$F$4:$F$515)/$B$10)&gt;=1,1,(15/16)*(((H966-$F$4:$F$515)/$B$10)-(2/3)*((H966-$F$4:$F$515)/$B$10)^3+(1/5)*((H966-$F$4:$F$515)/$B$10)^5+8/15))))/COUNT($F$4:$F$515)</f>
        <v>0.99494929905426233</v>
      </c>
      <c r="H966" s="9">
        <f t="shared" si="47"/>
        <v>6.4271449687831272E-2</v>
      </c>
      <c r="K966" s="7">
        <v>0.01</v>
      </c>
      <c r="L966" s="8">
        <f t="shared" si="45"/>
        <v>-3.8928550312169082E-2</v>
      </c>
    </row>
    <row r="967" spans="4:12" ht="14.4" customHeight="1">
      <c r="D967" s="2">
        <v>43381</v>
      </c>
      <c r="E967" s="3">
        <v>5.7119999999999997</v>
      </c>
      <c r="F967" s="3">
        <f t="shared" si="46"/>
        <v>-1.1834457647002909E-2</v>
      </c>
      <c r="G967" s="3" cm="1">
        <f t="array" ref="G967">SUMPRODUCT(IF(((H967-$F$4:$F$515)/$B$10)&lt;=-1,0,IF(((H967-$F$4:$F$515)/$B$10)&gt;=1,1,(15/16)*(((H967-$F$4:$F$515)/$B$10)-(2/3)*((H967-$F$4:$F$515)/$B$10)^3+(1/5)*((H967-$F$4:$F$515)/$B$10)^5+8/15))))/COUNT($F$4:$F$515)</f>
        <v>0.99510817123333617</v>
      </c>
      <c r="H967" s="1">
        <f t="shared" si="47"/>
        <v>6.4571449687831267E-2</v>
      </c>
      <c r="K967" s="2">
        <v>0.01</v>
      </c>
      <c r="L967" s="3">
        <f t="shared" si="45"/>
        <v>-3.8928550312169082E-2</v>
      </c>
    </row>
    <row r="968" spans="4:12" ht="14.4" customHeight="1">
      <c r="D968" s="7">
        <v>43382</v>
      </c>
      <c r="E968" s="8">
        <v>5.6840000000000002</v>
      </c>
      <c r="F968" s="8">
        <f t="shared" si="46"/>
        <v>-4.9140148024289293E-3</v>
      </c>
      <c r="G968" s="8" cm="1">
        <f t="array" ref="G968">SUMPRODUCT(IF(((H968-$F$4:$F$515)/$B$10)&lt;=-1,0,IF(((H968-$F$4:$F$515)/$B$10)&gt;=1,1,(15/16)*(((H968-$F$4:$F$515)/$B$10)-(2/3)*((H968-$F$4:$F$515)/$B$10)^3+(1/5)*((H968-$F$4:$F$515)/$B$10)^5+8/15))))/COUNT($F$4:$F$515)</f>
        <v>0.99525525739738652</v>
      </c>
      <c r="H968" s="9">
        <f t="shared" si="47"/>
        <v>6.4871449687831262E-2</v>
      </c>
      <c r="K968" s="7">
        <v>0.01</v>
      </c>
      <c r="L968" s="8">
        <f t="shared" si="45"/>
        <v>-3.8928550312169082E-2</v>
      </c>
    </row>
    <row r="969" spans="4:12" ht="14.4" customHeight="1">
      <c r="D969" s="2">
        <v>43383</v>
      </c>
      <c r="E969" s="3">
        <v>5.63</v>
      </c>
      <c r="F969" s="3">
        <f t="shared" si="46"/>
        <v>-9.5457680832552669E-3</v>
      </c>
      <c r="G969" s="3" cm="1">
        <f t="array" ref="G969">SUMPRODUCT(IF(((H969-$F$4:$F$515)/$B$10)&lt;=-1,0,IF(((H969-$F$4:$F$515)/$B$10)&gt;=1,1,(15/16)*(((H969-$F$4:$F$515)/$B$10)-(2/3)*((H969-$F$4:$F$515)/$B$10)^3+(1/5)*((H969-$F$4:$F$515)/$B$10)^5+8/15))))/COUNT($F$4:$F$515)</f>
        <v>0.99538994540464276</v>
      </c>
      <c r="H969" s="1">
        <f t="shared" si="47"/>
        <v>6.5171449687831257E-2</v>
      </c>
      <c r="K969" s="2">
        <v>0.01</v>
      </c>
      <c r="L969" s="3">
        <f t="shared" si="45"/>
        <v>-3.8928550312169082E-2</v>
      </c>
    </row>
    <row r="970" spans="4:12" ht="14.4" customHeight="1">
      <c r="D970" s="7">
        <v>43384</v>
      </c>
      <c r="E970" s="8">
        <v>5.37</v>
      </c>
      <c r="F970" s="8">
        <f t="shared" si="46"/>
        <v>-4.7281533630825656E-2</v>
      </c>
      <c r="G970" s="8" cm="1">
        <f t="array" ref="G970">SUMPRODUCT(IF(((H970-$F$4:$F$515)/$B$10)&lt;=-1,0,IF(((H970-$F$4:$F$515)/$B$10)&gt;=1,1,(15/16)*(((H970-$F$4:$F$515)/$B$10)-(2/3)*((H970-$F$4:$F$515)/$B$10)^3+(1/5)*((H970-$F$4:$F$515)/$B$10)^5+8/15))))/COUNT($F$4:$F$515)</f>
        <v>0.99551178757969006</v>
      </c>
      <c r="H970" s="9">
        <f t="shared" si="47"/>
        <v>6.5471449687831251E-2</v>
      </c>
      <c r="K970" s="7">
        <v>0.01</v>
      </c>
      <c r="L970" s="8">
        <f t="shared" si="45"/>
        <v>-3.8928550312169082E-2</v>
      </c>
    </row>
    <row r="971" spans="4:12" ht="14.4" customHeight="1">
      <c r="D971" s="2">
        <v>43385</v>
      </c>
      <c r="E971" s="3">
        <v>5.37</v>
      </c>
      <c r="F971" s="3">
        <f t="shared" si="46"/>
        <v>0</v>
      </c>
      <c r="G971" s="3" cm="1">
        <f t="array" ref="G971">SUMPRODUCT(IF(((H971-$F$4:$F$515)/$B$10)&lt;=-1,0,IF(((H971-$F$4:$F$515)/$B$10)&gt;=1,1,(15/16)*(((H971-$F$4:$F$515)/$B$10)-(2/3)*((H971-$F$4:$F$515)/$B$10)^3+(1/5)*((H971-$F$4:$F$515)/$B$10)^5+8/15))))/COUNT($F$4:$F$515)</f>
        <v>0.99562051574847998</v>
      </c>
      <c r="H971" s="1">
        <f t="shared" si="47"/>
        <v>6.5771449687831246E-2</v>
      </c>
      <c r="K971" s="2">
        <v>0.01</v>
      </c>
      <c r="L971" s="3">
        <f t="shared" si="45"/>
        <v>-3.8928550312169082E-2</v>
      </c>
    </row>
    <row r="972" spans="4:12" ht="14.4" customHeight="1">
      <c r="D972" s="7">
        <v>43388</v>
      </c>
      <c r="E972" s="8">
        <v>5.37</v>
      </c>
      <c r="F972" s="8">
        <f t="shared" si="46"/>
        <v>0</v>
      </c>
      <c r="G972" s="8" cm="1">
        <f t="array" ref="G972">SUMPRODUCT(IF(((H972-$F$4:$F$515)/$B$10)&lt;=-1,0,IF(((H972-$F$4:$F$515)/$B$10)&gt;=1,1,(15/16)*(((H972-$F$4:$F$515)/$B$10)-(2/3)*((H972-$F$4:$F$515)/$B$10)^3+(1/5)*((H972-$F$4:$F$515)/$B$10)^5+8/15))))/COUNT($F$4:$F$515)</f>
        <v>0.99571614223089755</v>
      </c>
      <c r="H972" s="9">
        <f t="shared" si="47"/>
        <v>6.6071449687831241E-2</v>
      </c>
      <c r="K972" s="7">
        <v>0.01</v>
      </c>
      <c r="L972" s="8">
        <f t="shared" si="45"/>
        <v>-3.8928550312169082E-2</v>
      </c>
    </row>
    <row r="973" spans="4:12" ht="14.4" customHeight="1">
      <c r="D973" s="2">
        <v>43389</v>
      </c>
      <c r="E973" s="3">
        <v>5.3860000000000001</v>
      </c>
      <c r="F973" s="3">
        <f t="shared" si="46"/>
        <v>2.9750858686338434E-3</v>
      </c>
      <c r="G973" s="3" cm="1">
        <f t="array" ref="G973">SUMPRODUCT(IF(((H973-$F$4:$F$515)/$B$10)&lt;=-1,0,IF(((H973-$F$4:$F$515)/$B$10)&gt;=1,1,(15/16)*(((H973-$F$4:$F$515)/$B$10)-(2/3)*((H973-$F$4:$F$515)/$B$10)^3+(1/5)*((H973-$F$4:$F$515)/$B$10)^5+8/15))))/COUNT($F$4:$F$515)</f>
        <v>0.99579947732969376</v>
      </c>
      <c r="H973" s="1">
        <f t="shared" si="47"/>
        <v>6.6371449687831235E-2</v>
      </c>
      <c r="K973" s="2">
        <v>0.01</v>
      </c>
      <c r="L973" s="3">
        <f t="shared" si="45"/>
        <v>-3.8928550312169082E-2</v>
      </c>
    </row>
    <row r="974" spans="4:12" ht="14.4" customHeight="1">
      <c r="D974" s="7">
        <v>43390</v>
      </c>
      <c r="E974" s="8">
        <v>5.3979999999999997</v>
      </c>
      <c r="F974" s="8">
        <f t="shared" si="46"/>
        <v>2.2255202064056841E-3</v>
      </c>
      <c r="G974" s="8" cm="1">
        <f t="array" ref="G974">SUMPRODUCT(IF(((H974-$F$4:$F$515)/$B$10)&lt;=-1,0,IF(((H974-$F$4:$F$515)/$B$10)&gt;=1,1,(15/16)*(((H974-$F$4:$F$515)/$B$10)-(2/3)*((H974-$F$4:$F$515)/$B$10)^3+(1/5)*((H974-$F$4:$F$515)/$B$10)^5+8/15))))/COUNT($F$4:$F$515)</f>
        <v>0.99587172493860165</v>
      </c>
      <c r="H974" s="9">
        <f t="shared" si="47"/>
        <v>6.667144968783123E-2</v>
      </c>
      <c r="K974" s="7">
        <v>0.01</v>
      </c>
      <c r="L974" s="8">
        <f t="shared" si="45"/>
        <v>-3.8928550312169082E-2</v>
      </c>
    </row>
    <row r="975" spans="4:12" ht="14.4" customHeight="1">
      <c r="D975" s="2">
        <v>43391</v>
      </c>
      <c r="E975" s="3">
        <v>5.2839999999999998</v>
      </c>
      <c r="F975" s="3">
        <f t="shared" si="46"/>
        <v>-2.1345127935733961E-2</v>
      </c>
      <c r="G975" s="3" cm="1">
        <f t="array" ref="G975">SUMPRODUCT(IF(((H975-$F$4:$F$515)/$B$10)&lt;=-1,0,IF(((H975-$F$4:$F$515)/$B$10)&gt;=1,1,(15/16)*(((H975-$F$4:$F$515)/$B$10)-(2/3)*((H975-$F$4:$F$515)/$B$10)^3+(1/5)*((H975-$F$4:$F$515)/$B$10)^5+8/15))))/COUNT($F$4:$F$515)</f>
        <v>0.99593421621018652</v>
      </c>
      <c r="H975" s="1">
        <f t="shared" si="47"/>
        <v>6.6971449687831225E-2</v>
      </c>
      <c r="K975" s="2">
        <v>0.01</v>
      </c>
      <c r="L975" s="3">
        <f t="shared" si="45"/>
        <v>-3.8928550312169082E-2</v>
      </c>
    </row>
    <row r="976" spans="4:12" ht="14.4" customHeight="1">
      <c r="D976" s="7">
        <v>43392</v>
      </c>
      <c r="E976" s="8">
        <v>5.1959999999999997</v>
      </c>
      <c r="F976" s="8">
        <f t="shared" si="46"/>
        <v>-1.6794287851725813E-2</v>
      </c>
      <c r="G976" s="8" cm="1">
        <f t="array" ref="G976">SUMPRODUCT(IF(((H976-$F$4:$F$515)/$B$10)&lt;=-1,0,IF(((H976-$F$4:$F$515)/$B$10)&gt;=1,1,(15/16)*(((H976-$F$4:$F$515)/$B$10)-(2/3)*((H976-$F$4:$F$515)/$B$10)^3+(1/5)*((H976-$F$4:$F$515)/$B$10)^5+8/15))))/COUNT($F$4:$F$515)</f>
        <v>0.99598842842726842</v>
      </c>
      <c r="H976" s="9">
        <f t="shared" si="47"/>
        <v>6.727144968783122E-2</v>
      </c>
      <c r="K976" s="7">
        <v>0.01</v>
      </c>
      <c r="L976" s="8">
        <f t="shared" si="45"/>
        <v>-3.8928550312169082E-2</v>
      </c>
    </row>
    <row r="977" spans="4:12" ht="14.4" customHeight="1">
      <c r="D977" s="2">
        <v>43395</v>
      </c>
      <c r="E977" s="3">
        <v>5.1580000000000004</v>
      </c>
      <c r="F977" s="3">
        <f t="shared" si="46"/>
        <v>-7.340191349199947E-3</v>
      </c>
      <c r="G977" s="3" cm="1">
        <f t="array" ref="G977">SUMPRODUCT(IF(((H977-$F$4:$F$515)/$B$10)&lt;=-1,0,IF(((H977-$F$4:$F$515)/$B$10)&gt;=1,1,(15/16)*(((H977-$F$4:$F$515)/$B$10)-(2/3)*((H977-$F$4:$F$515)/$B$10)^3+(1/5)*((H977-$F$4:$F$515)/$B$10)^5+8/15))))/COUNT($F$4:$F$515)</f>
        <v>0.99603600504960355</v>
      </c>
      <c r="H977" s="1">
        <f t="shared" si="47"/>
        <v>6.7571449687831214E-2</v>
      </c>
      <c r="K977" s="2">
        <v>0.01</v>
      </c>
      <c r="L977" s="3">
        <f t="shared" si="45"/>
        <v>-3.8928550312169082E-2</v>
      </c>
    </row>
    <row r="978" spans="4:12" ht="14.4" customHeight="1">
      <c r="D978" s="7">
        <v>43396</v>
      </c>
      <c r="E978" s="8">
        <v>5.0179999999999998</v>
      </c>
      <c r="F978" s="8">
        <f t="shared" si="46"/>
        <v>-2.7517459514922626E-2</v>
      </c>
      <c r="G978" s="8" cm="1">
        <f t="array" ref="G978">SUMPRODUCT(IF(((H978-$F$4:$F$515)/$B$10)&lt;=-1,0,IF(((H978-$F$4:$F$515)/$B$10)&gt;=1,1,(15/16)*(((H978-$F$4:$F$515)/$B$10)-(2/3)*((H978-$F$4:$F$515)/$B$10)^3+(1/5)*((H978-$F$4:$F$515)/$B$10)^5+8/15))))/COUNT($F$4:$F$515)</f>
        <v>0.99607877576056325</v>
      </c>
      <c r="H978" s="9">
        <f t="shared" si="47"/>
        <v>6.7871449687831209E-2</v>
      </c>
      <c r="K978" s="7">
        <v>0.01</v>
      </c>
      <c r="L978" s="8">
        <f t="shared" si="45"/>
        <v>-3.8928550312169082E-2</v>
      </c>
    </row>
    <row r="979" spans="4:12" ht="14.4" customHeight="1">
      <c r="D979" s="2">
        <v>43397</v>
      </c>
      <c r="E979" s="3">
        <v>4.9400000000000004</v>
      </c>
      <c r="F979" s="3">
        <f t="shared" si="46"/>
        <v>-1.5666116744399237E-2</v>
      </c>
      <c r="G979" s="3" cm="1">
        <f t="array" ref="G979">SUMPRODUCT(IF(((H979-$F$4:$F$515)/$B$10)&lt;=-1,0,IF(((H979-$F$4:$F$515)/$B$10)&gt;=1,1,(15/16)*(((H979-$F$4:$F$515)/$B$10)-(2/3)*((H979-$F$4:$F$515)/$B$10)^3+(1/5)*((H979-$F$4:$F$515)/$B$10)^5+8/15))))/COUNT($F$4:$F$515)</f>
        <v>0.9961186549620894</v>
      </c>
      <c r="H979" s="1">
        <f t="shared" si="47"/>
        <v>6.8171449687831204E-2</v>
      </c>
      <c r="K979" s="2">
        <v>0.01</v>
      </c>
      <c r="L979" s="3">
        <f t="shared" si="45"/>
        <v>-3.8928550312169082E-2</v>
      </c>
    </row>
    <row r="980" spans="4:12" ht="14.4" customHeight="1">
      <c r="D980" s="7">
        <v>43398</v>
      </c>
      <c r="E980" s="8">
        <v>5.0839999999999996</v>
      </c>
      <c r="F980" s="8">
        <f t="shared" si="46"/>
        <v>2.8733022127376402E-2</v>
      </c>
      <c r="G980" s="8" cm="1">
        <f t="array" ref="G980">SUMPRODUCT(IF(((H980-$F$4:$F$515)/$B$10)&lt;=-1,0,IF(((H980-$F$4:$F$515)/$B$10)&gt;=1,1,(15/16)*(((H980-$F$4:$F$515)/$B$10)-(2/3)*((H980-$F$4:$F$515)/$B$10)^3+(1/5)*((H980-$F$4:$F$515)/$B$10)^5+8/15))))/COUNT($F$4:$F$515)</f>
        <v>0.99615724247704751</v>
      </c>
      <c r="H980" s="9">
        <f t="shared" si="47"/>
        <v>6.8471449687831198E-2</v>
      </c>
      <c r="K980" s="7">
        <v>0.01</v>
      </c>
      <c r="L980" s="8">
        <f t="shared" si="45"/>
        <v>-3.8928550312169082E-2</v>
      </c>
    </row>
    <row r="981" spans="4:12" ht="14.4" customHeight="1">
      <c r="D981" s="2">
        <v>43399</v>
      </c>
      <c r="E981" s="3">
        <v>5.0039999999999996</v>
      </c>
      <c r="F981" s="3">
        <f t="shared" si="46"/>
        <v>-1.5860760722542919E-2</v>
      </c>
      <c r="G981" s="3" cm="1">
        <f t="array" ref="G981">SUMPRODUCT(IF(((H981-$F$4:$F$515)/$B$10)&lt;=-1,0,IF(((H981-$F$4:$F$515)/$B$10)&gt;=1,1,(15/16)*(((H981-$F$4:$F$515)/$B$10)-(2/3)*((H981-$F$4:$F$515)/$B$10)^3+(1/5)*((H981-$F$4:$F$515)/$B$10)^5+8/15))))/COUNT($F$4:$F$515)</f>
        <v>0.99619664444895828</v>
      </c>
      <c r="H981" s="1">
        <f t="shared" si="47"/>
        <v>6.8771449687831193E-2</v>
      </c>
      <c r="K981" s="2">
        <v>0.01</v>
      </c>
      <c r="L981" s="3">
        <f t="shared" si="45"/>
        <v>-3.8928550312169082E-2</v>
      </c>
    </row>
    <row r="982" spans="4:12" ht="14.4" customHeight="1">
      <c r="D982" s="7">
        <v>43402</v>
      </c>
      <c r="E982" s="8">
        <v>5.0579999999999998</v>
      </c>
      <c r="F982" s="8">
        <f t="shared" si="46"/>
        <v>1.0733555643108851E-2</v>
      </c>
      <c r="G982" s="8" cm="1">
        <f t="array" ref="G982">SUMPRODUCT(IF(((H982-$F$4:$F$515)/$B$10)&lt;=-1,0,IF(((H982-$F$4:$F$515)/$B$10)&gt;=1,1,(15/16)*(((H982-$F$4:$F$515)/$B$10)-(2/3)*((H982-$F$4:$F$515)/$B$10)^3+(1/5)*((H982-$F$4:$F$515)/$B$10)^5+8/15))))/COUNT($F$4:$F$515)</f>
        <v>0.99623902328998648</v>
      </c>
      <c r="H982" s="9">
        <f t="shared" si="47"/>
        <v>6.9071449687831188E-2</v>
      </c>
      <c r="K982" s="7">
        <v>0.01</v>
      </c>
      <c r="L982" s="8">
        <f t="shared" si="45"/>
        <v>-3.8928550312169082E-2</v>
      </c>
    </row>
    <row r="983" spans="4:12" ht="14.4" customHeight="1">
      <c r="D983" s="2">
        <v>43403</v>
      </c>
      <c r="E983" s="3">
        <v>5.0419999999999998</v>
      </c>
      <c r="F983" s="3">
        <f t="shared" si="46"/>
        <v>-3.1683194820452758E-3</v>
      </c>
      <c r="G983" s="3" cm="1">
        <f t="array" ref="G983">SUMPRODUCT(IF(((H983-$F$4:$F$515)/$B$10)&lt;=-1,0,IF(((H983-$F$4:$F$515)/$B$10)&gt;=1,1,(15/16)*(((H983-$F$4:$F$515)/$B$10)-(2/3)*((H983-$F$4:$F$515)/$B$10)^3+(1/5)*((H983-$F$4:$F$515)/$B$10)^5+8/15))))/COUNT($F$4:$F$515)</f>
        <v>0.99628586674527664</v>
      </c>
      <c r="H983" s="1">
        <f t="shared" si="47"/>
        <v>6.9371449687831183E-2</v>
      </c>
      <c r="K983" s="2">
        <v>0.01</v>
      </c>
      <c r="L983" s="3">
        <f t="shared" si="45"/>
        <v>-3.8928550312169082E-2</v>
      </c>
    </row>
    <row r="984" spans="4:12" ht="14.4" customHeight="1">
      <c r="D984" s="7">
        <v>43404</v>
      </c>
      <c r="E984" s="8">
        <v>5.1660000000000004</v>
      </c>
      <c r="F984" s="8">
        <f t="shared" si="46"/>
        <v>2.4295865907920773E-2</v>
      </c>
      <c r="G984" s="8" cm="1">
        <f t="array" ref="G984">SUMPRODUCT(IF(((H984-$F$4:$F$515)/$B$10)&lt;=-1,0,IF(((H984-$F$4:$F$515)/$B$10)&gt;=1,1,(15/16)*(((H984-$F$4:$F$515)/$B$10)-(2/3)*((H984-$F$4:$F$515)/$B$10)^3+(1/5)*((H984-$F$4:$F$515)/$B$10)^5+8/15))))/COUNT($F$4:$F$515)</f>
        <v>0.99633837882266119</v>
      </c>
      <c r="H984" s="9">
        <f t="shared" si="47"/>
        <v>6.9671449687831177E-2</v>
      </c>
      <c r="K984" s="7">
        <v>0.01</v>
      </c>
      <c r="L984" s="8">
        <f t="shared" si="45"/>
        <v>-3.8928550312169082E-2</v>
      </c>
    </row>
    <row r="985" spans="4:12" ht="14.4" customHeight="1">
      <c r="D985" s="2">
        <v>43405</v>
      </c>
      <c r="E985" s="3">
        <v>5.17</v>
      </c>
      <c r="F985" s="3">
        <f t="shared" si="46"/>
        <v>7.7399384668885949E-4</v>
      </c>
      <c r="G985" s="3" cm="1">
        <f t="array" ref="G985">SUMPRODUCT(IF(((H985-$F$4:$F$515)/$B$10)&lt;=-1,0,IF(((H985-$F$4:$F$515)/$B$10)&gt;=1,1,(15/16)*(((H985-$F$4:$F$515)/$B$10)-(2/3)*((H985-$F$4:$F$515)/$B$10)^3+(1/5)*((H985-$F$4:$F$515)/$B$10)^5+8/15))))/COUNT($F$4:$F$515)</f>
        <v>0.99639770812380235</v>
      </c>
      <c r="H985" s="1">
        <f t="shared" si="47"/>
        <v>6.9971449687831172E-2</v>
      </c>
      <c r="K985" s="2">
        <v>0.01</v>
      </c>
      <c r="L985" s="3">
        <f t="shared" si="45"/>
        <v>-3.8928550312169082E-2</v>
      </c>
    </row>
    <row r="986" spans="4:12" ht="14.4" customHeight="1">
      <c r="D986" s="7">
        <v>43406</v>
      </c>
      <c r="E986" s="8">
        <v>5.28</v>
      </c>
      <c r="F986" s="8">
        <f t="shared" si="46"/>
        <v>2.1053409197832482E-2</v>
      </c>
      <c r="G986" s="8" cm="1">
        <f t="array" ref="G986">SUMPRODUCT(IF(((H986-$F$4:$F$515)/$B$10)&lt;=-1,0,IF(((H986-$F$4:$F$515)/$B$10)&gt;=1,1,(15/16)*(((H986-$F$4:$F$515)/$B$10)-(2/3)*((H986-$F$4:$F$515)/$B$10)^3+(1/5)*((H986-$F$4:$F$515)/$B$10)^5+8/15))))/COUNT($F$4:$F$515)</f>
        <v>0.99646492211819571</v>
      </c>
      <c r="H986" s="9">
        <f t="shared" si="47"/>
        <v>7.0271449687831167E-2</v>
      </c>
      <c r="K986" s="7">
        <v>0.01</v>
      </c>
      <c r="L986" s="8">
        <f t="shared" si="45"/>
        <v>-3.8928550312169082E-2</v>
      </c>
    </row>
    <row r="987" spans="4:12" ht="14.4" customHeight="1">
      <c r="D987" s="2">
        <v>43409</v>
      </c>
      <c r="E987" s="3">
        <v>5.22</v>
      </c>
      <c r="F987" s="3">
        <f t="shared" si="46"/>
        <v>-1.1428695823622857E-2</v>
      </c>
      <c r="G987" s="3" cm="1">
        <f t="array" ref="G987">SUMPRODUCT(IF(((H987-$F$4:$F$515)/$B$10)&lt;=-1,0,IF(((H987-$F$4:$F$515)/$B$10)&gt;=1,1,(15/16)*(((H987-$F$4:$F$515)/$B$10)-(2/3)*((H987-$F$4:$F$515)/$B$10)^3+(1/5)*((H987-$F$4:$F$515)/$B$10)^5+8/15))))/COUNT($F$4:$F$515)</f>
        <v>0.99654047937378432</v>
      </c>
      <c r="H987" s="1">
        <f t="shared" si="47"/>
        <v>7.0571449687831161E-2</v>
      </c>
      <c r="K987" s="2">
        <v>0.01</v>
      </c>
      <c r="L987" s="3">
        <f t="shared" si="45"/>
        <v>-3.8928550312169082E-2</v>
      </c>
    </row>
    <row r="988" spans="4:12" ht="14.4" customHeight="1">
      <c r="D988" s="7">
        <v>43410</v>
      </c>
      <c r="E988" s="8">
        <v>5.194</v>
      </c>
      <c r="F988" s="8">
        <f t="shared" si="46"/>
        <v>-4.9932886539906475E-3</v>
      </c>
      <c r="G988" s="8" cm="1">
        <f t="array" ref="G988">SUMPRODUCT(IF(((H988-$F$4:$F$515)/$B$10)&lt;=-1,0,IF(((H988-$F$4:$F$515)/$B$10)&gt;=1,1,(15/16)*(((H988-$F$4:$F$515)/$B$10)-(2/3)*((H988-$F$4:$F$515)/$B$10)^3+(1/5)*((H988-$F$4:$F$515)/$B$10)^5+8/15))))/COUNT($F$4:$F$515)</f>
        <v>0.996624320387129</v>
      </c>
      <c r="H988" s="9">
        <f t="shared" si="47"/>
        <v>7.0871449687831156E-2</v>
      </c>
      <c r="K988" s="7">
        <v>0.01</v>
      </c>
      <c r="L988" s="8">
        <f t="shared" si="45"/>
        <v>-3.8928550312169082E-2</v>
      </c>
    </row>
    <row r="989" spans="4:12" ht="14.4" customHeight="1">
      <c r="D989" s="2">
        <v>43411</v>
      </c>
      <c r="E989" s="3">
        <v>5.2839999999999998</v>
      </c>
      <c r="F989" s="3">
        <f t="shared" si="46"/>
        <v>1.7179273419522155E-2</v>
      </c>
      <c r="G989" s="3" cm="1">
        <f t="array" ref="G989">SUMPRODUCT(IF(((H989-$F$4:$F$515)/$B$10)&lt;=-1,0,IF(((H989-$F$4:$F$515)/$B$10)&gt;=1,1,(15/16)*(((H989-$F$4:$F$515)/$B$10)-(2/3)*((H989-$F$4:$F$515)/$B$10)^3+(1/5)*((H989-$F$4:$F$515)/$B$10)^5+8/15))))/COUNT($F$4:$F$515)</f>
        <v>0.99671625091774407</v>
      </c>
      <c r="H989" s="1">
        <f t="shared" si="47"/>
        <v>7.1171449687831151E-2</v>
      </c>
      <c r="K989" s="2">
        <v>0.01</v>
      </c>
      <c r="L989" s="3">
        <f t="shared" si="45"/>
        <v>-3.8928550312169082E-2</v>
      </c>
    </row>
    <row r="990" spans="4:12" ht="14.4" customHeight="1">
      <c r="D990" s="7">
        <v>43412</v>
      </c>
      <c r="E990" s="8">
        <v>5.37</v>
      </c>
      <c r="F990" s="8">
        <f t="shared" si="46"/>
        <v>1.6144521860694566E-2</v>
      </c>
      <c r="G990" s="8" cm="1">
        <f t="array" ref="G990">SUMPRODUCT(IF(((H990-$F$4:$F$515)/$B$10)&lt;=-1,0,IF(((H990-$F$4:$F$515)/$B$10)&gt;=1,1,(15/16)*(((H990-$F$4:$F$515)/$B$10)-(2/3)*((H990-$F$4:$F$515)/$B$10)^3+(1/5)*((H990-$F$4:$F$515)/$B$10)^5+8/15))))/COUNT($F$4:$F$515)</f>
        <v>0.99681596089363778</v>
      </c>
      <c r="H990" s="9">
        <f t="shared" si="47"/>
        <v>7.1471449687831146E-2</v>
      </c>
      <c r="K990" s="7">
        <v>0.01</v>
      </c>
      <c r="L990" s="8">
        <f t="shared" si="45"/>
        <v>-3.8928550312169082E-2</v>
      </c>
    </row>
    <row r="991" spans="4:12" ht="14.4" customHeight="1">
      <c r="D991" s="2">
        <v>43413</v>
      </c>
      <c r="E991" s="3">
        <v>5.282</v>
      </c>
      <c r="F991" s="3">
        <f t="shared" si="46"/>
        <v>-1.6523094645832827E-2</v>
      </c>
      <c r="G991" s="3" cm="1">
        <f t="array" ref="G991">SUMPRODUCT(IF(((H991-$F$4:$F$515)/$B$10)&lt;=-1,0,IF(((H991-$F$4:$F$515)/$B$10)&gt;=1,1,(15/16)*(((H991-$F$4:$F$515)/$B$10)-(2/3)*((H991-$F$4:$F$515)/$B$10)^3+(1/5)*((H991-$F$4:$F$515)/$B$10)^5+8/15))))/COUNT($F$4:$F$515)</f>
        <v>0.99692303443465258</v>
      </c>
      <c r="H991" s="1">
        <f t="shared" si="47"/>
        <v>7.177144968783114E-2</v>
      </c>
      <c r="K991" s="2">
        <v>0.01</v>
      </c>
      <c r="L991" s="3">
        <f t="shared" si="45"/>
        <v>-3.8928550312169082E-2</v>
      </c>
    </row>
    <row r="992" spans="4:12" ht="14.4" customHeight="1">
      <c r="D992" s="7">
        <v>43416</v>
      </c>
      <c r="E992" s="8">
        <v>5.09</v>
      </c>
      <c r="F992" s="8">
        <f t="shared" si="46"/>
        <v>-3.7026983312509178E-2</v>
      </c>
      <c r="G992" s="8" cm="1">
        <f t="array" ref="G992">SUMPRODUCT(IF(((H992-$F$4:$F$515)/$B$10)&lt;=-1,0,IF(((H992-$F$4:$F$515)/$B$10)&gt;=1,1,(15/16)*(((H992-$F$4:$F$515)/$B$10)-(2/3)*((H992-$F$4:$F$515)/$B$10)^3+(1/5)*((H992-$F$4:$F$515)/$B$10)^5+8/15))))/COUNT($F$4:$F$515)</f>
        <v>0.99703695987580465</v>
      </c>
      <c r="H992" s="9">
        <f t="shared" si="47"/>
        <v>7.2071449687831135E-2</v>
      </c>
      <c r="K992" s="7">
        <v>0.01</v>
      </c>
      <c r="L992" s="8">
        <f t="shared" si="45"/>
        <v>-3.8928550312169082E-2</v>
      </c>
    </row>
    <row r="993" spans="4:12" ht="14.4" customHeight="1">
      <c r="D993" s="2">
        <v>43417</v>
      </c>
      <c r="E993" s="3">
        <v>5.1239999999999997</v>
      </c>
      <c r="F993" s="3">
        <f t="shared" si="46"/>
        <v>6.6575534720564444E-3</v>
      </c>
      <c r="G993" s="3" cm="1">
        <f t="array" ref="G993">SUMPRODUCT(IF(((H993-$F$4:$F$515)/$B$10)&lt;=-1,0,IF(((H993-$F$4:$F$515)/$B$10)&gt;=1,1,(15/16)*(((H993-$F$4:$F$515)/$B$10)-(2/3)*((H993-$F$4:$F$515)/$B$10)^3+(1/5)*((H993-$F$4:$F$515)/$B$10)^5+8/15))))/COUNT($F$4:$F$515)</f>
        <v>0.99715713979062393</v>
      </c>
      <c r="H993" s="1">
        <f t="shared" si="47"/>
        <v>7.237144968783113E-2</v>
      </c>
      <c r="K993" s="2">
        <v>0.01</v>
      </c>
      <c r="L993" s="3">
        <f t="shared" si="45"/>
        <v>-3.8928550312169082E-2</v>
      </c>
    </row>
    <row r="994" spans="4:12" ht="14.4" customHeight="1">
      <c r="D994" s="7">
        <v>43418</v>
      </c>
      <c r="E994" s="8">
        <v>5.0720000000000001</v>
      </c>
      <c r="F994" s="8">
        <f t="shared" si="46"/>
        <v>-1.0200166899562912E-2</v>
      </c>
      <c r="G994" s="8" cm="1">
        <f t="array" ref="G994">SUMPRODUCT(IF(((H994-$F$4:$F$515)/$B$10)&lt;=-1,0,IF(((H994-$F$4:$F$515)/$B$10)&gt;=1,1,(15/16)*(((H994-$F$4:$F$515)/$B$10)-(2/3)*((H994-$F$4:$F$515)/$B$10)^3+(1/5)*((H994-$F$4:$F$515)/$B$10)^5+8/15))))/COUNT($F$4:$F$515)</f>
        <v>0.99728290101449524</v>
      </c>
      <c r="H994" s="9">
        <f t="shared" si="47"/>
        <v>7.2671449687831124E-2</v>
      </c>
      <c r="K994" s="7">
        <v>0.01</v>
      </c>
      <c r="L994" s="8">
        <f t="shared" si="45"/>
        <v>-3.8928550312169082E-2</v>
      </c>
    </row>
    <row r="995" spans="4:12" ht="14.4" customHeight="1">
      <c r="D995" s="2">
        <v>43419</v>
      </c>
      <c r="E995" s="3">
        <v>4.968</v>
      </c>
      <c r="F995" s="3">
        <f t="shared" si="46"/>
        <v>-2.0717872503747143E-2</v>
      </c>
      <c r="G995" s="3" cm="1">
        <f t="array" ref="G995">SUMPRODUCT(IF(((H995-$F$4:$F$515)/$B$10)&lt;=-1,0,IF(((H995-$F$4:$F$515)/$B$10)&gt;=1,1,(15/16)*(((H995-$F$4:$F$515)/$B$10)-(2/3)*((H995-$F$4:$F$515)/$B$10)^3+(1/5)*((H995-$F$4:$F$515)/$B$10)^5+8/15))))/COUNT($F$4:$F$515)</f>
        <v>0.9974135046679965</v>
      </c>
      <c r="H995" s="1">
        <f t="shared" si="47"/>
        <v>7.2971449687831119E-2</v>
      </c>
      <c r="K995" s="2">
        <v>0.01</v>
      </c>
      <c r="L995" s="3">
        <f t="shared" si="45"/>
        <v>-3.8928550312169082E-2</v>
      </c>
    </row>
    <row r="996" spans="4:12" ht="14.4" customHeight="1">
      <c r="D996" s="7">
        <v>43420</v>
      </c>
      <c r="E996" s="8">
        <v>4.9210000000000003</v>
      </c>
      <c r="F996" s="8">
        <f t="shared" si="46"/>
        <v>-9.5055827473364135E-3</v>
      </c>
      <c r="G996" s="8" cm="1">
        <f t="array" ref="G996">SUMPRODUCT(IF(((H996-$F$4:$F$515)/$B$10)&lt;=-1,0,IF(((H996-$F$4:$F$515)/$B$10)&gt;=1,1,(15/16)*(((H996-$F$4:$F$515)/$B$10)-(2/3)*((H996-$F$4:$F$515)/$B$10)^3+(1/5)*((H996-$F$4:$F$515)/$B$10)^5+8/15))))/COUNT($F$4:$F$515)</f>
        <v>0.99754815618024062</v>
      </c>
      <c r="H996" s="9">
        <f t="shared" si="47"/>
        <v>7.3271449687831114E-2</v>
      </c>
      <c r="K996" s="7">
        <v>0.01</v>
      </c>
      <c r="L996" s="8">
        <f t="shared" si="45"/>
        <v>-3.8928550312169082E-2</v>
      </c>
    </row>
    <row r="997" spans="4:12" ht="14.4" customHeight="1">
      <c r="D997" s="2">
        <v>43423</v>
      </c>
      <c r="E997" s="3">
        <v>4.9240000000000004</v>
      </c>
      <c r="F997" s="3">
        <f t="shared" si="46"/>
        <v>6.0944643836593018E-4</v>
      </c>
      <c r="G997" s="3" cm="1">
        <f t="array" ref="G997">SUMPRODUCT(IF(((H997-$F$4:$F$515)/$B$10)&lt;=-1,0,IF(((H997-$F$4:$F$515)/$B$10)&gt;=1,1,(15/16)*(((H997-$F$4:$F$515)/$B$10)-(2/3)*((H997-$F$4:$F$515)/$B$10)^3+(1/5)*((H997-$F$4:$F$515)/$B$10)^5+8/15))))/COUNT($F$4:$F$515)</f>
        <v>0.99768601531221435</v>
      </c>
      <c r="H997" s="1">
        <f t="shared" si="47"/>
        <v>7.3571449687831109E-2</v>
      </c>
      <c r="K997" s="2">
        <v>0.01</v>
      </c>
      <c r="L997" s="3">
        <f t="shared" si="45"/>
        <v>-3.8928550312169082E-2</v>
      </c>
    </row>
    <row r="998" spans="4:12" ht="14.4" customHeight="1">
      <c r="D998" s="7">
        <v>43424</v>
      </c>
      <c r="E998" s="8">
        <v>4.7770000000000001</v>
      </c>
      <c r="F998" s="8">
        <f t="shared" si="46"/>
        <v>-3.0308473914382374E-2</v>
      </c>
      <c r="G998" s="8" cm="1">
        <f t="array" ref="G998">SUMPRODUCT(IF(((H998-$F$4:$F$515)/$B$10)&lt;=-1,0,IF(((H998-$F$4:$F$515)/$B$10)&gt;=1,1,(15/16)*(((H998-$F$4:$F$515)/$B$10)-(2/3)*((H998-$F$4:$F$515)/$B$10)^3+(1/5)*((H998-$F$4:$F$515)/$B$10)^5+8/15))))/COUNT($F$4:$F$515)</f>
        <v>0.99782620618011886</v>
      </c>
      <c r="H998" s="9">
        <f t="shared" si="47"/>
        <v>7.3871449687831103E-2</v>
      </c>
      <c r="K998" s="7">
        <v>0.01</v>
      </c>
      <c r="L998" s="8">
        <f t="shared" si="45"/>
        <v>-3.8928550312169082E-2</v>
      </c>
    </row>
    <row r="999" spans="4:12" ht="14.4" customHeight="1">
      <c r="D999" s="2">
        <v>43425</v>
      </c>
      <c r="E999" s="3">
        <v>4.8499999999999996</v>
      </c>
      <c r="F999" s="3">
        <f t="shared" si="46"/>
        <v>1.5165970541566903E-2</v>
      </c>
      <c r="G999" s="3" cm="1">
        <f t="array" ref="G999">SUMPRODUCT(IF(((H999-$F$4:$F$515)/$B$10)&lt;=-1,0,IF(((H999-$F$4:$F$515)/$B$10)&gt;=1,1,(15/16)*(((H999-$F$4:$F$515)/$B$10)-(2/3)*((H999-$F$4:$F$515)/$B$10)^3+(1/5)*((H999-$F$4:$F$515)/$B$10)^5+8/15))))/COUNT($F$4:$F$515)</f>
        <v>0.99796782727870958</v>
      </c>
      <c r="H999" s="1">
        <f t="shared" si="47"/>
        <v>7.4171449687831098E-2</v>
      </c>
      <c r="K999" s="2">
        <v>0.01</v>
      </c>
      <c r="L999" s="3">
        <f t="shared" si="45"/>
        <v>-3.8928550312169082E-2</v>
      </c>
    </row>
    <row r="1000" spans="4:12" ht="14.4" customHeight="1">
      <c r="D1000" s="7">
        <v>43426</v>
      </c>
      <c r="E1000" s="8">
        <v>4.7969999999999997</v>
      </c>
      <c r="F1000" s="8">
        <f t="shared" si="46"/>
        <v>-1.0987982429464941E-2</v>
      </c>
      <c r="G1000" s="8" cm="1">
        <f t="array" ref="G1000">SUMPRODUCT(IF(((H1000-$F$4:$F$515)/$B$10)&lt;=-1,0,IF(((H1000-$F$4:$F$515)/$B$10)&gt;=1,1,(15/16)*(((H1000-$F$4:$F$515)/$B$10)-(2/3)*((H1000-$F$4:$F$515)/$B$10)^3+(1/5)*((H1000-$F$4:$F$515)/$B$10)^5+8/15))))/COUNT($F$4:$F$515)</f>
        <v>0.99810996150463616</v>
      </c>
      <c r="H1000" s="9">
        <f t="shared" si="47"/>
        <v>7.4471449687831093E-2</v>
      </c>
      <c r="K1000" s="7">
        <v>0.01</v>
      </c>
      <c r="L1000" s="8">
        <f t="shared" si="45"/>
        <v>-3.8928550312169082E-2</v>
      </c>
    </row>
    <row r="1001" spans="4:12" ht="14.4" customHeight="1">
      <c r="D1001" s="2">
        <v>43427</v>
      </c>
      <c r="E1001" s="3">
        <v>4.8479999999999999</v>
      </c>
      <c r="F1001" s="3">
        <f t="shared" si="46"/>
        <v>1.0575526247086388E-2</v>
      </c>
      <c r="G1001" s="3" cm="1">
        <f t="array" ref="G1001">SUMPRODUCT(IF(((H1001-$F$4:$F$515)/$B$10)&lt;=-1,0,IF(((H1001-$F$4:$F$515)/$B$10)&gt;=1,1,(15/16)*(((H1001-$F$4:$F$515)/$B$10)-(2/3)*((H1001-$F$4:$F$515)/$B$10)^3+(1/5)*((H1001-$F$4:$F$515)/$B$10)^5+8/15))))/COUNT($F$4:$F$515)</f>
        <v>0.99825168617978299</v>
      </c>
      <c r="H1001" s="1">
        <f t="shared" si="47"/>
        <v>7.4771449687831087E-2</v>
      </c>
      <c r="K1001" s="2">
        <v>0.01</v>
      </c>
      <c r="L1001" s="3">
        <f t="shared" si="45"/>
        <v>-3.8928550312169082E-2</v>
      </c>
    </row>
    <row r="1002" spans="4:12" ht="14.4" customHeight="1">
      <c r="D1002" s="7">
        <v>43430</v>
      </c>
      <c r="E1002" s="8">
        <v>4.9889999999999999</v>
      </c>
      <c r="F1002" s="8">
        <f t="shared" si="46"/>
        <v>2.8669240111887068E-2</v>
      </c>
      <c r="G1002" s="8" cm="1">
        <f t="array" ref="G1002">SUMPRODUCT(IF(((H1002-$F$4:$F$515)/$B$10)&lt;=-1,0,IF(((H1002-$F$4:$F$515)/$B$10)&gt;=1,1,(15/16)*(((H1002-$F$4:$F$515)/$B$10)-(2/3)*((H1002-$F$4:$F$515)/$B$10)^3+(1/5)*((H1002-$F$4:$F$515)/$B$10)^5+8/15))))/COUNT($F$4:$F$515)</f>
        <v>0.99839208307460903</v>
      </c>
      <c r="H1002" s="9">
        <f t="shared" si="47"/>
        <v>7.5071449687831082E-2</v>
      </c>
      <c r="K1002" s="7">
        <v>0.01</v>
      </c>
      <c r="L1002" s="8">
        <f t="shared" si="45"/>
        <v>-3.8928550312169082E-2</v>
      </c>
    </row>
    <row r="1003" spans="4:12" ht="14.4" customHeight="1">
      <c r="D1003" s="2">
        <v>43431</v>
      </c>
      <c r="E1003" s="3">
        <v>4.9870000000000001</v>
      </c>
      <c r="F1003" s="3">
        <f t="shared" si="46"/>
        <v>-4.0096231491477984E-4</v>
      </c>
      <c r="G1003" s="3" cm="1">
        <f t="array" ref="G1003">SUMPRODUCT(IF(((H1003-$F$4:$F$515)/$B$10)&lt;=-1,0,IF(((H1003-$F$4:$F$515)/$B$10)&gt;=1,1,(15/16)*(((H1003-$F$4:$F$515)/$B$10)-(2/3)*((H1003-$F$4:$F$515)/$B$10)^3+(1/5)*((H1003-$F$4:$F$515)/$B$10)^5+8/15))))/COUNT($F$4:$F$515)</f>
        <v>0.9985302484314873</v>
      </c>
      <c r="H1003" s="1">
        <f t="shared" si="47"/>
        <v>7.5371449687831077E-2</v>
      </c>
      <c r="K1003" s="2">
        <v>0.01</v>
      </c>
      <c r="L1003" s="3">
        <f t="shared" si="45"/>
        <v>-3.8928550312169082E-2</v>
      </c>
    </row>
    <row r="1004" spans="4:12" ht="14.4" customHeight="1">
      <c r="D1004" s="7">
        <v>43432</v>
      </c>
      <c r="E1004" s="8">
        <v>4.8840000000000003</v>
      </c>
      <c r="F1004" s="8">
        <f t="shared" si="46"/>
        <v>-2.0869970315527248E-2</v>
      </c>
      <c r="G1004" s="8" cm="1">
        <f t="array" ref="G1004">SUMPRODUCT(IF(((H1004-$F$4:$F$515)/$B$10)&lt;=-1,0,IF(((H1004-$F$4:$F$515)/$B$10)&gt;=1,1,(15/16)*(((H1004-$F$4:$F$515)/$B$10)-(2/3)*((H1004-$F$4:$F$515)/$B$10)^3+(1/5)*((H1004-$F$4:$F$515)/$B$10)^5+8/15))))/COUNT($F$4:$F$515)</f>
        <v>0.9986653029880459</v>
      </c>
      <c r="H1004" s="9">
        <f t="shared" si="47"/>
        <v>7.5671449687831072E-2</v>
      </c>
      <c r="K1004" s="7">
        <v>0.01</v>
      </c>
      <c r="L1004" s="8">
        <f t="shared" si="45"/>
        <v>-3.8928550312169082E-2</v>
      </c>
    </row>
    <row r="1005" spans="4:12" ht="14.4" customHeight="1">
      <c r="D1005" s="2">
        <v>43433</v>
      </c>
      <c r="E1005" s="3">
        <v>4.9450000000000003</v>
      </c>
      <c r="F1005" s="3">
        <f t="shared" si="46"/>
        <v>1.2412408826217114E-2</v>
      </c>
      <c r="G1005" s="3" cm="1">
        <f t="array" ref="G1005">SUMPRODUCT(IF(((H1005-$F$4:$F$515)/$B$10)&lt;=-1,0,IF(((H1005-$F$4:$F$515)/$B$10)&gt;=1,1,(15/16)*(((H1005-$F$4:$F$515)/$B$10)-(2/3)*((H1005-$F$4:$F$515)/$B$10)^3+(1/5)*((H1005-$F$4:$F$515)/$B$10)^5+8/15))))/COUNT($F$4:$F$515)</f>
        <v>0.99879640200050723</v>
      </c>
      <c r="H1005" s="1">
        <f t="shared" si="47"/>
        <v>7.5971449687831066E-2</v>
      </c>
      <c r="K1005" s="2">
        <v>0.01</v>
      </c>
      <c r="L1005" s="3">
        <f t="shared" si="45"/>
        <v>-3.8928550312169082E-2</v>
      </c>
    </row>
    <row r="1006" spans="4:12" ht="14.4" customHeight="1">
      <c r="D1006" s="7">
        <v>43434</v>
      </c>
      <c r="E1006" s="8">
        <v>4.88</v>
      </c>
      <c r="F1006" s="8">
        <f t="shared" si="46"/>
        <v>-1.3231745209619705E-2</v>
      </c>
      <c r="G1006" s="8" cm="1">
        <f t="array" ref="G1006">SUMPRODUCT(IF(((H1006-$F$4:$F$515)/$B$10)&lt;=-1,0,IF(((H1006-$F$4:$F$515)/$B$10)&gt;=1,1,(15/16)*(((H1006-$F$4:$F$515)/$B$10)-(2/3)*((H1006-$F$4:$F$515)/$B$10)^3+(1/5)*((H1006-$F$4:$F$515)/$B$10)^5+8/15))))/COUNT($F$4:$F$515)</f>
        <v>0.99892274526702873</v>
      </c>
      <c r="H1006" s="9">
        <f t="shared" si="47"/>
        <v>7.6271449687831061E-2</v>
      </c>
      <c r="K1006" s="7">
        <v>0.01</v>
      </c>
      <c r="L1006" s="8">
        <f t="shared" si="45"/>
        <v>-3.8928550312169082E-2</v>
      </c>
    </row>
    <row r="1007" spans="4:12" ht="14.4" customHeight="1">
      <c r="D1007" s="2">
        <v>43437</v>
      </c>
      <c r="E1007" s="3">
        <v>5.0060000000000002</v>
      </c>
      <c r="F1007" s="3">
        <f t="shared" si="46"/>
        <v>2.5491973144526784E-2</v>
      </c>
      <c r="G1007" s="3" cm="1">
        <f t="array" ref="G1007">SUMPRODUCT(IF(((H1007-$F$4:$F$515)/$B$10)&lt;=-1,0,IF(((H1007-$F$4:$F$515)/$B$10)&gt;=1,1,(15/16)*(((H1007-$F$4:$F$515)/$B$10)-(2/3)*((H1007-$F$4:$F$515)/$B$10)^3+(1/5)*((H1007-$F$4:$F$515)/$B$10)^5+8/15))))/COUNT($F$4:$F$515)</f>
        <v>0.99904358715104224</v>
      </c>
      <c r="H1007" s="1">
        <f t="shared" si="47"/>
        <v>7.6571449687831056E-2</v>
      </c>
      <c r="K1007" s="2">
        <v>0.01</v>
      </c>
      <c r="L1007" s="3">
        <f t="shared" si="45"/>
        <v>-3.8928550312169082E-2</v>
      </c>
    </row>
    <row r="1008" spans="4:12" ht="14.4" customHeight="1">
      <c r="D1008" s="7">
        <v>43438</v>
      </c>
      <c r="E1008" s="8">
        <v>4.8810000000000002</v>
      </c>
      <c r="F1008" s="8">
        <f t="shared" si="46"/>
        <v>-2.5287076104572023E-2</v>
      </c>
      <c r="G1008" s="8" cm="1">
        <f t="array" ref="G1008">SUMPRODUCT(IF(((H1008-$F$4:$F$515)/$B$10)&lt;=-1,0,IF(((H1008-$F$4:$F$515)/$B$10)&gt;=1,1,(15/16)*(((H1008-$F$4:$F$515)/$B$10)-(2/3)*((H1008-$F$4:$F$515)/$B$10)^3+(1/5)*((H1008-$F$4:$F$515)/$B$10)^5+8/15))))/COUNT($F$4:$F$515)</f>
        <v>0.99915824660459474</v>
      </c>
      <c r="H1008" s="9">
        <f t="shared" si="47"/>
        <v>7.687144968783105E-2</v>
      </c>
      <c r="K1008" s="7">
        <v>0.01</v>
      </c>
      <c r="L1008" s="8">
        <f t="shared" si="45"/>
        <v>-3.8928550312169082E-2</v>
      </c>
    </row>
    <row r="1009" spans="4:12" ht="14.4" customHeight="1">
      <c r="D1009" s="2">
        <v>43439</v>
      </c>
      <c r="E1009" s="3">
        <v>4.774</v>
      </c>
      <c r="F1009" s="3">
        <f t="shared" si="46"/>
        <v>-2.2165588988372075E-2</v>
      </c>
      <c r="G1009" s="3" cm="1">
        <f t="array" ref="G1009">SUMPRODUCT(IF(((H1009-$F$4:$F$515)/$B$10)&lt;=-1,0,IF(((H1009-$F$4:$F$515)/$B$10)&gt;=1,1,(15/16)*(((H1009-$F$4:$F$515)/$B$10)-(2/3)*((H1009-$F$4:$F$515)/$B$10)^3+(1/5)*((H1009-$F$4:$F$515)/$B$10)^5+8/15))))/COUNT($F$4:$F$515)</f>
        <v>0.99926611719168779</v>
      </c>
      <c r="H1009" s="1">
        <f t="shared" si="47"/>
        <v>7.7171449687831045E-2</v>
      </c>
      <c r="K1009" s="2">
        <v>0.01</v>
      </c>
      <c r="L1009" s="3">
        <f t="shared" si="45"/>
        <v>-3.8928550312169082E-2</v>
      </c>
    </row>
    <row r="1010" spans="4:12" ht="14.4" customHeight="1">
      <c r="D1010" s="7">
        <v>43440</v>
      </c>
      <c r="E1010" s="8">
        <v>4.516</v>
      </c>
      <c r="F1010" s="8">
        <f t="shared" si="46"/>
        <v>-5.5557881629222733E-2</v>
      </c>
      <c r="G1010" s="8" cm="1">
        <f t="array" ref="G1010">SUMPRODUCT(IF(((H1010-$F$4:$F$515)/$B$10)&lt;=-1,0,IF(((H1010-$F$4:$F$515)/$B$10)&gt;=1,1,(15/16)*(((H1010-$F$4:$F$515)/$B$10)-(2/3)*((H1010-$F$4:$F$515)/$B$10)^3+(1/5)*((H1010-$F$4:$F$515)/$B$10)^5+8/15))))/COUNT($F$4:$F$515)</f>
        <v>0.9993666771116182</v>
      </c>
      <c r="H1010" s="9">
        <f t="shared" si="47"/>
        <v>7.747144968783104E-2</v>
      </c>
      <c r="K1010" s="7">
        <v>0.01</v>
      </c>
      <c r="L1010" s="8">
        <f t="shared" si="45"/>
        <v>-3.8928550312169082E-2</v>
      </c>
    </row>
    <row r="1011" spans="4:12" ht="14.4" customHeight="1">
      <c r="D1011" s="2">
        <v>43441</v>
      </c>
      <c r="E1011" s="3">
        <v>4.55</v>
      </c>
      <c r="F1011" s="3">
        <f t="shared" si="46"/>
        <v>7.5005866754434183E-3</v>
      </c>
      <c r="G1011" s="3" cm="1">
        <f t="array" ref="G1011">SUMPRODUCT(IF(((H1011-$F$4:$F$515)/$B$10)&lt;=-1,0,IF(((H1011-$F$4:$F$515)/$B$10)&gt;=1,1,(15/16)*(((H1011-$F$4:$F$515)/$B$10)-(2/3)*((H1011-$F$4:$F$515)/$B$10)^3+(1/5)*((H1011-$F$4:$F$515)/$B$10)^5+8/15))))/COUNT($F$4:$F$515)</f>
        <v>0.99945949922231736</v>
      </c>
      <c r="H1011" s="1">
        <f t="shared" si="47"/>
        <v>7.7771449687831035E-2</v>
      </c>
      <c r="K1011" s="2">
        <v>0.01</v>
      </c>
      <c r="L1011" s="3">
        <f t="shared" si="45"/>
        <v>-3.8928550312169082E-2</v>
      </c>
    </row>
    <row r="1012" spans="4:12" ht="14.4" customHeight="1">
      <c r="D1012" s="7">
        <v>43444</v>
      </c>
      <c r="E1012" s="8">
        <v>4.4400000000000004</v>
      </c>
      <c r="F1012" s="8">
        <f t="shared" si="46"/>
        <v>-2.4472856518725574E-2</v>
      </c>
      <c r="G1012" s="8" cm="1">
        <f t="array" ref="G1012">SUMPRODUCT(IF(((H1012-$F$4:$F$515)/$B$10)&lt;=-1,0,IF(((H1012-$F$4:$F$515)/$B$10)&gt;=1,1,(15/16)*(((H1012-$F$4:$F$515)/$B$10)-(2/3)*((H1012-$F$4:$F$515)/$B$10)^3+(1/5)*((H1012-$F$4:$F$515)/$B$10)^5+8/15))))/COUNT($F$4:$F$515)</f>
        <v>0.99954426106369176</v>
      </c>
      <c r="H1012" s="9">
        <f t="shared" si="47"/>
        <v>7.8071449687831029E-2</v>
      </c>
      <c r="K1012" s="7">
        <v>0.01</v>
      </c>
      <c r="L1012" s="8">
        <f t="shared" si="45"/>
        <v>-3.8928550312169082E-2</v>
      </c>
    </row>
    <row r="1013" spans="4:12" ht="14.4" customHeight="1">
      <c r="D1013" s="2">
        <v>43445</v>
      </c>
      <c r="E1013" s="3">
        <v>4.5270000000000001</v>
      </c>
      <c r="F1013" s="3">
        <f t="shared" si="46"/>
        <v>1.9405092009688117E-2</v>
      </c>
      <c r="G1013" s="3" cm="1">
        <f t="array" ref="G1013">SUMPRODUCT(IF(((H1013-$F$4:$F$515)/$B$10)&lt;=-1,0,IF(((H1013-$F$4:$F$515)/$B$10)&gt;=1,1,(15/16)*(((H1013-$F$4:$F$515)/$B$10)-(2/3)*((H1013-$F$4:$F$515)/$B$10)^3+(1/5)*((H1013-$F$4:$F$515)/$B$10)^5+8/15))))/COUNT($F$4:$F$515)</f>
        <v>0.99962075488096325</v>
      </c>
      <c r="H1013" s="1">
        <f t="shared" si="47"/>
        <v>7.8371449687831024E-2</v>
      </c>
      <c r="K1013" s="2">
        <v>0.01</v>
      </c>
      <c r="L1013" s="3">
        <f t="shared" si="45"/>
        <v>-3.8928550312169082E-2</v>
      </c>
    </row>
    <row r="1014" spans="4:12" ht="14.4" customHeight="1">
      <c r="D1014" s="7">
        <v>43446</v>
      </c>
      <c r="E1014" s="8">
        <v>4.6459999999999999</v>
      </c>
      <c r="F1014" s="8">
        <f t="shared" si="46"/>
        <v>2.5947165894395718E-2</v>
      </c>
      <c r="G1014" s="8" cm="1">
        <f t="array" ref="G1014">SUMPRODUCT(IF(((H1014-$F$4:$F$515)/$B$10)&lt;=-1,0,IF(((H1014-$F$4:$F$515)/$B$10)&gt;=1,1,(15/16)*(((H1014-$F$4:$F$515)/$B$10)-(2/3)*((H1014-$F$4:$F$515)/$B$10)^3+(1/5)*((H1014-$F$4:$F$515)/$B$10)^5+8/15))))/COUNT($F$4:$F$515)</f>
        <v>0.99968889764800861</v>
      </c>
      <c r="H1014" s="9">
        <f t="shared" si="47"/>
        <v>7.8671449687831019E-2</v>
      </c>
      <c r="K1014" s="7">
        <v>0.01</v>
      </c>
      <c r="L1014" s="8">
        <f t="shared" si="45"/>
        <v>-3.8928550312169082E-2</v>
      </c>
    </row>
    <row r="1015" spans="4:12" ht="14.4" customHeight="1">
      <c r="D1015" s="2">
        <v>43447</v>
      </c>
      <c r="E1015" s="3">
        <v>4.63</v>
      </c>
      <c r="F1015" s="3">
        <f t="shared" si="46"/>
        <v>-3.4497662500747347E-3</v>
      </c>
      <c r="G1015" s="3" cm="1">
        <f t="array" ref="G1015">SUMPRODUCT(IF(((H1015-$F$4:$F$515)/$B$10)&lt;=-1,0,IF(((H1015-$F$4:$F$515)/$B$10)&gt;=1,1,(15/16)*(((H1015-$F$4:$F$515)/$B$10)-(2/3)*((H1015-$F$4:$F$515)/$B$10)^3+(1/5)*((H1015-$F$4:$F$515)/$B$10)^5+8/15))))/COUNT($F$4:$F$515)</f>
        <v>0.99974874109069956</v>
      </c>
      <c r="H1015" s="1">
        <f t="shared" si="47"/>
        <v>7.8971449687831013E-2</v>
      </c>
      <c r="K1015" s="2">
        <v>0.01</v>
      </c>
      <c r="L1015" s="3">
        <f t="shared" si="45"/>
        <v>-3.8928550312169082E-2</v>
      </c>
    </row>
    <row r="1016" spans="4:12" ht="14.4" customHeight="1">
      <c r="D1016" s="7">
        <v>43448</v>
      </c>
      <c r="E1016" s="8">
        <v>4.5469999999999997</v>
      </c>
      <c r="F1016" s="8">
        <f t="shared" si="46"/>
        <v>-1.808919325526925E-2</v>
      </c>
      <c r="G1016" s="8" cm="1">
        <f t="array" ref="G1016">SUMPRODUCT(IF(((H1016-$F$4:$F$515)/$B$10)&lt;=-1,0,IF(((H1016-$F$4:$F$515)/$B$10)&gt;=1,1,(15/16)*(((H1016-$F$4:$F$515)/$B$10)-(2/3)*((H1016-$F$4:$F$515)/$B$10)^3+(1/5)*((H1016-$F$4:$F$515)/$B$10)^5+8/15))))/COUNT($F$4:$F$515)</f>
        <v>0.99980048171024372</v>
      </c>
      <c r="H1016" s="9">
        <f t="shared" si="47"/>
        <v>7.9271449687831008E-2</v>
      </c>
      <c r="K1016" s="7">
        <v>0.01</v>
      </c>
      <c r="L1016" s="8">
        <f t="shared" si="45"/>
        <v>-3.8928550312169082E-2</v>
      </c>
    </row>
    <row r="1017" spans="4:12" ht="14.4" customHeight="1">
      <c r="D1017" s="2">
        <v>43451</v>
      </c>
      <c r="E1017" s="3">
        <v>4.4329999999999998</v>
      </c>
      <c r="F1017" s="3">
        <f t="shared" si="46"/>
        <v>-2.5391119079956954E-2</v>
      </c>
      <c r="G1017" s="3" cm="1">
        <f t="array" ref="G1017">SUMPRODUCT(IF(((H1017-$F$4:$F$515)/$B$10)&lt;=-1,0,IF(((H1017-$F$4:$F$515)/$B$10)&gt;=1,1,(15/16)*(((H1017-$F$4:$F$515)/$B$10)-(2/3)*((H1017-$F$4:$F$515)/$B$10)^3+(1/5)*((H1017-$F$4:$F$515)/$B$10)^5+8/15))))/COUNT($F$4:$F$515)</f>
        <v>0.99984447080652306</v>
      </c>
      <c r="H1017" s="1">
        <f t="shared" si="47"/>
        <v>7.9571449687831003E-2</v>
      </c>
      <c r="K1017" s="2">
        <v>0.01</v>
      </c>
      <c r="L1017" s="3">
        <f t="shared" si="45"/>
        <v>-3.8928550312169082E-2</v>
      </c>
    </row>
    <row r="1018" spans="4:12" ht="14.4" customHeight="1">
      <c r="D1018" s="7">
        <v>43452</v>
      </c>
      <c r="E1018" s="8">
        <v>4.4530000000000003</v>
      </c>
      <c r="F1018" s="8">
        <f t="shared" si="46"/>
        <v>4.5014705766490345E-3</v>
      </c>
      <c r="G1018" s="8" cm="1">
        <f t="array" ref="G1018">SUMPRODUCT(IF(((H1018-$F$4:$F$515)/$B$10)&lt;=-1,0,IF(((H1018-$F$4:$F$515)/$B$10)&gt;=1,1,(15/16)*(((H1018-$F$4:$F$515)/$B$10)-(2/3)*((H1018-$F$4:$F$515)/$B$10)^3+(1/5)*((H1018-$F$4:$F$515)/$B$10)^5+8/15))))/COUNT($F$4:$F$515)</f>
        <v>0.99988122450143579</v>
      </c>
      <c r="H1018" s="9">
        <f t="shared" si="47"/>
        <v>7.9871449687830998E-2</v>
      </c>
      <c r="K1018" s="7">
        <v>0.01</v>
      </c>
      <c r="L1018" s="8">
        <f t="shared" si="45"/>
        <v>-3.8928550312169082E-2</v>
      </c>
    </row>
    <row r="1019" spans="4:12" ht="14.4" customHeight="1">
      <c r="D1019" s="2">
        <v>43453</v>
      </c>
      <c r="E1019" s="3">
        <v>4.1710000000000003</v>
      </c>
      <c r="F1019" s="3">
        <f t="shared" si="46"/>
        <v>-6.5422211124757157E-2</v>
      </c>
      <c r="G1019" s="3" cm="1">
        <f t="array" ref="G1019">SUMPRODUCT(IF(((H1019-$F$4:$F$515)/$B$10)&lt;=-1,0,IF(((H1019-$F$4:$F$515)/$B$10)&gt;=1,1,(15/16)*(((H1019-$F$4:$F$515)/$B$10)-(2/3)*((H1019-$F$4:$F$515)/$B$10)^3+(1/5)*((H1019-$F$4:$F$515)/$B$10)^5+8/15))))/COUNT($F$4:$F$515)</f>
        <v>0.99991143376223501</v>
      </c>
      <c r="H1019" s="1">
        <f t="shared" si="47"/>
        <v>8.0171449687830992E-2</v>
      </c>
      <c r="K1019" s="2">
        <v>0.01</v>
      </c>
      <c r="L1019" s="3">
        <f t="shared" si="45"/>
        <v>-3.8928550312169082E-2</v>
      </c>
    </row>
    <row r="1020" spans="4:12" ht="14.4" customHeight="1">
      <c r="D1020" s="7">
        <v>43454</v>
      </c>
      <c r="E1020" s="8">
        <v>4.0510000000000002</v>
      </c>
      <c r="F1020" s="8">
        <f t="shared" si="46"/>
        <v>-2.9192050994254676E-2</v>
      </c>
      <c r="G1020" s="8" cm="1">
        <f t="array" ref="G1020">SUMPRODUCT(IF(((H1020-$F$4:$F$515)/$B$10)&lt;=-1,0,IF(((H1020-$F$4:$F$515)/$B$10)&gt;=1,1,(15/16)*(((H1020-$F$4:$F$515)/$B$10)-(2/3)*((H1020-$F$4:$F$515)/$B$10)^3+(1/5)*((H1020-$F$4:$F$515)/$B$10)^5+8/15))))/COUNT($F$4:$F$515)</f>
        <v>0.99993597442486926</v>
      </c>
      <c r="H1020" s="9">
        <f t="shared" si="47"/>
        <v>8.0471449687830987E-2</v>
      </c>
      <c r="K1020" s="7">
        <v>0.01</v>
      </c>
      <c r="L1020" s="8">
        <f t="shared" si="45"/>
        <v>-3.8928550312169082E-2</v>
      </c>
    </row>
    <row r="1021" spans="4:12" ht="14.4" customHeight="1">
      <c r="D1021" s="2">
        <v>43455</v>
      </c>
      <c r="E1021" s="3">
        <v>4.0449999999999999</v>
      </c>
      <c r="F1021" s="3">
        <f t="shared" si="46"/>
        <v>-1.4822137100986032E-3</v>
      </c>
      <c r="G1021" s="3" cm="1">
        <f t="array" ref="G1021">SUMPRODUCT(IF(((H1021-$F$4:$F$515)/$B$10)&lt;=-1,0,IF(((H1021-$F$4:$F$515)/$B$10)&gt;=1,1,(15/16)*(((H1021-$F$4:$F$515)/$B$10)-(2/3)*((H1021-$F$4:$F$515)/$B$10)^3+(1/5)*((H1021-$F$4:$F$515)/$B$10)^5+8/15))))/COUNT($F$4:$F$515)</f>
        <v>0.99995580292669883</v>
      </c>
      <c r="H1021" s="1">
        <f t="shared" si="47"/>
        <v>8.0771449687830982E-2</v>
      </c>
      <c r="K1021" s="2">
        <v>0.01</v>
      </c>
      <c r="L1021" s="3">
        <f t="shared" si="45"/>
        <v>-3.8928550312169082E-2</v>
      </c>
    </row>
    <row r="1022" spans="4:12" ht="14.4" customHeight="1">
      <c r="D1022" s="7">
        <v>43458</v>
      </c>
      <c r="E1022" s="8">
        <v>4.01</v>
      </c>
      <c r="F1022" s="8">
        <f t="shared" si="46"/>
        <v>-8.6903091919771965E-3</v>
      </c>
      <c r="G1022" s="8" cm="1">
        <f t="array" ref="G1022">SUMPRODUCT(IF(((H1022-$F$4:$F$515)/$B$10)&lt;=-1,0,IF(((H1022-$F$4:$F$515)/$B$10)&gt;=1,1,(15/16)*(((H1022-$F$4:$F$515)/$B$10)-(2/3)*((H1022-$F$4:$F$515)/$B$10)^3+(1/5)*((H1022-$F$4:$F$515)/$B$10)^5+8/15))))/COUNT($F$4:$F$515)</f>
        <v>0.99997137680449488</v>
      </c>
      <c r="H1022" s="9">
        <f t="shared" si="47"/>
        <v>8.1071449687830976E-2</v>
      </c>
      <c r="K1022" s="7">
        <v>0.01</v>
      </c>
      <c r="L1022" s="8">
        <f t="shared" si="45"/>
        <v>-3.8928550312169082E-2</v>
      </c>
    </row>
    <row r="1023" spans="4:12" ht="14.4" customHeight="1">
      <c r="D1023" s="2">
        <v>43461</v>
      </c>
      <c r="E1023" s="3">
        <v>3.9380000000000002</v>
      </c>
      <c r="F1023" s="3">
        <f t="shared" si="46"/>
        <v>-1.8118261101543878E-2</v>
      </c>
      <c r="G1023" s="3" cm="1">
        <f t="array" ref="G1023">SUMPRODUCT(IF(((H1023-$F$4:$F$515)/$B$10)&lt;=-1,0,IF(((H1023-$F$4:$F$515)/$B$10)&gt;=1,1,(15/16)*(((H1023-$F$4:$F$515)/$B$10)-(2/3)*((H1023-$F$4:$F$515)/$B$10)^3+(1/5)*((H1023-$F$4:$F$515)/$B$10)^5+8/15))))/COUNT($F$4:$F$515)</f>
        <v>0.99998301305321158</v>
      </c>
      <c r="H1023" s="1">
        <f t="shared" si="47"/>
        <v>8.1371449687830971E-2</v>
      </c>
      <c r="K1023" s="2">
        <v>0.01</v>
      </c>
      <c r="L1023" s="3">
        <f t="shared" si="45"/>
        <v>-3.8928550312169082E-2</v>
      </c>
    </row>
    <row r="1024" spans="4:12" ht="14.4" customHeight="1">
      <c r="D1024" s="7">
        <v>43462</v>
      </c>
      <c r="E1024" s="8">
        <v>4.0880000000000001</v>
      </c>
      <c r="F1024" s="8">
        <f t="shared" si="46"/>
        <v>3.7382872684469409E-2</v>
      </c>
      <c r="G1024" s="8" cm="1">
        <f t="array" ref="G1024">SUMPRODUCT(IF(((H1024-$F$4:$F$515)/$B$10)&lt;=-1,0,IF(((H1024-$F$4:$F$515)/$B$10)&gt;=1,1,(15/16)*(((H1024-$F$4:$F$515)/$B$10)-(2/3)*((H1024-$F$4:$F$515)/$B$10)^3+(1/5)*((H1024-$F$4:$F$515)/$B$10)^5+8/15))))/COUNT($F$4:$F$515)</f>
        <v>0.99999112128388834</v>
      </c>
      <c r="H1024" s="9">
        <f t="shared" si="47"/>
        <v>8.1671449687830966E-2</v>
      </c>
      <c r="K1024" s="7">
        <v>0.01</v>
      </c>
      <c r="L1024" s="8">
        <f t="shared" si="45"/>
        <v>-3.8928550312169082E-2</v>
      </c>
    </row>
    <row r="1025" spans="4:12" ht="14.4" customHeight="1">
      <c r="D1025" s="2">
        <v>43465</v>
      </c>
      <c r="E1025" s="3">
        <v>4.1189999999999998</v>
      </c>
      <c r="F1025" s="3">
        <f t="shared" si="46"/>
        <v>7.5545625525403849E-3</v>
      </c>
      <c r="G1025" s="23" cm="1">
        <f t="array" ref="G1025">SUMPRODUCT(IF(((H1025-$F$4:$F$515)/$B$10)&lt;=-1,0,IF(((H1025-$F$4:$F$515)/$B$10)&gt;=1,1,(15/16)*(((H1025-$F$4:$F$515)/$B$10)-(2/3)*((H1025-$F$4:$F$515)/$B$10)^3+(1/5)*((H1025-$F$4:$F$515)/$B$10)^5+8/15))))/COUNT($F$4:$F$515)</f>
        <v>0.99999620906729036</v>
      </c>
      <c r="H1025" s="1">
        <f t="shared" si="47"/>
        <v>8.1971449687830961E-2</v>
      </c>
      <c r="K1025" s="2">
        <v>0.01</v>
      </c>
      <c r="L1025" s="3">
        <f t="shared" si="45"/>
        <v>-3.8928550312169082E-2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1C24-6189-4879-95C0-6C758353F397}">
  <dimension ref="B2:N10"/>
  <sheetViews>
    <sheetView zoomScale="81" workbookViewId="0">
      <selection activeCell="E6" sqref="E6"/>
    </sheetView>
  </sheetViews>
  <sheetFormatPr baseColWidth="10" defaultColWidth="15.44140625" defaultRowHeight="14.4"/>
  <cols>
    <col min="1" max="1" width="15.44140625" style="5"/>
    <col min="2" max="4" width="15.44140625" style="4"/>
    <col min="5" max="5" width="15.44140625" style="6"/>
    <col min="6" max="14" width="15.44140625" style="4"/>
    <col min="15" max="16384" width="15.44140625" style="5"/>
  </cols>
  <sheetData>
    <row r="2" spans="2:3" ht="15" thickBot="1"/>
    <row r="3" spans="2:3">
      <c r="B3" s="53" t="s">
        <v>9</v>
      </c>
      <c r="C3" s="17">
        <f>Estimation_1516!B4</f>
        <v>0.05</v>
      </c>
    </row>
    <row r="4" spans="2:3" ht="15" thickBot="1">
      <c r="B4" s="54" t="s">
        <v>6</v>
      </c>
      <c r="C4" s="55">
        <f>Estimation_1516!B7</f>
        <v>-3.8928550312169082E-2</v>
      </c>
    </row>
    <row r="5" spans="2:3" ht="15" thickBot="1"/>
    <row r="6" spans="2:3">
      <c r="B6" s="49" t="s">
        <v>10</v>
      </c>
      <c r="C6" s="50">
        <f>COUNTIFS(Estimation_1516!$D$4:$D$1025,"&gt;="&amp;DATE(2017,1,1),Estimation_1516!$D$4:$D$1025,"&lt;="&amp;DATE(2018,12,31))</f>
        <v>510</v>
      </c>
    </row>
    <row r="7" spans="2:3" ht="15" thickBot="1">
      <c r="B7" s="51" t="s">
        <v>11</v>
      </c>
      <c r="C7" s="52">
        <f>COUNTIFS(Estimation_1516!$D$4:$D$1025,"&gt;="&amp;DATE(2017,1,1),Estimation_1516!$D$4:$D$1025,"&lt;="&amp;DATE(2018,12,31),Estimation_1516!$F$4:$F$1025,"&lt;"&amp;$C$4)</f>
        <v>8</v>
      </c>
    </row>
    <row r="8" spans="2:3" ht="15" thickBot="1"/>
    <row r="9" spans="2:3">
      <c r="B9" s="45" t="s">
        <v>12</v>
      </c>
      <c r="C9" s="46">
        <f>C7/C6</f>
        <v>1.5686274509803921E-2</v>
      </c>
    </row>
    <row r="10" spans="2:3" ht="15" thickBot="1">
      <c r="B10" s="47" t="s">
        <v>13</v>
      </c>
      <c r="C10" s="48">
        <f>C7*100/C6</f>
        <v>1.5686274509803921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3A93-5548-4AD2-9657-C1EC9F109477}">
  <dimension ref="A1:D1025"/>
  <sheetViews>
    <sheetView workbookViewId="0">
      <selection activeCell="G1" sqref="G1"/>
    </sheetView>
  </sheetViews>
  <sheetFormatPr baseColWidth="10" defaultColWidth="8.88671875" defaultRowHeight="14.4"/>
  <cols>
    <col min="1" max="1" width="8.88671875" style="5"/>
    <col min="2" max="2" width="9.33203125" style="5" customWidth="1"/>
    <col min="3" max="16384" width="8.88671875" style="5"/>
  </cols>
  <sheetData>
    <row r="1" spans="1:4" ht="15" thickBot="1">
      <c r="A1" s="16" t="s">
        <v>14</v>
      </c>
      <c r="B1" s="17">
        <f>Estimation_1516!B4</f>
        <v>0.05</v>
      </c>
    </row>
    <row r="2" spans="1:4" ht="15" thickBot="1">
      <c r="A2" s="18" t="s">
        <v>17</v>
      </c>
      <c r="B2" s="19">
        <f>Estimation_1516!B7</f>
        <v>-3.8928550312169082E-2</v>
      </c>
      <c r="D2" s="24" t="str">
        <f>Estimation_1516!F2</f>
        <v>LNR1J</v>
      </c>
    </row>
    <row r="3" spans="1:4" ht="15" thickBot="1">
      <c r="A3" s="20" t="s">
        <v>15</v>
      </c>
      <c r="B3" s="21">
        <f>Estimation_1516!B13</f>
        <v>3.8928550312169082E-2</v>
      </c>
      <c r="D3" s="26"/>
    </row>
    <row r="4" spans="1:4" ht="15" thickBot="1">
      <c r="D4" s="25">
        <f>Estimation_1516!F4</f>
        <v>-3.5676033381843497E-2</v>
      </c>
    </row>
    <row r="5" spans="1:4" ht="15" thickBot="1">
      <c r="A5" s="14" t="s">
        <v>16</v>
      </c>
      <c r="B5" s="15">
        <f>-1*AVERAGEIF(D4:D1025,"&lt;="&amp;$B$2)</f>
        <v>5.4517571463110606E-2</v>
      </c>
      <c r="D5" s="26">
        <f>Estimation_1516!F5</f>
        <v>-1.7669947323449411E-2</v>
      </c>
    </row>
    <row r="6" spans="1:4">
      <c r="D6" s="25">
        <f>Estimation_1516!F6</f>
        <v>-1.9900211340515186E-2</v>
      </c>
    </row>
    <row r="7" spans="1:4">
      <c r="D7" s="26">
        <f>Estimation_1516!F7</f>
        <v>4.2902523969794507E-2</v>
      </c>
    </row>
    <row r="8" spans="1:4">
      <c r="D8" s="25">
        <f>Estimation_1516!F8</f>
        <v>-2.0940262971821135E-2</v>
      </c>
    </row>
    <row r="9" spans="1:4">
      <c r="D9" s="26">
        <f>Estimation_1516!F9</f>
        <v>-1.4334458949087362E-2</v>
      </c>
    </row>
    <row r="10" spans="1:4">
      <c r="D10" s="25">
        <f>Estimation_1516!F10</f>
        <v>2.5507759547212665E-2</v>
      </c>
    </row>
    <row r="11" spans="1:4">
      <c r="D11" s="26">
        <f>Estimation_1516!F11</f>
        <v>-1.6618812129966656E-2</v>
      </c>
    </row>
    <row r="12" spans="1:4">
      <c r="D12" s="25">
        <f>Estimation_1516!F12</f>
        <v>2.0315674011292705E-2</v>
      </c>
    </row>
    <row r="13" spans="1:4">
      <c r="D13" s="26">
        <f>Estimation_1516!F13</f>
        <v>1.3196672454169816E-2</v>
      </c>
    </row>
    <row r="14" spans="1:4">
      <c r="D14" s="25">
        <f>Estimation_1516!F14</f>
        <v>2.5704659586014915E-2</v>
      </c>
    </row>
    <row r="15" spans="1:4">
      <c r="D15" s="26">
        <f>Estimation_1516!F15</f>
        <v>1.6543847934701077E-2</v>
      </c>
    </row>
    <row r="16" spans="1:4">
      <c r="D16" s="25">
        <f>Estimation_1516!F16</f>
        <v>6.0906827108348979E-3</v>
      </c>
    </row>
    <row r="17" spans="4:4">
      <c r="D17" s="26">
        <f>Estimation_1516!F17</f>
        <v>3.2095619393514956E-2</v>
      </c>
    </row>
    <row r="18" spans="4:4">
      <c r="D18" s="25">
        <f>Estimation_1516!F18</f>
        <v>-8.4360210100430932E-3</v>
      </c>
    </row>
    <row r="19" spans="4:4">
      <c r="D19" s="26">
        <f>Estimation_1516!F19</f>
        <v>1.6941973780451884E-4</v>
      </c>
    </row>
    <row r="20" spans="4:4">
      <c r="D20" s="25">
        <f>Estimation_1516!F20</f>
        <v>-2.0884018158213266E-2</v>
      </c>
    </row>
    <row r="21" spans="4:4">
      <c r="D21" s="26">
        <f>Estimation_1516!F21</f>
        <v>-1.0258283472420401E-2</v>
      </c>
    </row>
    <row r="22" spans="4:4">
      <c r="D22" s="25">
        <f>Estimation_1516!F22</f>
        <v>2.9665844983069252E-3</v>
      </c>
    </row>
    <row r="23" spans="4:4">
      <c r="D23" s="26">
        <f>Estimation_1516!F23</f>
        <v>-1.5275514303944419E-2</v>
      </c>
    </row>
    <row r="24" spans="4:4">
      <c r="D24" s="25">
        <f>Estimation_1516!F24</f>
        <v>4.0610985451852355E-3</v>
      </c>
    </row>
    <row r="25" spans="4:4">
      <c r="D25" s="26">
        <f>Estimation_1516!F25</f>
        <v>2.968710332158794E-2</v>
      </c>
    </row>
    <row r="26" spans="4:4">
      <c r="D26" s="25">
        <f>Estimation_1516!F26</f>
        <v>-1.0316460135110932E-2</v>
      </c>
    </row>
    <row r="27" spans="4:4">
      <c r="D27" s="26">
        <f>Estimation_1516!F27</f>
        <v>-3.6360528329209391E-3</v>
      </c>
    </row>
    <row r="28" spans="4:4">
      <c r="D28" s="25">
        <f>Estimation_1516!F28</f>
        <v>1.4978329436855705E-2</v>
      </c>
    </row>
    <row r="29" spans="4:4">
      <c r="D29" s="26">
        <f>Estimation_1516!F29</f>
        <v>-1.654069413275645E-2</v>
      </c>
    </row>
    <row r="30" spans="4:4">
      <c r="D30" s="25">
        <f>Estimation_1516!F30</f>
        <v>2.3692095290381486E-2</v>
      </c>
    </row>
    <row r="31" spans="4:4">
      <c r="D31" s="26">
        <f>Estimation_1516!F31</f>
        <v>-1.3838095596289544E-2</v>
      </c>
    </row>
    <row r="32" spans="4:4">
      <c r="D32" s="25">
        <f>Estimation_1516!F32</f>
        <v>2.0433198557292778E-2</v>
      </c>
    </row>
    <row r="33" spans="4:4">
      <c r="D33" s="26">
        <f>Estimation_1516!F33</f>
        <v>3.0378300790309679E-2</v>
      </c>
    </row>
    <row r="34" spans="4:4">
      <c r="D34" s="25">
        <f>Estimation_1516!F34</f>
        <v>-5.0815616273252907E-3</v>
      </c>
    </row>
    <row r="35" spans="4:4">
      <c r="D35" s="26">
        <f>Estimation_1516!F35</f>
        <v>1.597686413694123E-2</v>
      </c>
    </row>
    <row r="36" spans="4:4">
      <c r="D36" s="25">
        <f>Estimation_1516!F36</f>
        <v>1.1897246439794777E-2</v>
      </c>
    </row>
    <row r="37" spans="4:4">
      <c r="D37" s="26">
        <f>Estimation_1516!F37</f>
        <v>1.9623987869983418E-2</v>
      </c>
    </row>
    <row r="38" spans="4:4">
      <c r="D38" s="25">
        <f>Estimation_1516!F38</f>
        <v>-5.9729822344497347E-3</v>
      </c>
    </row>
    <row r="39" spans="4:4">
      <c r="D39" s="26">
        <f>Estimation_1516!F39</f>
        <v>8.9461477138661084E-3</v>
      </c>
    </row>
    <row r="40" spans="4:4">
      <c r="D40" s="25">
        <f>Estimation_1516!F40</f>
        <v>7.8094498307135099E-4</v>
      </c>
    </row>
    <row r="41" spans="4:4">
      <c r="D41" s="26">
        <f>Estimation_1516!F41</f>
        <v>-8.1517930643014037E-3</v>
      </c>
    </row>
    <row r="42" spans="4:4">
      <c r="D42" s="25">
        <f>Estimation_1516!F42</f>
        <v>1.437749410675466E-2</v>
      </c>
    </row>
    <row r="43" spans="4:4">
      <c r="D43" s="26">
        <f>Estimation_1516!F43</f>
        <v>3.8714721216584072E-3</v>
      </c>
    </row>
    <row r="44" spans="4:4">
      <c r="D44" s="25">
        <f>Estimation_1516!F44</f>
        <v>5.5487195383505314E-3</v>
      </c>
    </row>
    <row r="45" spans="4:4">
      <c r="D45" s="26">
        <f>Estimation_1516!F45</f>
        <v>-2.0654511719002643E-2</v>
      </c>
    </row>
    <row r="46" spans="4:4">
      <c r="D46" s="25">
        <f>Estimation_1516!F46</f>
        <v>7.0362263555080436E-3</v>
      </c>
    </row>
    <row r="47" spans="4:4">
      <c r="D47" s="26">
        <f>Estimation_1516!F47</f>
        <v>-2.496101139993778E-3</v>
      </c>
    </row>
    <row r="48" spans="4:4">
      <c r="D48" s="25">
        <f>Estimation_1516!F48</f>
        <v>4.9859872691632922E-3</v>
      </c>
    </row>
    <row r="49" spans="4:4">
      <c r="D49" s="26">
        <f>Estimation_1516!F49</f>
        <v>-7.7742365728489791E-4</v>
      </c>
    </row>
    <row r="50" spans="4:4">
      <c r="D50" s="25">
        <f>Estimation_1516!F50</f>
        <v>-1.1105142670938839E-2</v>
      </c>
    </row>
    <row r="51" spans="4:4">
      <c r="D51" s="26">
        <f>Estimation_1516!F51</f>
        <v>2.6846208431909158E-2</v>
      </c>
    </row>
    <row r="52" spans="4:4">
      <c r="D52" s="25">
        <f>Estimation_1516!F52</f>
        <v>3.3628891368396828E-3</v>
      </c>
    </row>
    <row r="53" spans="4:4">
      <c r="D53" s="26">
        <f>Estimation_1516!F53</f>
        <v>1.0172409891556952E-2</v>
      </c>
    </row>
    <row r="54" spans="4:4">
      <c r="D54" s="25">
        <f>Estimation_1516!F54</f>
        <v>1.5736555538985966E-2</v>
      </c>
    </row>
    <row r="55" spans="4:4">
      <c r="D55" s="26">
        <f>Estimation_1516!F55</f>
        <v>-1.2719961999560294E-2</v>
      </c>
    </row>
    <row r="56" spans="4:4">
      <c r="D56" s="25">
        <f>Estimation_1516!F56</f>
        <v>-1.1968933125601997E-2</v>
      </c>
    </row>
    <row r="57" spans="4:4">
      <c r="D57" s="26">
        <f>Estimation_1516!F57</f>
        <v>6.2296030682608408E-3</v>
      </c>
    </row>
    <row r="58" spans="4:4">
      <c r="D58" s="25">
        <f>Estimation_1516!F58</f>
        <v>1.7864319556827501E-2</v>
      </c>
    </row>
    <row r="59" spans="4:4">
      <c r="D59" s="26">
        <f>Estimation_1516!F59</f>
        <v>4.4626255854036105E-4</v>
      </c>
    </row>
    <row r="60" spans="4:4">
      <c r="D60" s="25">
        <f>Estimation_1516!F60</f>
        <v>8.8836829432327978E-3</v>
      </c>
    </row>
    <row r="61" spans="4:4">
      <c r="D61" s="26">
        <f>Estimation_1516!F61</f>
        <v>-8.2889758189550571E-3</v>
      </c>
    </row>
    <row r="62" spans="4:4">
      <c r="D62" s="25">
        <f>Estimation_1516!F62</f>
        <v>-1.2112297611202043E-2</v>
      </c>
    </row>
    <row r="63" spans="4:4">
      <c r="D63" s="26">
        <f>Estimation_1516!F63</f>
        <v>3.0229001961317076E-2</v>
      </c>
    </row>
    <row r="64" spans="4:4">
      <c r="D64" s="25">
        <f>Estimation_1516!F64</f>
        <v>1.9799765251048106E-2</v>
      </c>
    </row>
    <row r="65" spans="4:4">
      <c r="D65" s="26">
        <f>Estimation_1516!F65</f>
        <v>-3.8712500852807578E-3</v>
      </c>
    </row>
    <row r="66" spans="4:4">
      <c r="D66" s="25">
        <f>Estimation_1516!F66</f>
        <v>1.7515577734057635E-2</v>
      </c>
    </row>
    <row r="67" spans="4:4">
      <c r="D67" s="26">
        <f>Estimation_1516!F67</f>
        <v>8.574091461243525E-3</v>
      </c>
    </row>
    <row r="68" spans="4:4">
      <c r="D68" s="25">
        <f>Estimation_1516!F68</f>
        <v>1.3070263929173747E-2</v>
      </c>
    </row>
    <row r="69" spans="4:4">
      <c r="D69" s="26">
        <f>Estimation_1516!F69</f>
        <v>3.4475659879878535E-3</v>
      </c>
    </row>
    <row r="70" spans="4:4">
      <c r="D70" s="25">
        <f>Estimation_1516!F70</f>
        <v>1.814387130673854E-2</v>
      </c>
    </row>
    <row r="71" spans="4:4">
      <c r="D71" s="26">
        <f>Estimation_1516!F71</f>
        <v>-5.558205863656053E-3</v>
      </c>
    </row>
    <row r="72" spans="4:4">
      <c r="D72" s="25">
        <f>Estimation_1516!F72</f>
        <v>6.5040879691764825E-3</v>
      </c>
    </row>
    <row r="73" spans="4:4">
      <c r="D73" s="26">
        <f>Estimation_1516!F73</f>
        <v>1.214820963331598E-3</v>
      </c>
    </row>
    <row r="74" spans="4:4">
      <c r="D74" s="25">
        <f>Estimation_1516!F74</f>
        <v>2.290643055085004E-3</v>
      </c>
    </row>
    <row r="75" spans="4:4">
      <c r="D75" s="26">
        <f>Estimation_1516!F75</f>
        <v>-1.0825545504922447E-2</v>
      </c>
    </row>
    <row r="76" spans="4:4">
      <c r="D76" s="25">
        <f>Estimation_1516!F76</f>
        <v>-2.5073637552115849E-2</v>
      </c>
    </row>
    <row r="77" spans="4:4">
      <c r="D77" s="26">
        <f>Estimation_1516!F77</f>
        <v>1.1374793193954125E-2</v>
      </c>
    </row>
    <row r="78" spans="4:4">
      <c r="D78" s="25">
        <f>Estimation_1516!F78</f>
        <v>1.5194324209985456E-2</v>
      </c>
    </row>
    <row r="79" spans="4:4">
      <c r="D79" s="26">
        <f>Estimation_1516!F79</f>
        <v>1.1346873059403403E-2</v>
      </c>
    </row>
    <row r="80" spans="4:4">
      <c r="D80" s="25">
        <f>Estimation_1516!F80</f>
        <v>1.2016165942486398E-2</v>
      </c>
    </row>
    <row r="81" spans="4:4">
      <c r="D81" s="26">
        <f>Estimation_1516!F81</f>
        <v>1.4623803195762303E-2</v>
      </c>
    </row>
    <row r="82" spans="4:4">
      <c r="D82" s="25">
        <f>Estimation_1516!F82</f>
        <v>1.2735714700054848E-2</v>
      </c>
    </row>
    <row r="83" spans="4:4">
      <c r="D83" s="26">
        <f>Estimation_1516!F83</f>
        <v>-1.0645303695818609E-2</v>
      </c>
    </row>
    <row r="84" spans="4:4">
      <c r="D84" s="25">
        <f>Estimation_1516!F84</f>
        <v>-5.1416947088489234E-2</v>
      </c>
    </row>
    <row r="85" spans="4:4">
      <c r="D85" s="26">
        <f>Estimation_1516!F85</f>
        <v>1.4730217240403409E-2</v>
      </c>
    </row>
    <row r="86" spans="4:4">
      <c r="D86" s="25">
        <f>Estimation_1516!F86</f>
        <v>-1.7616374228579302E-3</v>
      </c>
    </row>
    <row r="87" spans="4:4">
      <c r="D87" s="26">
        <f>Estimation_1516!F87</f>
        <v>-3.4636094151927622E-2</v>
      </c>
    </row>
    <row r="88" spans="4:4">
      <c r="D88" s="25">
        <f>Estimation_1516!F88</f>
        <v>1.1226495706186572E-3</v>
      </c>
    </row>
    <row r="89" spans="4:4">
      <c r="D89" s="26">
        <f>Estimation_1516!F89</f>
        <v>-1.5439683044683949E-3</v>
      </c>
    </row>
    <row r="90" spans="4:4">
      <c r="D90" s="25">
        <f>Estimation_1516!F90</f>
        <v>1.8234202744847244E-2</v>
      </c>
    </row>
    <row r="91" spans="4:4">
      <c r="D91" s="26">
        <f>Estimation_1516!F91</f>
        <v>-4.1465159618485773E-3</v>
      </c>
    </row>
    <row r="92" spans="4:4">
      <c r="D92" s="25">
        <f>Estimation_1516!F92</f>
        <v>-3.3806036130453659E-2</v>
      </c>
    </row>
    <row r="93" spans="4:4">
      <c r="D93" s="26">
        <f>Estimation_1516!F93</f>
        <v>7.7066172775095707E-3</v>
      </c>
    </row>
    <row r="94" spans="4:4">
      <c r="D94" s="25">
        <f>Estimation_1516!F94</f>
        <v>1.6356822654125719E-2</v>
      </c>
    </row>
    <row r="95" spans="4:4">
      <c r="D95" s="26">
        <f>Estimation_1516!F95</f>
        <v>-1.819836716986094E-3</v>
      </c>
    </row>
    <row r="96" spans="4:4">
      <c r="D96" s="25">
        <f>Estimation_1516!F96</f>
        <v>-8.7250764596288801E-3</v>
      </c>
    </row>
    <row r="97" spans="4:4">
      <c r="D97" s="26">
        <f>Estimation_1516!F97</f>
        <v>1.8485332413002691E-2</v>
      </c>
    </row>
    <row r="98" spans="4:4">
      <c r="D98" s="25">
        <f>Estimation_1516!F98</f>
        <v>5.6727927983742481E-3</v>
      </c>
    </row>
    <row r="99" spans="4:4">
      <c r="D99" s="26">
        <f>Estimation_1516!F99</f>
        <v>-1.3797861353391047E-4</v>
      </c>
    </row>
    <row r="100" spans="4:4">
      <c r="D100" s="25">
        <f>Estimation_1516!F100</f>
        <v>-3.9833568221201737E-2</v>
      </c>
    </row>
    <row r="101" spans="4:4">
      <c r="D101" s="26">
        <f>Estimation_1516!F101</f>
        <v>-1.490081819718893E-2</v>
      </c>
    </row>
    <row r="102" spans="4:4">
      <c r="D102" s="25">
        <f>Estimation_1516!F102</f>
        <v>-5.7005197122997221E-3</v>
      </c>
    </row>
    <row r="103" spans="4:4">
      <c r="D103" s="26">
        <f>Estimation_1516!F103</f>
        <v>2.0026790349874243E-2</v>
      </c>
    </row>
    <row r="104" spans="4:4">
      <c r="D104" s="25">
        <f>Estimation_1516!F104</f>
        <v>-5.3302726504398613E-3</v>
      </c>
    </row>
    <row r="105" spans="4:4">
      <c r="D105" s="26">
        <f>Estimation_1516!F105</f>
        <v>-1.4110351211373098E-2</v>
      </c>
    </row>
    <row r="106" spans="4:4">
      <c r="D106" s="25">
        <f>Estimation_1516!F106</f>
        <v>-6.9092520356866952E-3</v>
      </c>
    </row>
    <row r="107" spans="4:4">
      <c r="D107" s="26">
        <f>Estimation_1516!F107</f>
        <v>-2.5108941631343468E-3</v>
      </c>
    </row>
    <row r="108" spans="4:4">
      <c r="D108" s="25">
        <f>Estimation_1516!F108</f>
        <v>-4.1493835468114776E-3</v>
      </c>
    </row>
    <row r="109" spans="4:4">
      <c r="D109" s="26">
        <f>Estimation_1516!F109</f>
        <v>-1.634837251983094E-3</v>
      </c>
    </row>
    <row r="110" spans="4:4">
      <c r="D110" s="25">
        <f>Estimation_1516!F110</f>
        <v>-1.4986043984057161E-2</v>
      </c>
    </row>
    <row r="111" spans="4:4">
      <c r="D111" s="26">
        <f>Estimation_1516!F111</f>
        <v>-2.1365073309983867E-2</v>
      </c>
    </row>
    <row r="112" spans="4:4">
      <c r="D112" s="25">
        <f>Estimation_1516!F112</f>
        <v>1.3872834594863056E-3</v>
      </c>
    </row>
    <row r="113" spans="4:4">
      <c r="D113" s="26">
        <f>Estimation_1516!F113</f>
        <v>1.7710386566332021E-2</v>
      </c>
    </row>
    <row r="114" spans="4:4">
      <c r="D114" s="25">
        <f>Estimation_1516!F114</f>
        <v>-3.7904677329371776E-3</v>
      </c>
    </row>
    <row r="115" spans="4:4">
      <c r="D115" s="26">
        <f>Estimation_1516!F115</f>
        <v>-1.3150036587345752E-2</v>
      </c>
    </row>
    <row r="116" spans="4:4">
      <c r="D116" s="25">
        <f>Estimation_1516!F116</f>
        <v>-2.5250718125291512E-2</v>
      </c>
    </row>
    <row r="117" spans="4:4">
      <c r="D117" s="26">
        <f>Estimation_1516!F117</f>
        <v>1.3795484502553051E-2</v>
      </c>
    </row>
    <row r="118" spans="4:4">
      <c r="D118" s="25">
        <f>Estimation_1516!F118</f>
        <v>-1.8542328858772581E-2</v>
      </c>
    </row>
    <row r="119" spans="4:4">
      <c r="D119" s="26">
        <f>Estimation_1516!F119</f>
        <v>2.0597329630105622E-3</v>
      </c>
    </row>
    <row r="120" spans="4:4">
      <c r="D120" s="25">
        <f>Estimation_1516!F120</f>
        <v>1.8659890690585445E-2</v>
      </c>
    </row>
    <row r="121" spans="4:4">
      <c r="D121" s="26">
        <f>Estimation_1516!F121</f>
        <v>4.3323136232435201E-2</v>
      </c>
    </row>
    <row r="122" spans="4:4">
      <c r="D122" s="25">
        <f>Estimation_1516!F122</f>
        <v>1.0212476828740437E-2</v>
      </c>
    </row>
    <row r="123" spans="4:4">
      <c r="D123" s="26">
        <f>Estimation_1516!F123</f>
        <v>-6.9449854321001498E-3</v>
      </c>
    </row>
    <row r="124" spans="4:4">
      <c r="D124" s="25">
        <f>Estimation_1516!F124</f>
        <v>3.5524016043679218E-3</v>
      </c>
    </row>
    <row r="125" spans="4:4">
      <c r="D125" s="26">
        <f>Estimation_1516!F125</f>
        <v>4.2757160605790224E-3</v>
      </c>
    </row>
    <row r="126" spans="4:4">
      <c r="D126" s="25">
        <f>Estimation_1516!F126</f>
        <v>-4.9459801302652678E-2</v>
      </c>
    </row>
    <row r="127" spans="4:4">
      <c r="D127" s="26">
        <f>Estimation_1516!F127</f>
        <v>-2.1665127632426086E-3</v>
      </c>
    </row>
    <row r="128" spans="4:4">
      <c r="D128" s="25">
        <f>Estimation_1516!F128</f>
        <v>1.4762685451133449E-2</v>
      </c>
    </row>
    <row r="129" spans="4:4">
      <c r="D129" s="26">
        <f>Estimation_1516!F129</f>
        <v>-1.7089169633477071E-2</v>
      </c>
    </row>
    <row r="130" spans="4:4">
      <c r="D130" s="25">
        <f>Estimation_1516!F130</f>
        <v>-9.2037152300524037E-3</v>
      </c>
    </row>
    <row r="131" spans="4:4">
      <c r="D131" s="26">
        <f>Estimation_1516!F131</f>
        <v>-3.9803863876642191E-2</v>
      </c>
    </row>
    <row r="132" spans="4:4">
      <c r="D132" s="25">
        <f>Estimation_1516!F132</f>
        <v>-1.795479140634779E-3</v>
      </c>
    </row>
    <row r="133" spans="4:4">
      <c r="D133" s="26">
        <f>Estimation_1516!F133</f>
        <v>8.1354174699969327E-3</v>
      </c>
    </row>
    <row r="134" spans="4:4">
      <c r="D134" s="25">
        <f>Estimation_1516!F134</f>
        <v>4.8242136476458912E-2</v>
      </c>
    </row>
    <row r="135" spans="4:4">
      <c r="D135" s="26">
        <f>Estimation_1516!F135</f>
        <v>3.6389703399905798E-2</v>
      </c>
    </row>
    <row r="136" spans="4:4">
      <c r="D136" s="25">
        <f>Estimation_1516!F136</f>
        <v>2.7028672387919419E-2</v>
      </c>
    </row>
    <row r="137" spans="4:4">
      <c r="D137" s="26">
        <f>Estimation_1516!F137</f>
        <v>1.3034979034439755E-3</v>
      </c>
    </row>
    <row r="138" spans="4:4">
      <c r="D138" s="25">
        <f>Estimation_1516!F138</f>
        <v>1.151257498833424E-2</v>
      </c>
    </row>
    <row r="139" spans="4:4">
      <c r="D139" s="26">
        <f>Estimation_1516!F139</f>
        <v>5.8492213275816518E-3</v>
      </c>
    </row>
    <row r="140" spans="4:4">
      <c r="D140" s="25">
        <f>Estimation_1516!F140</f>
        <v>2.4152885223117895E-3</v>
      </c>
    </row>
    <row r="141" spans="4:4">
      <c r="D141" s="26">
        <f>Estimation_1516!F141</f>
        <v>1.3250828222087663E-2</v>
      </c>
    </row>
    <row r="142" spans="4:4">
      <c r="D142" s="25">
        <f>Estimation_1516!F142</f>
        <v>-8.4376818973359476E-3</v>
      </c>
    </row>
    <row r="143" spans="4:4">
      <c r="D143" s="26">
        <f>Estimation_1516!F143</f>
        <v>-7.0636437209816805E-4</v>
      </c>
    </row>
    <row r="144" spans="4:4">
      <c r="D144" s="25">
        <f>Estimation_1516!F144</f>
        <v>-3.2557180714966254E-3</v>
      </c>
    </row>
    <row r="145" spans="4:4">
      <c r="D145" s="26">
        <f>Estimation_1516!F145</f>
        <v>-8.5434095043123177E-3</v>
      </c>
    </row>
    <row r="146" spans="4:4">
      <c r="D146" s="25">
        <f>Estimation_1516!F146</f>
        <v>-3.2260862218221553E-2</v>
      </c>
    </row>
    <row r="147" spans="4:4">
      <c r="D147" s="26">
        <f>Estimation_1516!F147</f>
        <v>1.0577445466852266E-2</v>
      </c>
    </row>
    <row r="148" spans="4:4">
      <c r="D148" s="25">
        <f>Estimation_1516!F148</f>
        <v>-4.5404691699187953E-3</v>
      </c>
    </row>
    <row r="149" spans="4:4">
      <c r="D149" s="26">
        <f>Estimation_1516!F149</f>
        <v>-4.2891564629312984E-2</v>
      </c>
    </row>
    <row r="150" spans="4:4">
      <c r="D150" s="25">
        <f>Estimation_1516!F150</f>
        <v>2.4969141629551089E-2</v>
      </c>
    </row>
    <row r="151" spans="4:4">
      <c r="D151" s="26">
        <f>Estimation_1516!F151</f>
        <v>9.5196316114822405E-3</v>
      </c>
    </row>
    <row r="152" spans="4:4">
      <c r="D152" s="25">
        <f>Estimation_1516!F152</f>
        <v>-1.5515752109878092E-2</v>
      </c>
    </row>
    <row r="153" spans="4:4">
      <c r="D153" s="26">
        <f>Estimation_1516!F153</f>
        <v>4.0513222191787242E-3</v>
      </c>
    </row>
    <row r="154" spans="4:4">
      <c r="D154" s="25">
        <f>Estimation_1516!F154</f>
        <v>-5.1043497704143176E-3</v>
      </c>
    </row>
    <row r="155" spans="4:4">
      <c r="D155" s="26">
        <f>Estimation_1516!F155</f>
        <v>-3.9919331603540817E-2</v>
      </c>
    </row>
    <row r="156" spans="4:4">
      <c r="D156" s="25">
        <f>Estimation_1516!F156</f>
        <v>5.0000104167058392E-3</v>
      </c>
    </row>
    <row r="157" spans="4:4">
      <c r="D157" s="26">
        <f>Estimation_1516!F157</f>
        <v>-2.1844290165421291E-3</v>
      </c>
    </row>
    <row r="158" spans="4:4">
      <c r="D158" s="25">
        <f>Estimation_1516!F158</f>
        <v>-2.6913132979224201E-2</v>
      </c>
    </row>
    <row r="159" spans="4:4">
      <c r="D159" s="26">
        <f>Estimation_1516!F159</f>
        <v>2.8785792702515876E-2</v>
      </c>
    </row>
    <row r="160" spans="4:4">
      <c r="D160" s="25">
        <f>Estimation_1516!F160</f>
        <v>-1.5872101885474589E-2</v>
      </c>
    </row>
    <row r="161" spans="4:4">
      <c r="D161" s="26">
        <f>Estimation_1516!F161</f>
        <v>-3.8089238241222957E-3</v>
      </c>
    </row>
    <row r="162" spans="4:4">
      <c r="D162" s="25">
        <f>Estimation_1516!F162</f>
        <v>4.917132597399885E-3</v>
      </c>
    </row>
    <row r="163" spans="4:4">
      <c r="D163" s="26">
        <f>Estimation_1516!F163</f>
        <v>-1.7236302872325512E-2</v>
      </c>
    </row>
    <row r="164" spans="4:4">
      <c r="D164" s="25">
        <f>Estimation_1516!F164</f>
        <v>-5.4246102547249465E-2</v>
      </c>
    </row>
    <row r="165" spans="4:4">
      <c r="D165" s="26">
        <f>Estimation_1516!F165</f>
        <v>-5.4303294151791796E-2</v>
      </c>
    </row>
    <row r="166" spans="4:4">
      <c r="D166" s="25">
        <f>Estimation_1516!F166</f>
        <v>-3.0609057496227679E-2</v>
      </c>
    </row>
    <row r="167" spans="4:4">
      <c r="D167" s="26">
        <f>Estimation_1516!F167</f>
        <v>6.2744591082674259E-2</v>
      </c>
    </row>
    <row r="168" spans="4:4">
      <c r="D168" s="25">
        <f>Estimation_1516!F168</f>
        <v>-2.3025887665482206E-2</v>
      </c>
    </row>
    <row r="169" spans="4:4">
      <c r="D169" s="26">
        <f>Estimation_1516!F169</f>
        <v>3.0297387849232048E-2</v>
      </c>
    </row>
    <row r="170" spans="4:4">
      <c r="D170" s="25">
        <f>Estimation_1516!F170</f>
        <v>-1.3721448457475685E-2</v>
      </c>
    </row>
    <row r="171" spans="4:4">
      <c r="D171" s="26">
        <f>Estimation_1516!F171</f>
        <v>-1.0195201685028465E-2</v>
      </c>
    </row>
    <row r="172" spans="4:4">
      <c r="D172" s="25">
        <f>Estimation_1516!F172</f>
        <v>-1.9986389762506419E-2</v>
      </c>
    </row>
    <row r="173" spans="4:4">
      <c r="D173" s="26">
        <f>Estimation_1516!F173</f>
        <v>-3.9732759513603898E-3</v>
      </c>
    </row>
    <row r="174" spans="4:4">
      <c r="D174" s="25">
        <f>Estimation_1516!F174</f>
        <v>3.6600283464700636E-2</v>
      </c>
    </row>
    <row r="175" spans="4:4">
      <c r="D175" s="26">
        <f>Estimation_1516!F175</f>
        <v>-2.6696538159628889E-2</v>
      </c>
    </row>
    <row r="176" spans="4:4">
      <c r="D176" s="25">
        <f>Estimation_1516!F176</f>
        <v>-2.3320487741781493E-3</v>
      </c>
    </row>
    <row r="177" spans="4:4">
      <c r="D177" s="26">
        <f>Estimation_1516!F177</f>
        <v>5.1948168771041511E-3</v>
      </c>
    </row>
    <row r="178" spans="4:4">
      <c r="D178" s="25">
        <f>Estimation_1516!F178</f>
        <v>1.2498885655380626E-3</v>
      </c>
    </row>
    <row r="179" spans="4:4">
      <c r="D179" s="26">
        <f>Estimation_1516!F179</f>
        <v>-1.4016401973535883E-2</v>
      </c>
    </row>
    <row r="180" spans="4:4">
      <c r="D180" s="25">
        <f>Estimation_1516!F180</f>
        <v>-1.4215657654013445E-2</v>
      </c>
    </row>
    <row r="181" spans="4:4">
      <c r="D181" s="26">
        <f>Estimation_1516!F181</f>
        <v>-1.3489994833484769E-2</v>
      </c>
    </row>
    <row r="182" spans="4:4">
      <c r="D182" s="25">
        <f>Estimation_1516!F182</f>
        <v>6.4905188446637051E-3</v>
      </c>
    </row>
    <row r="183" spans="4:4">
      <c r="D183" s="26">
        <f>Estimation_1516!F183</f>
        <v>-7.6074214179577436E-3</v>
      </c>
    </row>
    <row r="184" spans="4:4">
      <c r="D184" s="25">
        <f>Estimation_1516!F184</f>
        <v>1.5524244503492171E-2</v>
      </c>
    </row>
    <row r="185" spans="4:4">
      <c r="D185" s="26">
        <f>Estimation_1516!F185</f>
        <v>-3.6415189636235135E-2</v>
      </c>
    </row>
    <row r="186" spans="4:4">
      <c r="D186" s="25">
        <f>Estimation_1516!F186</f>
        <v>3.2279530544406902E-3</v>
      </c>
    </row>
    <row r="187" spans="4:4">
      <c r="D187" s="26">
        <f>Estimation_1516!F187</f>
        <v>-4.161219606275611E-2</v>
      </c>
    </row>
    <row r="188" spans="4:4">
      <c r="D188" s="25">
        <f>Estimation_1516!F188</f>
        <v>-1.4130994420473778E-2</v>
      </c>
    </row>
    <row r="189" spans="4:4">
      <c r="D189" s="26">
        <f>Estimation_1516!F189</f>
        <v>1.2548715609344271E-2</v>
      </c>
    </row>
    <row r="190" spans="4:4">
      <c r="D190" s="25">
        <f>Estimation_1516!F190</f>
        <v>3.4244591273730807E-2</v>
      </c>
    </row>
    <row r="191" spans="4:4">
      <c r="D191" s="26">
        <f>Estimation_1516!F191</f>
        <v>-3.5432945543109461E-2</v>
      </c>
    </row>
    <row r="192" spans="4:4">
      <c r="D192" s="25">
        <f>Estimation_1516!F192</f>
        <v>-4.602941256067037E-2</v>
      </c>
    </row>
    <row r="193" spans="4:4">
      <c r="D193" s="26">
        <f>Estimation_1516!F193</f>
        <v>2.4596443900292135E-2</v>
      </c>
    </row>
    <row r="194" spans="4:4">
      <c r="D194" s="25">
        <f>Estimation_1516!F194</f>
        <v>-6.7039357221903295E-3</v>
      </c>
    </row>
    <row r="195" spans="4:4">
      <c r="D195" s="26">
        <f>Estimation_1516!F195</f>
        <v>9.9382219456537902E-3</v>
      </c>
    </row>
    <row r="196" spans="4:4">
      <c r="D196" s="25">
        <f>Estimation_1516!F196</f>
        <v>3.0410770388341422E-2</v>
      </c>
    </row>
    <row r="197" spans="4:4">
      <c r="D197" s="26">
        <f>Estimation_1516!F197</f>
        <v>3.9160474003839894E-2</v>
      </c>
    </row>
    <row r="198" spans="4:4">
      <c r="D198" s="25">
        <f>Estimation_1516!F198</f>
        <v>4.2387034266653877E-2</v>
      </c>
    </row>
    <row r="199" spans="4:4">
      <c r="D199" s="26">
        <f>Estimation_1516!F199</f>
        <v>1.2195273093818425E-2</v>
      </c>
    </row>
    <row r="200" spans="4:4">
      <c r="D200" s="25">
        <f>Estimation_1516!F200</f>
        <v>1.1343616852054718E-2</v>
      </c>
    </row>
    <row r="201" spans="4:4">
      <c r="D201" s="26">
        <f>Estimation_1516!F201</f>
        <v>-2.263709531356228E-2</v>
      </c>
    </row>
    <row r="202" spans="4:4">
      <c r="D202" s="25">
        <f>Estimation_1516!F202</f>
        <v>-1.5991618273476938E-2</v>
      </c>
    </row>
    <row r="203" spans="4:4">
      <c r="D203" s="26">
        <f>Estimation_1516!F203</f>
        <v>-9.2013899103306433E-3</v>
      </c>
    </row>
    <row r="204" spans="4:4">
      <c r="D204" s="25">
        <f>Estimation_1516!F204</f>
        <v>1.8470636946871703E-3</v>
      </c>
    </row>
    <row r="205" spans="4:4">
      <c r="D205" s="26">
        <f>Estimation_1516!F205</f>
        <v>1.8466563705026768E-2</v>
      </c>
    </row>
    <row r="206" spans="4:4">
      <c r="D206" s="25">
        <f>Estimation_1516!F206</f>
        <v>-1.9947417984243487E-3</v>
      </c>
    </row>
    <row r="207" spans="4:4">
      <c r="D207" s="26">
        <f>Estimation_1516!F207</f>
        <v>-2.0539874854073801E-2</v>
      </c>
    </row>
    <row r="208" spans="4:4">
      <c r="D208" s="25">
        <f>Estimation_1516!F208</f>
        <v>-2.0402492470985695E-3</v>
      </c>
    </row>
    <row r="209" spans="4:4">
      <c r="D209" s="26">
        <f>Estimation_1516!F209</f>
        <v>1.529278997522851E-2</v>
      </c>
    </row>
    <row r="210" spans="4:4">
      <c r="D210" s="25">
        <f>Estimation_1516!F210</f>
        <v>3.0433608327284988E-2</v>
      </c>
    </row>
    <row r="211" spans="4:4">
      <c r="D211" s="26">
        <f>Estimation_1516!F211</f>
        <v>-5.5135755503852987E-3</v>
      </c>
    </row>
    <row r="212" spans="4:4">
      <c r="D212" s="25">
        <f>Estimation_1516!F212</f>
        <v>-5.0062682781443057E-3</v>
      </c>
    </row>
    <row r="213" spans="4:4">
      <c r="D213" s="26">
        <f>Estimation_1516!F213</f>
        <v>3.9356043643040397E-3</v>
      </c>
    </row>
    <row r="214" spans="4:4">
      <c r="D214" s="25">
        <f>Estimation_1516!F214</f>
        <v>-1.6743572361286884E-2</v>
      </c>
    </row>
    <row r="215" spans="4:4">
      <c r="D215" s="26">
        <f>Estimation_1516!F215</f>
        <v>1.2987195526811112E-2</v>
      </c>
    </row>
    <row r="216" spans="4:4">
      <c r="D216" s="25">
        <f>Estimation_1516!F216</f>
        <v>-9.0009608589760558E-3</v>
      </c>
    </row>
    <row r="217" spans="4:4">
      <c r="D217" s="26">
        <f>Estimation_1516!F217</f>
        <v>-9.8129081080410435E-3</v>
      </c>
    </row>
    <row r="218" spans="4:4">
      <c r="D218" s="25">
        <f>Estimation_1516!F218</f>
        <v>6.0082110643770916E-3</v>
      </c>
    </row>
    <row r="219" spans="4:4">
      <c r="D219" s="26">
        <f>Estimation_1516!F219</f>
        <v>5.0267173623907584E-2</v>
      </c>
    </row>
    <row r="220" spans="4:4">
      <c r="D220" s="25">
        <f>Estimation_1516!F220</f>
        <v>2.4553663174051277E-2</v>
      </c>
    </row>
    <row r="221" spans="4:4">
      <c r="D221" s="26">
        <f>Estimation_1516!F221</f>
        <v>-2.1279209580501939E-2</v>
      </c>
    </row>
    <row r="222" spans="4:4">
      <c r="D222" s="25">
        <f>Estimation_1516!F222</f>
        <v>-8.2930675707608339E-3</v>
      </c>
    </row>
    <row r="223" spans="4:4">
      <c r="D223" s="26">
        <f>Estimation_1516!F223</f>
        <v>1.6688559357016516E-2</v>
      </c>
    </row>
    <row r="224" spans="4:4">
      <c r="D224" s="25">
        <f>Estimation_1516!F224</f>
        <v>-2.7152554382297425E-2</v>
      </c>
    </row>
    <row r="225" spans="4:4">
      <c r="D225" s="26">
        <f>Estimation_1516!F225</f>
        <v>-7.0373267205762037E-3</v>
      </c>
    </row>
    <row r="226" spans="4:4">
      <c r="D226" s="25">
        <f>Estimation_1516!F226</f>
        <v>-1.0471299867295255E-2</v>
      </c>
    </row>
    <row r="227" spans="4:4">
      <c r="D227" s="26">
        <f>Estimation_1516!F227</f>
        <v>1.6631664328739245E-2</v>
      </c>
    </row>
    <row r="228" spans="4:4">
      <c r="D228" s="25">
        <f>Estimation_1516!F228</f>
        <v>-2.2837076240544846E-3</v>
      </c>
    </row>
    <row r="229" spans="4:4">
      <c r="D229" s="26">
        <f>Estimation_1516!F229</f>
        <v>1.3624664908467662E-2</v>
      </c>
    </row>
    <row r="230" spans="4:4">
      <c r="D230" s="25">
        <f>Estimation_1516!F230</f>
        <v>-2.8865080396172239E-2</v>
      </c>
    </row>
    <row r="231" spans="4:4">
      <c r="D231" s="26">
        <f>Estimation_1516!F231</f>
        <v>2.8530689824064807E-3</v>
      </c>
    </row>
    <row r="232" spans="4:4">
      <c r="D232" s="25">
        <f>Estimation_1516!F232</f>
        <v>-8.4041621159783378E-3</v>
      </c>
    </row>
    <row r="233" spans="4:4">
      <c r="D233" s="26">
        <f>Estimation_1516!F233</f>
        <v>2.1524671987650126E-3</v>
      </c>
    </row>
    <row r="234" spans="4:4">
      <c r="D234" s="25">
        <f>Estimation_1516!F234</f>
        <v>2.4425993126882581E-2</v>
      </c>
    </row>
    <row r="235" spans="4:4">
      <c r="D235" s="26">
        <f>Estimation_1516!F235</f>
        <v>-1.0016778243471344E-2</v>
      </c>
    </row>
    <row r="236" spans="4:4">
      <c r="D236" s="25">
        <f>Estimation_1516!F236</f>
        <v>1.3682023641767167E-2</v>
      </c>
    </row>
    <row r="237" spans="4:4">
      <c r="D237" s="26">
        <f>Estimation_1516!F237</f>
        <v>2.6098318423709499E-3</v>
      </c>
    </row>
    <row r="238" spans="4:4">
      <c r="D238" s="25">
        <f>Estimation_1516!F238</f>
        <v>-2.1781995901364499E-2</v>
      </c>
    </row>
    <row r="239" spans="4:4">
      <c r="D239" s="26">
        <f>Estimation_1516!F239</f>
        <v>-4.449593529884944E-3</v>
      </c>
    </row>
    <row r="240" spans="4:4">
      <c r="D240" s="25">
        <f>Estimation_1516!F240</f>
        <v>-2.858888389538523E-2</v>
      </c>
    </row>
    <row r="241" spans="4:4">
      <c r="D241" s="26">
        <f>Estimation_1516!F241</f>
        <v>9.1734709671330913E-4</v>
      </c>
    </row>
    <row r="242" spans="4:4">
      <c r="D242" s="25">
        <f>Estimation_1516!F242</f>
        <v>-4.5586060178649079E-2</v>
      </c>
    </row>
    <row r="243" spans="4:4">
      <c r="D243" s="26">
        <f>Estimation_1516!F243</f>
        <v>0</v>
      </c>
    </row>
    <row r="244" spans="4:4">
      <c r="D244" s="25">
        <f>Estimation_1516!F244</f>
        <v>-2.3695029727454468E-2</v>
      </c>
    </row>
    <row r="245" spans="4:4">
      <c r="D245" s="26">
        <f>Estimation_1516!F245</f>
        <v>-1.7046993582393779E-2</v>
      </c>
    </row>
    <row r="246" spans="4:4">
      <c r="D246" s="25">
        <f>Estimation_1516!F246</f>
        <v>-3.5405529220142111E-2</v>
      </c>
    </row>
    <row r="247" spans="4:4">
      <c r="D247" s="26">
        <f>Estimation_1516!F247</f>
        <v>4.1782593477839053E-2</v>
      </c>
    </row>
    <row r="248" spans="4:4">
      <c r="D248" s="25">
        <f>Estimation_1516!F248</f>
        <v>2.7772285257879423E-3</v>
      </c>
    </row>
    <row r="249" spans="4:4">
      <c r="D249" s="26">
        <f>Estimation_1516!F249</f>
        <v>3.9807216732912418E-2</v>
      </c>
    </row>
    <row r="250" spans="4:4">
      <c r="D250" s="25">
        <f>Estimation_1516!F250</f>
        <v>-1.6700647298175646E-2</v>
      </c>
    </row>
    <row r="251" spans="4:4">
      <c r="D251" s="26">
        <f>Estimation_1516!F251</f>
        <v>-2.4692612590371522E-2</v>
      </c>
    </row>
    <row r="252" spans="4:4">
      <c r="D252" s="25">
        <f>Estimation_1516!F252</f>
        <v>1.8284201494888803E-2</v>
      </c>
    </row>
    <row r="253" spans="4:4">
      <c r="D253" s="26">
        <f>Estimation_1516!F253</f>
        <v>2.3870238259144728E-2</v>
      </c>
    </row>
    <row r="254" spans="4:4">
      <c r="D254" s="25">
        <f>Estimation_1516!F254</f>
        <v>6.446742084683774E-3</v>
      </c>
    </row>
    <row r="255" spans="4:4">
      <c r="D255" s="26">
        <f>Estimation_1516!F255</f>
        <v>-9.6857655890438925E-3</v>
      </c>
    </row>
    <row r="256" spans="4:4">
      <c r="D256" s="25">
        <f>Estimation_1516!F256</f>
        <v>4.7596472529879133E-3</v>
      </c>
    </row>
    <row r="257" spans="4:4">
      <c r="D257" s="26">
        <f>Estimation_1516!F257</f>
        <v>-1.1653584935679953E-2</v>
      </c>
    </row>
    <row r="258" spans="4:4">
      <c r="D258" s="25">
        <f>Estimation_1516!F258</f>
        <v>2.4949633899968475E-3</v>
      </c>
    </row>
    <row r="259" spans="4:4">
      <c r="D259" s="26">
        <f>Estimation_1516!F259</f>
        <v>-4.5689742555103538E-2</v>
      </c>
    </row>
    <row r="260" spans="4:4">
      <c r="D260" s="25">
        <f>Estimation_1516!F260</f>
        <v>5.6022555486697516E-3</v>
      </c>
    </row>
    <row r="261" spans="4:4">
      <c r="D261" s="26">
        <f>Estimation_1516!F261</f>
        <v>-3.2444045952018004E-2</v>
      </c>
    </row>
    <row r="262" spans="4:4">
      <c r="D262" s="25">
        <f>Estimation_1516!F262</f>
        <v>-3.3745211735482818E-2</v>
      </c>
    </row>
    <row r="263" spans="4:4">
      <c r="D263" s="26">
        <f>Estimation_1516!F263</f>
        <v>-2.1765755273867208E-2</v>
      </c>
    </row>
    <row r="264" spans="4:4">
      <c r="D264" s="25">
        <f>Estimation_1516!F264</f>
        <v>-1.6031967399986545E-2</v>
      </c>
    </row>
    <row r="265" spans="4:4">
      <c r="D265" s="26">
        <f>Estimation_1516!F265</f>
        <v>1.1883942677140116E-2</v>
      </c>
    </row>
    <row r="266" spans="4:4">
      <c r="D266" s="25">
        <f>Estimation_1516!F266</f>
        <v>1.3117623218977263E-3</v>
      </c>
    </row>
    <row r="267" spans="4:4">
      <c r="D267" s="26">
        <f>Estimation_1516!F267</f>
        <v>-2.5222576024372192E-2</v>
      </c>
    </row>
    <row r="268" spans="4:4">
      <c r="D268" s="25">
        <f>Estimation_1516!F268</f>
        <v>-4.6552025365853865E-2</v>
      </c>
    </row>
    <row r="269" spans="4:4">
      <c r="D269" s="26">
        <f>Estimation_1516!F269</f>
        <v>-5.8733804904133824E-2</v>
      </c>
    </row>
    <row r="270" spans="4:4">
      <c r="D270" s="25">
        <f>Estimation_1516!F270</f>
        <v>3.5700612835693167E-2</v>
      </c>
    </row>
    <row r="271" spans="4:4">
      <c r="D271" s="26">
        <f>Estimation_1516!F271</f>
        <v>-4.3698655970660083E-2</v>
      </c>
    </row>
    <row r="272" spans="4:4">
      <c r="D272" s="25">
        <f>Estimation_1516!F272</f>
        <v>4.2977762030993523E-2</v>
      </c>
    </row>
    <row r="273" spans="4:4">
      <c r="D273" s="26">
        <f>Estimation_1516!F273</f>
        <v>5.0391445536405823E-2</v>
      </c>
    </row>
    <row r="274" spans="4:4">
      <c r="D274" s="25">
        <f>Estimation_1516!F274</f>
        <v>-2.6637359528298769E-2</v>
      </c>
    </row>
    <row r="275" spans="4:4">
      <c r="D275" s="26">
        <f>Estimation_1516!F275</f>
        <v>2.4807114222144998E-2</v>
      </c>
    </row>
    <row r="276" spans="4:4">
      <c r="D276" s="25">
        <f>Estimation_1516!F276</f>
        <v>-1.3602515209281813E-2</v>
      </c>
    </row>
    <row r="277" spans="4:4">
      <c r="D277" s="26">
        <f>Estimation_1516!F277</f>
        <v>2.9504713102630514E-2</v>
      </c>
    </row>
    <row r="278" spans="4:4">
      <c r="D278" s="25">
        <f>Estimation_1516!F278</f>
        <v>1.7426714472176169E-2</v>
      </c>
    </row>
    <row r="279" spans="4:4">
      <c r="D279" s="26">
        <f>Estimation_1516!F279</f>
        <v>-1.0016778243471232E-2</v>
      </c>
    </row>
    <row r="280" spans="4:4">
      <c r="D280" s="25">
        <f>Estimation_1516!F280</f>
        <v>-6.0400933190068631E-2</v>
      </c>
    </row>
    <row r="281" spans="4:4">
      <c r="D281" s="26">
        <f>Estimation_1516!F281</f>
        <v>-4.4462564564881991E-2</v>
      </c>
    </row>
    <row r="282" spans="4:4">
      <c r="D282" s="25">
        <f>Estimation_1516!F282</f>
        <v>3.3470817100915824E-2</v>
      </c>
    </row>
    <row r="283" spans="4:4">
      <c r="D283" s="26">
        <f>Estimation_1516!F283</f>
        <v>2.7256101273328961E-2</v>
      </c>
    </row>
    <row r="284" spans="4:4">
      <c r="D284" s="25">
        <f>Estimation_1516!F284</f>
        <v>-4.6419816907332823E-2</v>
      </c>
    </row>
    <row r="285" spans="4:4">
      <c r="D285" s="26">
        <f>Estimation_1516!F285</f>
        <v>-5.6164828860699331E-2</v>
      </c>
    </row>
    <row r="286" spans="4:4">
      <c r="D286" s="25">
        <f>Estimation_1516!F286</f>
        <v>6.0563662933182667E-2</v>
      </c>
    </row>
    <row r="287" spans="4:4">
      <c r="D287" s="26">
        <f>Estimation_1516!F287</f>
        <v>5.4105722049921319E-2</v>
      </c>
    </row>
    <row r="288" spans="4:4">
      <c r="D288" s="25">
        <f>Estimation_1516!F288</f>
        <v>1.831133791595704E-2</v>
      </c>
    </row>
    <row r="289" spans="4:4">
      <c r="D289" s="26">
        <f>Estimation_1516!F289</f>
        <v>5.3649328280617428E-2</v>
      </c>
    </row>
    <row r="290" spans="4:4">
      <c r="D290" s="25">
        <f>Estimation_1516!F290</f>
        <v>1.2178336604999345E-2</v>
      </c>
    </row>
    <row r="291" spans="4:4">
      <c r="D291" s="26">
        <f>Estimation_1516!F291</f>
        <v>4.872374854722963E-3</v>
      </c>
    </row>
    <row r="292" spans="4:4">
      <c r="D292" s="25">
        <f>Estimation_1516!F292</f>
        <v>-2.1359205845446382E-2</v>
      </c>
    </row>
    <row r="293" spans="4:4">
      <c r="D293" s="26">
        <f>Estimation_1516!F293</f>
        <v>-2.0061728217437423E-2</v>
      </c>
    </row>
    <row r="294" spans="4:4">
      <c r="D294" s="25">
        <f>Estimation_1516!F294</f>
        <v>4.2899130932194669E-2</v>
      </c>
    </row>
    <row r="295" spans="4:4">
      <c r="D295" s="26">
        <f>Estimation_1516!F295</f>
        <v>-2.0465433947666613E-2</v>
      </c>
    </row>
    <row r="296" spans="4:4">
      <c r="D296" s="25">
        <f>Estimation_1516!F296</f>
        <v>-2.6627500725316548E-2</v>
      </c>
    </row>
    <row r="297" spans="4:4">
      <c r="D297" s="26">
        <f>Estimation_1516!F297</f>
        <v>2.8134011286796979E-2</v>
      </c>
    </row>
    <row r="298" spans="4:4">
      <c r="D298" s="25">
        <f>Estimation_1516!F298</f>
        <v>4.6021357601298718E-2</v>
      </c>
    </row>
    <row r="299" spans="4:4">
      <c r="D299" s="26">
        <f>Estimation_1516!F299</f>
        <v>1.3666709402522912E-2</v>
      </c>
    </row>
    <row r="300" spans="4:4">
      <c r="D300" s="25">
        <f>Estimation_1516!F300</f>
        <v>2.4811196696287438E-2</v>
      </c>
    </row>
    <row r="301" spans="4:4">
      <c r="D301" s="26">
        <f>Estimation_1516!F301</f>
        <v>1.6658885986638765E-2</v>
      </c>
    </row>
    <row r="302" spans="4:4">
      <c r="D302" s="25">
        <f>Estimation_1516!F302</f>
        <v>1.1017797740446846E-2</v>
      </c>
    </row>
    <row r="303" spans="4:4">
      <c r="D303" s="26">
        <f>Estimation_1516!F303</f>
        <v>-6.3639208125575632E-3</v>
      </c>
    </row>
    <row r="304" spans="4:4">
      <c r="D304" s="25">
        <f>Estimation_1516!F304</f>
        <v>-3.1043750236314602E-2</v>
      </c>
    </row>
    <row r="305" spans="4:4">
      <c r="D305" s="26">
        <f>Estimation_1516!F305</f>
        <v>-1.6296507922988892E-2</v>
      </c>
    </row>
    <row r="306" spans="4:4">
      <c r="D306" s="25">
        <f>Estimation_1516!F306</f>
        <v>-6.1037829380176873E-3</v>
      </c>
    </row>
    <row r="307" spans="4:4">
      <c r="D307" s="26">
        <f>Estimation_1516!F307</f>
        <v>-2.4794658613216392E-2</v>
      </c>
    </row>
    <row r="308" spans="4:4">
      <c r="D308" s="25">
        <f>Estimation_1516!F308</f>
        <v>6.1461091961400878E-2</v>
      </c>
    </row>
    <row r="309" spans="4:4">
      <c r="D309" s="26">
        <f>Estimation_1516!F309</f>
        <v>-1.1675209298867915E-2</v>
      </c>
    </row>
    <row r="310" spans="4:4">
      <c r="D310" s="25">
        <f>Estimation_1516!F310</f>
        <v>-2.4379166496801441E-2</v>
      </c>
    </row>
    <row r="311" spans="4:4">
      <c r="D311" s="26">
        <f>Estimation_1516!F311</f>
        <v>-8.191731247447322E-3</v>
      </c>
    </row>
    <row r="312" spans="4:4">
      <c r="D312" s="25">
        <f>Estimation_1516!F312</f>
        <v>-2.3089949361305016E-2</v>
      </c>
    </row>
    <row r="313" spans="4:4">
      <c r="D313" s="26">
        <f>Estimation_1516!F313</f>
        <v>-2.9504763237499462E-3</v>
      </c>
    </row>
    <row r="314" spans="4:4">
      <c r="D314" s="25">
        <f>Estimation_1516!F314</f>
        <v>-4.6541230614693249E-3</v>
      </c>
    </row>
    <row r="315" spans="4:4">
      <c r="D315" s="26">
        <f>Estimation_1516!F315</f>
        <v>-7.8765707910452305E-3</v>
      </c>
    </row>
    <row r="316" spans="4:4">
      <c r="D316" s="25">
        <f>Estimation_1516!F316</f>
        <v>-2.2696316283489979E-2</v>
      </c>
    </row>
    <row r="317" spans="4:4">
      <c r="D317" s="26">
        <f>Estimation_1516!F317</f>
        <v>-3.289185397173143E-2</v>
      </c>
    </row>
    <row r="318" spans="4:4">
      <c r="D318" s="25">
        <f>Estimation_1516!F318</f>
        <v>-1.113268342009968E-2</v>
      </c>
    </row>
    <row r="319" spans="4:4">
      <c r="D319" s="26">
        <f>Estimation_1516!F319</f>
        <v>-2.7453689171926718E-3</v>
      </c>
    </row>
    <row r="320" spans="4:4">
      <c r="D320" s="25">
        <f>Estimation_1516!F320</f>
        <v>-8.7437280488178726E-3</v>
      </c>
    </row>
    <row r="321" spans="4:4">
      <c r="D321" s="26">
        <f>Estimation_1516!F321</f>
        <v>-2.311337118807871E-4</v>
      </c>
    </row>
    <row r="322" spans="4:4">
      <c r="D322" s="25">
        <f>Estimation_1516!F322</f>
        <v>-9.2506944617271828E-4</v>
      </c>
    </row>
    <row r="323" spans="4:4">
      <c r="D323" s="26">
        <f>Estimation_1516!F323</f>
        <v>-3.0778889141759795E-2</v>
      </c>
    </row>
    <row r="324" spans="4:4">
      <c r="D324" s="25">
        <f>Estimation_1516!F324</f>
        <v>1.1623900300931965E-2</v>
      </c>
    </row>
    <row r="325" spans="4:4">
      <c r="D325" s="26">
        <f>Estimation_1516!F325</f>
        <v>-1.8327301031027962E-2</v>
      </c>
    </row>
    <row r="326" spans="4:4">
      <c r="D326" s="25">
        <f>Estimation_1516!F326</f>
        <v>2.9817637321904834E-2</v>
      </c>
    </row>
    <row r="327" spans="4:4">
      <c r="D327" s="26">
        <f>Estimation_1516!F327</f>
        <v>1.9624316719832582E-2</v>
      </c>
    </row>
    <row r="328" spans="4:4">
      <c r="D328" s="25">
        <f>Estimation_1516!F328</f>
        <v>1.430055014219655E-2</v>
      </c>
    </row>
    <row r="329" spans="4:4">
      <c r="D329" s="26">
        <f>Estimation_1516!F329</f>
        <v>7.5507552508145101E-2</v>
      </c>
    </row>
    <row r="330" spans="4:4">
      <c r="D330" s="25">
        <f>Estimation_1516!F330</f>
        <v>-2.9300983709476523E-3</v>
      </c>
    </row>
    <row r="331" spans="4:4">
      <c r="D331" s="26">
        <f>Estimation_1516!F331</f>
        <v>-1.9257816604414647E-2</v>
      </c>
    </row>
    <row r="332" spans="4:4">
      <c r="D332" s="25">
        <f>Estimation_1516!F332</f>
        <v>-1.7108644036294301E-3</v>
      </c>
    </row>
    <row r="333" spans="4:4">
      <c r="D333" s="26">
        <f>Estimation_1516!F333</f>
        <v>1.1068652809190064E-2</v>
      </c>
    </row>
    <row r="334" spans="4:4">
      <c r="D334" s="25">
        <f>Estimation_1516!F334</f>
        <v>3.0643356489289817E-2</v>
      </c>
    </row>
    <row r="335" spans="4:4">
      <c r="D335" s="26">
        <f>Estimation_1516!F335</f>
        <v>-3.0842010672086175E-3</v>
      </c>
    </row>
    <row r="336" spans="4:4">
      <c r="D336" s="25">
        <f>Estimation_1516!F336</f>
        <v>8.6119047727788774E-3</v>
      </c>
    </row>
    <row r="337" spans="4:4">
      <c r="D337" s="26">
        <f>Estimation_1516!F337</f>
        <v>-3.3211852793382152E-2</v>
      </c>
    </row>
    <row r="338" spans="4:4">
      <c r="D338" s="25">
        <f>Estimation_1516!F338</f>
        <v>3.219050657039272E-2</v>
      </c>
    </row>
    <row r="339" spans="4:4">
      <c r="D339" s="26">
        <f>Estimation_1516!F339</f>
        <v>-9.4456554437474978E-3</v>
      </c>
    </row>
    <row r="340" spans="4:4">
      <c r="D340" s="25">
        <f>Estimation_1516!F340</f>
        <v>1.250656998542595E-2</v>
      </c>
    </row>
    <row r="341" spans="4:4">
      <c r="D341" s="26">
        <f>Estimation_1516!F341</f>
        <v>-1.871519920058131E-2</v>
      </c>
    </row>
    <row r="342" spans="4:4">
      <c r="D342" s="25">
        <f>Estimation_1516!F342</f>
        <v>-1.907214888336763E-2</v>
      </c>
    </row>
    <row r="343" spans="4:4">
      <c r="D343" s="26">
        <f>Estimation_1516!F343</f>
        <v>-3.9711735081349384E-2</v>
      </c>
    </row>
    <row r="344" spans="4:4">
      <c r="D344" s="25">
        <f>Estimation_1516!F344</f>
        <v>-3.1308460579096691E-2</v>
      </c>
    </row>
    <row r="345" spans="4:4">
      <c r="D345" s="26">
        <f>Estimation_1516!F345</f>
        <v>-1.5568079990102788E-2</v>
      </c>
    </row>
    <row r="346" spans="4:4">
      <c r="D346" s="25">
        <f>Estimation_1516!F346</f>
        <v>6.2104857464621022E-3</v>
      </c>
    </row>
    <row r="347" spans="4:4">
      <c r="D347" s="26">
        <f>Estimation_1516!F347</f>
        <v>5.716261135067219E-3</v>
      </c>
    </row>
    <row r="348" spans="4:4">
      <c r="D348" s="25">
        <f>Estimation_1516!F348</f>
        <v>-7.1585637658257734E-2</v>
      </c>
    </row>
    <row r="349" spans="4:4">
      <c r="D349" s="26">
        <f>Estimation_1516!F349</f>
        <v>2.8490579849806137E-2</v>
      </c>
    </row>
    <row r="350" spans="4:4">
      <c r="D350" s="25">
        <f>Estimation_1516!F350</f>
        <v>-1.6077130927668264E-2</v>
      </c>
    </row>
    <row r="351" spans="4:4">
      <c r="D351" s="26">
        <f>Estimation_1516!F351</f>
        <v>2.2720097230774946E-2</v>
      </c>
    </row>
    <row r="352" spans="4:4">
      <c r="D352" s="25">
        <f>Estimation_1516!F352</f>
        <v>-5.2157538819677602E-3</v>
      </c>
    </row>
    <row r="353" spans="4:4">
      <c r="D353" s="26">
        <f>Estimation_1516!F353</f>
        <v>1.3926815440775012E-2</v>
      </c>
    </row>
    <row r="354" spans="4:4">
      <c r="D354" s="25">
        <f>Estimation_1516!F354</f>
        <v>1.9729083689384148E-2</v>
      </c>
    </row>
    <row r="355" spans="4:4">
      <c r="D355" s="26">
        <f>Estimation_1516!F355</f>
        <v>-3.2228388853138977E-3</v>
      </c>
    </row>
    <row r="356" spans="4:4">
      <c r="D356" s="25">
        <f>Estimation_1516!F356</f>
        <v>1.4421676070986491E-2</v>
      </c>
    </row>
    <row r="357" spans="4:4">
      <c r="D357" s="26">
        <f>Estimation_1516!F357</f>
        <v>0</v>
      </c>
    </row>
    <row r="358" spans="4:4">
      <c r="D358" s="25">
        <f>Estimation_1516!F358</f>
        <v>3.9439220747289394E-2</v>
      </c>
    </row>
    <row r="359" spans="4:4">
      <c r="D359" s="26">
        <f>Estimation_1516!F359</f>
        <v>3.7100856375044906E-2</v>
      </c>
    </row>
    <row r="360" spans="4:4">
      <c r="D360" s="25">
        <f>Estimation_1516!F360</f>
        <v>4.2096401379389297E-4</v>
      </c>
    </row>
    <row r="361" spans="4:4">
      <c r="D361" s="26">
        <f>Estimation_1516!F361</f>
        <v>-6.341681602837107E-2</v>
      </c>
    </row>
    <row r="362" spans="4:4">
      <c r="D362" s="25">
        <f>Estimation_1516!F362</f>
        <v>-1.3544225107757149E-2</v>
      </c>
    </row>
    <row r="363" spans="4:4">
      <c r="D363" s="26">
        <f>Estimation_1516!F363</f>
        <v>-1.4191128519532907E-2</v>
      </c>
    </row>
    <row r="364" spans="4:4">
      <c r="D364" s="25">
        <f>Estimation_1516!F364</f>
        <v>-9.7290551981190371E-3</v>
      </c>
    </row>
    <row r="365" spans="4:4">
      <c r="D365" s="26">
        <f>Estimation_1516!F365</f>
        <v>1.1631965950356356E-3</v>
      </c>
    </row>
    <row r="366" spans="4:4">
      <c r="D366" s="25">
        <f>Estimation_1516!F366</f>
        <v>-1.9012425753678869E-2</v>
      </c>
    </row>
    <row r="367" spans="4:4">
      <c r="D367" s="26">
        <f>Estimation_1516!F367</f>
        <v>-8.3284241064818521E-3</v>
      </c>
    </row>
    <row r="368" spans="4:4">
      <c r="D368" s="25">
        <f>Estimation_1516!F368</f>
        <v>3.151719003712556E-2</v>
      </c>
    </row>
    <row r="369" spans="4:4">
      <c r="D369" s="26">
        <f>Estimation_1516!F369</f>
        <v>-7.2034702100631249E-3</v>
      </c>
    </row>
    <row r="370" spans="4:4">
      <c r="D370" s="25">
        <f>Estimation_1516!F370</f>
        <v>-1.8832948333092125E-2</v>
      </c>
    </row>
    <row r="371" spans="4:4">
      <c r="D371" s="26">
        <f>Estimation_1516!F371</f>
        <v>-3.7530127789237269E-2</v>
      </c>
    </row>
    <row r="372" spans="4:4">
      <c r="D372" s="25">
        <f>Estimation_1516!F372</f>
        <v>-3.7455679095325406E-2</v>
      </c>
    </row>
    <row r="373" spans="4:4">
      <c r="D373" s="26">
        <f>Estimation_1516!F373</f>
        <v>-2.5685677237196829E-2</v>
      </c>
    </row>
    <row r="374" spans="4:4">
      <c r="D374" s="25">
        <f>Estimation_1516!F374</f>
        <v>2.8867622723909247E-3</v>
      </c>
    </row>
    <row r="375" spans="4:4">
      <c r="D375" s="26">
        <f>Estimation_1516!F375</f>
        <v>-2.1454935001259487E-2</v>
      </c>
    </row>
    <row r="376" spans="4:4">
      <c r="D376" s="25">
        <f>Estimation_1516!F376</f>
        <v>4.6300933587790326E-2</v>
      </c>
    </row>
    <row r="377" spans="4:4">
      <c r="D377" s="26">
        <f>Estimation_1516!F377</f>
        <v>3.5901935394805372E-2</v>
      </c>
    </row>
    <row r="378" spans="4:4">
      <c r="D378" s="25">
        <f>Estimation_1516!F378</f>
        <v>4.4291410988994539E-3</v>
      </c>
    </row>
    <row r="379" spans="4:4">
      <c r="D379" s="26">
        <f>Estimation_1516!F379</f>
        <v>-5.6629475478278809E-3</v>
      </c>
    </row>
    <row r="380" spans="4:4">
      <c r="D380" s="25">
        <f>Estimation_1516!F380</f>
        <v>2.4391453124159263E-2</v>
      </c>
    </row>
    <row r="381" spans="4:4">
      <c r="D381" s="26">
        <f>Estimation_1516!F381</f>
        <v>-0.18792760279247789</v>
      </c>
    </row>
    <row r="382" spans="4:4">
      <c r="D382" s="25">
        <f>Estimation_1516!F382</f>
        <v>-5.0390746540967146E-2</v>
      </c>
    </row>
    <row r="383" spans="4:4">
      <c r="D383" s="26">
        <f>Estimation_1516!F383</f>
        <v>2.3274437320027489E-2</v>
      </c>
    </row>
    <row r="384" spans="4:4">
      <c r="D384" s="25">
        <f>Estimation_1516!F384</f>
        <v>8.9233191742409713E-3</v>
      </c>
    </row>
    <row r="385" spans="4:4">
      <c r="D385" s="26">
        <f>Estimation_1516!F385</f>
        <v>9.4312517523355028E-3</v>
      </c>
    </row>
    <row r="386" spans="4:4">
      <c r="D386" s="25">
        <f>Estimation_1516!F386</f>
        <v>-6.1792163659580082E-3</v>
      </c>
    </row>
    <row r="387" spans="4:4">
      <c r="D387" s="26">
        <f>Estimation_1516!F387</f>
        <v>-1.5467292293307599E-2</v>
      </c>
    </row>
    <row r="388" spans="4:4">
      <c r="D388" s="25">
        <f>Estimation_1516!F388</f>
        <v>-5.2619428900360712E-2</v>
      </c>
    </row>
    <row r="389" spans="4:4">
      <c r="D389" s="26">
        <f>Estimation_1516!F389</f>
        <v>-2.8197959256234764E-2</v>
      </c>
    </row>
    <row r="390" spans="4:4">
      <c r="D390" s="25">
        <f>Estimation_1516!F390</f>
        <v>2.3129845778982798E-2</v>
      </c>
    </row>
    <row r="391" spans="4:4">
      <c r="D391" s="26">
        <f>Estimation_1516!F391</f>
        <v>4.956108682058763E-2</v>
      </c>
    </row>
    <row r="392" spans="4:4">
      <c r="D392" s="25">
        <f>Estimation_1516!F392</f>
        <v>9.9234012337268782E-3</v>
      </c>
    </row>
    <row r="393" spans="4:4">
      <c r="D393" s="26">
        <f>Estimation_1516!F393</f>
        <v>2.5115812719269846E-2</v>
      </c>
    </row>
    <row r="394" spans="4:4">
      <c r="D394" s="25">
        <f>Estimation_1516!F394</f>
        <v>-3.4434984327362556E-2</v>
      </c>
    </row>
    <row r="395" spans="4:4">
      <c r="D395" s="26">
        <f>Estimation_1516!F395</f>
        <v>4.8344220451646255E-2</v>
      </c>
    </row>
    <row r="396" spans="4:4">
      <c r="D396" s="25">
        <f>Estimation_1516!F396</f>
        <v>-4.9040917556566295E-3</v>
      </c>
    </row>
    <row r="397" spans="4:4">
      <c r="D397" s="26">
        <f>Estimation_1516!F397</f>
        <v>-9.2969873591706009E-3</v>
      </c>
    </row>
    <row r="398" spans="4:4">
      <c r="D398" s="25">
        <f>Estimation_1516!F398</f>
        <v>3.2055979657684623E-3</v>
      </c>
    </row>
    <row r="399" spans="4:4">
      <c r="D399" s="26">
        <f>Estimation_1516!F399</f>
        <v>7.2474588863206827E-3</v>
      </c>
    </row>
    <row r="400" spans="4:4">
      <c r="D400" s="25">
        <f>Estimation_1516!F400</f>
        <v>0</v>
      </c>
    </row>
    <row r="401" spans="4:4">
      <c r="D401" s="26">
        <f>Estimation_1516!F401</f>
        <v>-2.023999534384311E-3</v>
      </c>
    </row>
    <row r="402" spans="4:4">
      <c r="D402" s="25">
        <f>Estimation_1516!F402</f>
        <v>-1.0474346562469015E-2</v>
      </c>
    </row>
    <row r="403" spans="4:4">
      <c r="D403" s="26">
        <f>Estimation_1516!F403</f>
        <v>-1.0880860180775652E-2</v>
      </c>
    </row>
    <row r="404" spans="4:4">
      <c r="D404" s="25">
        <f>Estimation_1516!F404</f>
        <v>4.3963123421115989E-2</v>
      </c>
    </row>
    <row r="405" spans="4:4">
      <c r="D405" s="26">
        <f>Estimation_1516!F405</f>
        <v>-3.1328902183316056E-2</v>
      </c>
    </row>
    <row r="406" spans="4:4">
      <c r="D406" s="25">
        <f>Estimation_1516!F406</f>
        <v>7.3169053927111316E-2</v>
      </c>
    </row>
    <row r="407" spans="4:4">
      <c r="D407" s="26">
        <f>Estimation_1516!F407</f>
        <v>-1.1463007614873219E-2</v>
      </c>
    </row>
    <row r="408" spans="4:4">
      <c r="D408" s="25">
        <f>Estimation_1516!F408</f>
        <v>-6.258234255642485E-2</v>
      </c>
    </row>
    <row r="409" spans="4:4">
      <c r="D409" s="26">
        <f>Estimation_1516!F409</f>
        <v>-4.099566502932553E-3</v>
      </c>
    </row>
    <row r="410" spans="4:4">
      <c r="D410" s="25">
        <f>Estimation_1516!F410</f>
        <v>1.4564778294029532E-2</v>
      </c>
    </row>
    <row r="411" spans="4:4">
      <c r="D411" s="26">
        <f>Estimation_1516!F411</f>
        <v>3.7183224904371301E-2</v>
      </c>
    </row>
    <row r="412" spans="4:4">
      <c r="D412" s="25">
        <f>Estimation_1516!F412</f>
        <v>8.6004136722094612E-3</v>
      </c>
    </row>
    <row r="413" spans="4:4">
      <c r="D413" s="26">
        <f>Estimation_1516!F413</f>
        <v>2.5096789086274454E-2</v>
      </c>
    </row>
    <row r="414" spans="4:4">
      <c r="D414" s="25">
        <f>Estimation_1516!F414</f>
        <v>2.6845465951472518E-2</v>
      </c>
    </row>
    <row r="415" spans="4:4">
      <c r="D415" s="26">
        <f>Estimation_1516!F415</f>
        <v>-2.3631361922828906E-3</v>
      </c>
    </row>
    <row r="416" spans="4:4">
      <c r="D416" s="25">
        <f>Estimation_1516!F416</f>
        <v>-5.800174446878084E-3</v>
      </c>
    </row>
    <row r="417" spans="4:4">
      <c r="D417" s="26">
        <f>Estimation_1516!F417</f>
        <v>-2.6476054650547941E-3</v>
      </c>
    </row>
    <row r="418" spans="4:4">
      <c r="D418" s="25">
        <f>Estimation_1516!F418</f>
        <v>-7.1837478020282137E-3</v>
      </c>
    </row>
    <row r="419" spans="4:4">
      <c r="D419" s="26">
        <f>Estimation_1516!F419</f>
        <v>-1.9685144210938782E-2</v>
      </c>
    </row>
    <row r="420" spans="4:4">
      <c r="D420" s="25">
        <f>Estimation_1516!F420</f>
        <v>-7.6544933605321901E-3</v>
      </c>
    </row>
    <row r="421" spans="4:4">
      <c r="D421" s="26">
        <f>Estimation_1516!F421</f>
        <v>-1.4929776897524477E-2</v>
      </c>
    </row>
    <row r="422" spans="4:4">
      <c r="D422" s="25">
        <f>Estimation_1516!F422</f>
        <v>2.0676132838427435E-2</v>
      </c>
    </row>
    <row r="423" spans="4:4">
      <c r="D423" s="26">
        <f>Estimation_1516!F423</f>
        <v>1.9454815164731978E-2</v>
      </c>
    </row>
    <row r="424" spans="4:4">
      <c r="D424" s="25">
        <f>Estimation_1516!F424</f>
        <v>1.5664730244334596E-2</v>
      </c>
    </row>
    <row r="425" spans="4:4">
      <c r="D425" s="26">
        <f>Estimation_1516!F425</f>
        <v>-6.0774397655078945E-3</v>
      </c>
    </row>
    <row r="426" spans="4:4">
      <c r="D426" s="25">
        <f>Estimation_1516!F426</f>
        <v>1.0545839893253276E-2</v>
      </c>
    </row>
    <row r="427" spans="4:4">
      <c r="D427" s="26">
        <f>Estimation_1516!F427</f>
        <v>-1.1341279415507364E-2</v>
      </c>
    </row>
    <row r="428" spans="4:4">
      <c r="D428" s="25">
        <f>Estimation_1516!F428</f>
        <v>2.6696167954411123E-2</v>
      </c>
    </row>
    <row r="429" spans="4:4">
      <c r="D429" s="26">
        <f>Estimation_1516!F429</f>
        <v>2.3986860683273693E-2</v>
      </c>
    </row>
    <row r="430" spans="4:4">
      <c r="D430" s="25">
        <f>Estimation_1516!F430</f>
        <v>6.2837959689926639E-3</v>
      </c>
    </row>
    <row r="431" spans="4:4">
      <c r="D431" s="26">
        <f>Estimation_1516!F431</f>
        <v>1.3439724443858214E-2</v>
      </c>
    </row>
    <row r="432" spans="4:4">
      <c r="D432" s="25">
        <f>Estimation_1516!F432</f>
        <v>-1.7205261716127362E-2</v>
      </c>
    </row>
    <row r="433" spans="4:4">
      <c r="D433" s="26">
        <f>Estimation_1516!F433</f>
        <v>-3.2749745860295686E-3</v>
      </c>
    </row>
    <row r="434" spans="4:4">
      <c r="D434" s="25">
        <f>Estimation_1516!F434</f>
        <v>3.2749745860296644E-3</v>
      </c>
    </row>
    <row r="435" spans="4:4">
      <c r="D435" s="26">
        <f>Estimation_1516!F435</f>
        <v>2.3857990453893953E-2</v>
      </c>
    </row>
    <row r="436" spans="4:4">
      <c r="D436" s="25">
        <f>Estimation_1516!F436</f>
        <v>3.4322171472087096E-3</v>
      </c>
    </row>
    <row r="437" spans="4:4">
      <c r="D437" s="26">
        <f>Estimation_1516!F437</f>
        <v>-3.0060641308619091E-2</v>
      </c>
    </row>
    <row r="438" spans="4:4">
      <c r="D438" s="25">
        <f>Estimation_1516!F438</f>
        <v>-9.1209145104885845E-3</v>
      </c>
    </row>
    <row r="439" spans="4:4">
      <c r="D439" s="26">
        <f>Estimation_1516!F439</f>
        <v>1.7800386136842168E-3</v>
      </c>
    </row>
    <row r="440" spans="4:4">
      <c r="D440" s="25">
        <f>Estimation_1516!F440</f>
        <v>1.1116840106339393E-2</v>
      </c>
    </row>
    <row r="441" spans="4:4">
      <c r="D441" s="26">
        <f>Estimation_1516!F441</f>
        <v>9.5024470963962545E-3</v>
      </c>
    </row>
    <row r="442" spans="4:4">
      <c r="D442" s="25">
        <f>Estimation_1516!F442</f>
        <v>5.7079197035940481E-3</v>
      </c>
    </row>
    <row r="443" spans="4:4">
      <c r="D443" s="26">
        <f>Estimation_1516!F443</f>
        <v>-1.9490871888038733E-2</v>
      </c>
    </row>
    <row r="444" spans="4:4">
      <c r="D444" s="25">
        <f>Estimation_1516!F444</f>
        <v>3.9822251946415442E-2</v>
      </c>
    </row>
    <row r="445" spans="4:4">
      <c r="D445" s="26">
        <f>Estimation_1516!F445</f>
        <v>4.596596940551206E-3</v>
      </c>
    </row>
    <row r="446" spans="4:4">
      <c r="D446" s="25">
        <f>Estimation_1516!F446</f>
        <v>1.2061272720161218E-3</v>
      </c>
    </row>
    <row r="447" spans="4:4">
      <c r="D447" s="26">
        <f>Estimation_1516!F447</f>
        <v>-2.0704673361691166E-2</v>
      </c>
    </row>
    <row r="448" spans="4:4">
      <c r="D448" s="25">
        <f>Estimation_1516!F448</f>
        <v>-7.1631774735696086E-3</v>
      </c>
    </row>
    <row r="449" spans="4:4">
      <c r="D449" s="26">
        <f>Estimation_1516!F449</f>
        <v>8.6388294875330025E-3</v>
      </c>
    </row>
    <row r="450" spans="4:4">
      <c r="D450" s="25">
        <f>Estimation_1516!F450</f>
        <v>7.8335773903693163E-3</v>
      </c>
    </row>
    <row r="451" spans="4:4">
      <c r="D451" s="26">
        <f>Estimation_1516!F451</f>
        <v>1.163649494080864E-2</v>
      </c>
    </row>
    <row r="452" spans="4:4">
      <c r="D452" s="25">
        <f>Estimation_1516!F452</f>
        <v>-8.7146521024436645E-3</v>
      </c>
    </row>
    <row r="453" spans="4:4">
      <c r="D453" s="26">
        <f>Estimation_1516!F453</f>
        <v>2.6393086703519364E-2</v>
      </c>
    </row>
    <row r="454" spans="4:4">
      <c r="D454" s="25">
        <f>Estimation_1516!F454</f>
        <v>2.7328572160507009E-2</v>
      </c>
    </row>
    <row r="455" spans="4:4">
      <c r="D455" s="26">
        <f>Estimation_1516!F455</f>
        <v>1.6453753278942648E-2</v>
      </c>
    </row>
    <row r="456" spans="4:4">
      <c r="D456" s="25">
        <f>Estimation_1516!F456</f>
        <v>6.3262750528773806E-3</v>
      </c>
    </row>
    <row r="457" spans="4:4">
      <c r="D457" s="26">
        <f>Estimation_1516!F457</f>
        <v>1.3504390978713249E-3</v>
      </c>
    </row>
    <row r="458" spans="4:4">
      <c r="D458" s="25">
        <f>Estimation_1516!F458</f>
        <v>-6.9969814860813984E-3</v>
      </c>
    </row>
    <row r="459" spans="4:4">
      <c r="D459" s="26">
        <f>Estimation_1516!F459</f>
        <v>-8.1874462366621562E-3</v>
      </c>
    </row>
    <row r="460" spans="4:4">
      <c r="D460" s="25">
        <f>Estimation_1516!F460</f>
        <v>-2.872562579392381E-2</v>
      </c>
    </row>
    <row r="461" spans="4:4">
      <c r="D461" s="26">
        <f>Estimation_1516!F461</f>
        <v>2.0700820606296948E-2</v>
      </c>
    </row>
    <row r="462" spans="4:4">
      <c r="D462" s="25">
        <f>Estimation_1516!F462</f>
        <v>4.8226066599311593E-3</v>
      </c>
    </row>
    <row r="463" spans="4:4">
      <c r="D463" s="26">
        <f>Estimation_1516!F463</f>
        <v>6.1665149156639584E-3</v>
      </c>
    </row>
    <row r="464" spans="4:4">
      <c r="D464" s="25">
        <f>Estimation_1516!F464</f>
        <v>2.7285146532039142E-3</v>
      </c>
    </row>
    <row r="465" spans="4:4">
      <c r="D465" s="26">
        <f>Estimation_1516!F465</f>
        <v>6.788892333686348E-3</v>
      </c>
    </row>
    <row r="466" spans="4:4">
      <c r="D466" s="25">
        <f>Estimation_1516!F466</f>
        <v>1.5774651158453792E-3</v>
      </c>
    </row>
    <row r="467" spans="4:4">
      <c r="D467" s="26">
        <f>Estimation_1516!F467</f>
        <v>3.3653829033691136E-2</v>
      </c>
    </row>
    <row r="468" spans="4:4">
      <c r="D468" s="25">
        <f>Estimation_1516!F468</f>
        <v>-4.3554007657129883E-4</v>
      </c>
    </row>
    <row r="469" spans="4:4">
      <c r="D469" s="26">
        <f>Estimation_1516!F469</f>
        <v>6.5323899982156223E-4</v>
      </c>
    </row>
    <row r="470" spans="4:4">
      <c r="D470" s="25">
        <f>Estimation_1516!F470</f>
        <v>2.1107826524322439E-2</v>
      </c>
    </row>
    <row r="471" spans="4:4">
      <c r="D471" s="26">
        <f>Estimation_1516!F471</f>
        <v>3.6166404701882936E-3</v>
      </c>
    </row>
    <row r="472" spans="4:4">
      <c r="D472" s="25">
        <f>Estimation_1516!F472</f>
        <v>-2.233290155414714E-2</v>
      </c>
    </row>
    <row r="473" spans="4:4">
      <c r="D473" s="26">
        <f>Estimation_1516!F473</f>
        <v>-1.4876669025443484E-2</v>
      </c>
    </row>
    <row r="474" spans="4:4">
      <c r="D474" s="25">
        <f>Estimation_1516!F474</f>
        <v>-2.5221736461793102E-2</v>
      </c>
    </row>
    <row r="475" spans="4:4">
      <c r="D475" s="26">
        <f>Estimation_1516!F475</f>
        <v>1.7699577099400857E-2</v>
      </c>
    </row>
    <row r="476" spans="4:4">
      <c r="D476" s="25">
        <f>Estimation_1516!F476</f>
        <v>-3.0209691350135789E-2</v>
      </c>
    </row>
    <row r="477" spans="4:4">
      <c r="D477" s="26">
        <f>Estimation_1516!F477</f>
        <v>3.0431740868090324E-2</v>
      </c>
    </row>
    <row r="478" spans="4:4">
      <c r="D478" s="25">
        <f>Estimation_1516!F478</f>
        <v>2.5861621014799756E-2</v>
      </c>
    </row>
    <row r="479" spans="4:4">
      <c r="D479" s="26">
        <f>Estimation_1516!F479</f>
        <v>-3.2097721402510125E-2</v>
      </c>
    </row>
    <row r="480" spans="4:4">
      <c r="D480" s="25">
        <f>Estimation_1516!F480</f>
        <v>1.8154140373813764E-2</v>
      </c>
    </row>
    <row r="481" spans="4:4">
      <c r="D481" s="26">
        <f>Estimation_1516!F481</f>
        <v>2.5345231917157839E-2</v>
      </c>
    </row>
    <row r="482" spans="4:4">
      <c r="D482" s="25">
        <f>Estimation_1516!F482</f>
        <v>7.0340266573799817E-3</v>
      </c>
    </row>
    <row r="483" spans="4:4">
      <c r="D483" s="26">
        <f>Estimation_1516!F483</f>
        <v>-5.9650794684750165E-3</v>
      </c>
    </row>
    <row r="484" spans="4:4">
      <c r="D484" s="25">
        <f>Estimation_1516!F484</f>
        <v>-1.680711831638106E-2</v>
      </c>
    </row>
    <row r="485" spans="4:4">
      <c r="D485" s="26">
        <f>Estimation_1516!F485</f>
        <v>5.6338177182560642E-3</v>
      </c>
    </row>
    <row r="486" spans="4:4">
      <c r="D486" s="25">
        <f>Estimation_1516!F486</f>
        <v>1.0797971030812202E-3</v>
      </c>
    </row>
    <row r="487" spans="4:4">
      <c r="D487" s="26">
        <f>Estimation_1516!F487</f>
        <v>-3.4594629096594202E-3</v>
      </c>
    </row>
    <row r="488" spans="4:4">
      <c r="D488" s="25">
        <f>Estimation_1516!F488</f>
        <v>2.7346288537039392E-2</v>
      </c>
    </row>
    <row r="489" spans="4:4">
      <c r="D489" s="26">
        <f>Estimation_1516!F489</f>
        <v>-6.9789857126056542E-3</v>
      </c>
    </row>
    <row r="490" spans="4:4">
      <c r="D490" s="25">
        <f>Estimation_1516!F490</f>
        <v>1.6963532481783338E-3</v>
      </c>
    </row>
    <row r="491" spans="4:4">
      <c r="D491" s="26">
        <f>Estimation_1516!F491</f>
        <v>-2.1208915691376244E-3</v>
      </c>
    </row>
    <row r="492" spans="4:4">
      <c r="D492" s="25">
        <f>Estimation_1516!F492</f>
        <v>-1.4973541790162593E-2</v>
      </c>
    </row>
    <row r="493" spans="4:4">
      <c r="D493" s="26">
        <f>Estimation_1516!F493</f>
        <v>7.9425125055852981E-3</v>
      </c>
    </row>
    <row r="494" spans="4:4">
      <c r="D494" s="25">
        <f>Estimation_1516!F494</f>
        <v>1.5908703316594688E-2</v>
      </c>
    </row>
    <row r="495" spans="4:4">
      <c r="D495" s="26">
        <f>Estimation_1516!F495</f>
        <v>2.7808390775205052E-2</v>
      </c>
    </row>
    <row r="496" spans="4:4">
      <c r="D496" s="25">
        <f>Estimation_1516!F496</f>
        <v>-1.2563238044599452E-2</v>
      </c>
    </row>
    <row r="497" spans="4:4">
      <c r="D497" s="26">
        <f>Estimation_1516!F497</f>
        <v>2.7393372716047398E-2</v>
      </c>
    </row>
    <row r="498" spans="4:4">
      <c r="D498" s="25">
        <f>Estimation_1516!F498</f>
        <v>2.6662940395470767E-2</v>
      </c>
    </row>
    <row r="499" spans="4:4">
      <c r="D499" s="26">
        <f>Estimation_1516!F499</f>
        <v>2.3480267608842448E-2</v>
      </c>
    </row>
    <row r="500" spans="4:4">
      <c r="D500" s="25">
        <f>Estimation_1516!F500</f>
        <v>3.0225194681989309E-2</v>
      </c>
    </row>
    <row r="501" spans="4:4">
      <c r="D501" s="26">
        <f>Estimation_1516!F501</f>
        <v>3.3438634167064687E-3</v>
      </c>
    </row>
    <row r="502" spans="4:4">
      <c r="D502" s="25">
        <f>Estimation_1516!F502</f>
        <v>1.8740214063076129E-2</v>
      </c>
    </row>
    <row r="503" spans="4:4">
      <c r="D503" s="26">
        <f>Estimation_1516!F503</f>
        <v>-7.8575095909383004E-3</v>
      </c>
    </row>
    <row r="504" spans="4:4">
      <c r="D504" s="25">
        <f>Estimation_1516!F504</f>
        <v>-1.9450460365416533E-2</v>
      </c>
    </row>
    <row r="505" spans="4:4">
      <c r="D505" s="26">
        <f>Estimation_1516!F505</f>
        <v>1.743044315112403E-2</v>
      </c>
    </row>
    <row r="506" spans="4:4">
      <c r="D506" s="25">
        <f>Estimation_1516!F506</f>
        <v>-1.3882684785189472E-2</v>
      </c>
    </row>
    <row r="507" spans="4:4">
      <c r="D507" s="26">
        <f>Estimation_1516!F507</f>
        <v>-1.2378252572036723E-2</v>
      </c>
    </row>
    <row r="508" spans="4:4">
      <c r="D508" s="25">
        <f>Estimation_1516!F508</f>
        <v>1.5541928794088875E-2</v>
      </c>
    </row>
    <row r="509" spans="4:4">
      <c r="D509" s="26">
        <f>Estimation_1516!F509</f>
        <v>2.9684622910988918E-3</v>
      </c>
    </row>
    <row r="510" spans="4:4">
      <c r="D510" s="25">
        <f>Estimation_1516!F510</f>
        <v>4.067300855741968E-3</v>
      </c>
    </row>
    <row r="511" spans="4:4">
      <c r="D511" s="26">
        <f>Estimation_1516!F511</f>
        <v>-8.1512122307063114E-3</v>
      </c>
    </row>
    <row r="512" spans="4:4">
      <c r="D512" s="25">
        <f>Estimation_1516!F512</f>
        <v>7.4377095284445876E-4</v>
      </c>
    </row>
    <row r="513" spans="4:4">
      <c r="D513" s="26">
        <f>Estimation_1516!F513</f>
        <v>-1.8589088258759179E-4</v>
      </c>
    </row>
    <row r="514" spans="4:4">
      <c r="D514" s="25">
        <f>Estimation_1516!F514</f>
        <v>-9.526550053017337E-3</v>
      </c>
    </row>
    <row r="515" spans="4:4">
      <c r="D515" s="26">
        <f>Estimation_1516!F515</f>
        <v>5.9880418446226933E-3</v>
      </c>
    </row>
    <row r="516" spans="4:4">
      <c r="D516" s="25">
        <f>Estimation_1516!F516</f>
        <v>7.4349784875179905E-3</v>
      </c>
    </row>
    <row r="517" spans="4:4">
      <c r="D517" s="26">
        <f>Estimation_1516!F517</f>
        <v>3.9932710335371012E-2</v>
      </c>
    </row>
    <row r="518" spans="4:4">
      <c r="D518" s="25">
        <f>Estimation_1516!F518</f>
        <v>3.7296908522394213E-3</v>
      </c>
    </row>
    <row r="519" spans="4:4">
      <c r="D519" s="26">
        <f>Estimation_1516!F519</f>
        <v>-8.1880129939505292E-3</v>
      </c>
    </row>
    <row r="520" spans="4:4">
      <c r="D520" s="25">
        <f>Estimation_1516!F520</f>
        <v>-5.7358106707323464E-3</v>
      </c>
    </row>
    <row r="521" spans="4:4">
      <c r="D521" s="26">
        <f>Estimation_1516!F521</f>
        <v>-2.0888962245944845E-2</v>
      </c>
    </row>
    <row r="522" spans="4:4">
      <c r="D522" s="25">
        <f>Estimation_1516!F522</f>
        <v>6.7685248799824061E-3</v>
      </c>
    </row>
    <row r="523" spans="4:4">
      <c r="D523" s="26">
        <f>Estimation_1516!F523</f>
        <v>-8.7896555634099961E-3</v>
      </c>
    </row>
    <row r="524" spans="4:4">
      <c r="D524" s="25">
        <f>Estimation_1516!F524</f>
        <v>1.8390804649532914E-4</v>
      </c>
    </row>
    <row r="525" spans="4:4">
      <c r="D525" s="26">
        <f>Estimation_1516!F525</f>
        <v>3.0426106532317594E-2</v>
      </c>
    </row>
    <row r="526" spans="4:4">
      <c r="D526" s="25">
        <f>Estimation_1516!F526</f>
        <v>-5.1864553351799094E-3</v>
      </c>
    </row>
    <row r="527" spans="4:4">
      <c r="D527" s="26">
        <f>Estimation_1516!F527</f>
        <v>-1.6087106983832422E-2</v>
      </c>
    </row>
    <row r="528" spans="4:4">
      <c r="D528" s="25">
        <f>Estimation_1516!F528</f>
        <v>-6.7648123414403936E-3</v>
      </c>
    </row>
    <row r="529" spans="4:4">
      <c r="D529" s="26">
        <f>Estimation_1516!F529</f>
        <v>8.9490141562814825E-3</v>
      </c>
    </row>
    <row r="530" spans="4:4">
      <c r="D530" s="25">
        <f>Estimation_1516!F530</f>
        <v>-9.0950438284049986E-4</v>
      </c>
    </row>
    <row r="531" spans="4:4">
      <c r="D531" s="26">
        <f>Estimation_1516!F531</f>
        <v>-2.580788395587259E-2</v>
      </c>
    </row>
    <row r="532" spans="4:4">
      <c r="D532" s="25">
        <f>Estimation_1516!F532</f>
        <v>1.1142176553241803E-2</v>
      </c>
    </row>
    <row r="533" spans="4:4">
      <c r="D533" s="26">
        <f>Estimation_1516!F533</f>
        <v>4.936160531555641E-2</v>
      </c>
    </row>
    <row r="534" spans="4:4">
      <c r="D534" s="25">
        <f>Estimation_1516!F534</f>
        <v>-6.8789406101607414E-3</v>
      </c>
    </row>
    <row r="535" spans="4:4">
      <c r="D535" s="26">
        <f>Estimation_1516!F535</f>
        <v>-1.7714796483821156E-3</v>
      </c>
    </row>
    <row r="536" spans="4:4">
      <c r="D536" s="25">
        <f>Estimation_1516!F536</f>
        <v>-1.3566791448771017E-2</v>
      </c>
    </row>
    <row r="537" spans="4:4">
      <c r="D537" s="26">
        <f>Estimation_1516!F537</f>
        <v>-1.430018033400283E-2</v>
      </c>
    </row>
    <row r="538" spans="4:4">
      <c r="D538" s="25">
        <f>Estimation_1516!F538</f>
        <v>1.6992455136197692E-2</v>
      </c>
    </row>
    <row r="539" spans="4:4">
      <c r="D539" s="26">
        <f>Estimation_1516!F539</f>
        <v>-1.7940442558596736E-3</v>
      </c>
    </row>
    <row r="540" spans="4:4">
      <c r="D540" s="25">
        <f>Estimation_1516!F540</f>
        <v>1.7954933166123351E-4</v>
      </c>
    </row>
    <row r="541" spans="4:4">
      <c r="D541" s="26">
        <f>Estimation_1516!F541</f>
        <v>-1.1011935448613168E-2</v>
      </c>
    </row>
    <row r="542" spans="4:4">
      <c r="D542" s="25">
        <f>Estimation_1516!F542</f>
        <v>-2.016936725442962E-2</v>
      </c>
    </row>
    <row r="543" spans="4:4">
      <c r="D543" s="26">
        <f>Estimation_1516!F543</f>
        <v>-3.2184955474174479E-2</v>
      </c>
    </row>
    <row r="544" spans="4:4">
      <c r="D544" s="25">
        <f>Estimation_1516!F544</f>
        <v>1.875943217288658E-2</v>
      </c>
    </row>
    <row r="545" spans="4:4">
      <c r="D545" s="26">
        <f>Estimation_1516!F545</f>
        <v>2.2827380740290688E-2</v>
      </c>
    </row>
    <row r="546" spans="4:4">
      <c r="D546" s="25">
        <f>Estimation_1516!F546</f>
        <v>5.3069938811259841E-3</v>
      </c>
    </row>
    <row r="547" spans="4:4">
      <c r="D547" s="26">
        <f>Estimation_1516!F547</f>
        <v>7.4552577327251799E-3</v>
      </c>
    </row>
    <row r="548" spans="4:4">
      <c r="D548" s="25">
        <f>Estimation_1516!F548</f>
        <v>2.1506205220963682E-2</v>
      </c>
    </row>
    <row r="549" spans="4:4">
      <c r="D549" s="26">
        <f>Estimation_1516!F549</f>
        <v>-6.938912282272244E-3</v>
      </c>
    </row>
    <row r="550" spans="4:4">
      <c r="D550" s="25">
        <f>Estimation_1516!F550</f>
        <v>-1.8742664349171999E-2</v>
      </c>
    </row>
    <row r="551" spans="4:4">
      <c r="D551" s="26">
        <f>Estimation_1516!F551</f>
        <v>-1.9100672523433389E-2</v>
      </c>
    </row>
    <row r="552" spans="4:4">
      <c r="D552" s="25">
        <f>Estimation_1516!F552</f>
        <v>-1.0625507741767235E-2</v>
      </c>
    </row>
    <row r="553" spans="4:4">
      <c r="D553" s="26">
        <f>Estimation_1516!F553</f>
        <v>-6.580826607653625E-3</v>
      </c>
    </row>
    <row r="554" spans="4:4">
      <c r="D554" s="25">
        <f>Estimation_1516!F554</f>
        <v>-1.0429600560987094E-2</v>
      </c>
    </row>
    <row r="555" spans="4:4">
      <c r="D555" s="26">
        <f>Estimation_1516!F555</f>
        <v>-1.8469166769037215E-2</v>
      </c>
    </row>
    <row r="556" spans="4:4">
      <c r="D556" s="25">
        <f>Estimation_1516!F556</f>
        <v>3.8759738446929397E-3</v>
      </c>
    </row>
    <row r="557" spans="4:4">
      <c r="D557" s="26">
        <f>Estimation_1516!F557</f>
        <v>-3.6818179368896635E-3</v>
      </c>
    </row>
    <row r="558" spans="4:4">
      <c r="D558" s="25">
        <f>Estimation_1516!F558</f>
        <v>3.9959654261952408E-2</v>
      </c>
    </row>
    <row r="559" spans="4:4">
      <c r="D559" s="26">
        <f>Estimation_1516!F559</f>
        <v>2.4219853478986827E-3</v>
      </c>
    </row>
    <row r="560" spans="4:4">
      <c r="D560" s="25">
        <f>Estimation_1516!F560</f>
        <v>2.8253576272069227E-2</v>
      </c>
    </row>
    <row r="561" spans="4:4">
      <c r="D561" s="26">
        <f>Estimation_1516!F561</f>
        <v>-1.6966565892196025E-2</v>
      </c>
    </row>
    <row r="562" spans="4:4">
      <c r="D562" s="25">
        <f>Estimation_1516!F562</f>
        <v>-4.6104277147824974E-3</v>
      </c>
    </row>
    <row r="563" spans="4:4">
      <c r="D563" s="26">
        <f>Estimation_1516!F563</f>
        <v>4.6104277147825598E-3</v>
      </c>
    </row>
    <row r="564" spans="4:4">
      <c r="D564" s="25">
        <f>Estimation_1516!F564</f>
        <v>2.3996788628198141E-2</v>
      </c>
    </row>
    <row r="565" spans="4:4">
      <c r="D565" s="26">
        <f>Estimation_1516!F565</f>
        <v>1.6390888959015963E-2</v>
      </c>
    </row>
    <row r="566" spans="4:4">
      <c r="D566" s="25">
        <f>Estimation_1516!F566</f>
        <v>7.0658897128118598E-4</v>
      </c>
    </row>
    <row r="567" spans="4:4">
      <c r="D567" s="26">
        <f>Estimation_1516!F567</f>
        <v>-8.8684511716056822E-3</v>
      </c>
    </row>
    <row r="568" spans="4:4">
      <c r="D568" s="25">
        <f>Estimation_1516!F568</f>
        <v>8.3385562550292638E-3</v>
      </c>
    </row>
    <row r="569" spans="4:4">
      <c r="D569" s="26">
        <f>Estimation_1516!F569</f>
        <v>1.2359849723905013E-3</v>
      </c>
    </row>
    <row r="570" spans="4:4">
      <c r="D570" s="25">
        <f>Estimation_1516!F570</f>
        <v>1.7644464095180527E-4</v>
      </c>
    </row>
    <row r="571" spans="4:4">
      <c r="D571" s="26">
        <f>Estimation_1516!F571</f>
        <v>-6.371702972692783E-3</v>
      </c>
    </row>
    <row r="572" spans="4:4">
      <c r="D572" s="25">
        <f>Estimation_1516!F572</f>
        <v>-7.1047960359856292E-4</v>
      </c>
    </row>
    <row r="573" spans="4:4">
      <c r="D573" s="26">
        <f>Estimation_1516!F573</f>
        <v>-8.7445903887513748E-3</v>
      </c>
    </row>
    <row r="574" spans="4:4">
      <c r="D574" s="25">
        <f>Estimation_1516!F574</f>
        <v>1.0874516646576285E-2</v>
      </c>
    </row>
    <row r="575" spans="4:4">
      <c r="D575" s="26">
        <f>Estimation_1516!F575</f>
        <v>-8.7259034654592147E-3</v>
      </c>
    </row>
    <row r="576" spans="4:4">
      <c r="D576" s="25">
        <f>Estimation_1516!F576</f>
        <v>-5.0206309513522139E-3</v>
      </c>
    </row>
    <row r="577" spans="4:4">
      <c r="D577" s="26">
        <f>Estimation_1516!F577</f>
        <v>1.922793793873499E-2</v>
      </c>
    </row>
    <row r="578" spans="4:4">
      <c r="D578" s="25">
        <f>Estimation_1516!F578</f>
        <v>1.2335890188884457E-3</v>
      </c>
    </row>
    <row r="579" spans="4:4">
      <c r="D579" s="26">
        <f>Estimation_1516!F579</f>
        <v>7.8940853761856663E-3</v>
      </c>
    </row>
    <row r="580" spans="4:4">
      <c r="D580" s="25">
        <f>Estimation_1516!F580</f>
        <v>9.2182581635599191E-3</v>
      </c>
    </row>
    <row r="581" spans="4:4">
      <c r="D581" s="26">
        <f>Estimation_1516!F581</f>
        <v>-1.5176915822014692E-2</v>
      </c>
    </row>
    <row r="582" spans="4:4">
      <c r="D582" s="25">
        <f>Estimation_1516!F582</f>
        <v>-6.8789406101607414E-3</v>
      </c>
    </row>
    <row r="583" spans="4:4">
      <c r="D583" s="26">
        <f>Estimation_1516!F583</f>
        <v>2.1216415313581889E-3</v>
      </c>
    </row>
    <row r="584" spans="4:4">
      <c r="D584" s="25">
        <f>Estimation_1516!F584</f>
        <v>7.7410661016004776E-3</v>
      </c>
    </row>
    <row r="585" spans="4:4">
      <c r="D585" s="26">
        <f>Estimation_1516!F585</f>
        <v>7.6816020179506965E-3</v>
      </c>
    </row>
    <row r="586" spans="4:4">
      <c r="D586" s="25">
        <f>Estimation_1516!F586</f>
        <v>-9.2601343110005722E-3</v>
      </c>
    </row>
    <row r="587" spans="4:4">
      <c r="D587" s="26">
        <f>Estimation_1516!F587</f>
        <v>-1.2541010430593325E-2</v>
      </c>
    </row>
    <row r="588" spans="4:4">
      <c r="D588" s="25">
        <f>Estimation_1516!F588</f>
        <v>-1.4682448180063179E-2</v>
      </c>
    </row>
    <row r="589" spans="4:4">
      <c r="D589" s="26">
        <f>Estimation_1516!F589</f>
        <v>-2.4467169029211845E-2</v>
      </c>
    </row>
    <row r="590" spans="4:4">
      <c r="D590" s="25">
        <f>Estimation_1516!F590</f>
        <v>1.6622037255868681E-3</v>
      </c>
    </row>
    <row r="591" spans="4:4">
      <c r="D591" s="26">
        <f>Estimation_1516!F591</f>
        <v>2.1722128164793061E-2</v>
      </c>
    </row>
    <row r="592" spans="4:4">
      <c r="D592" s="25">
        <f>Estimation_1516!F592</f>
        <v>2.9183565741710046E-2</v>
      </c>
    </row>
    <row r="593" spans="4:4">
      <c r="D593" s="26">
        <f>Estimation_1516!F593</f>
        <v>1.5833301624006875E-2</v>
      </c>
    </row>
    <row r="594" spans="4:4">
      <c r="D594" s="25">
        <f>Estimation_1516!F594</f>
        <v>8.6435804278908512E-2</v>
      </c>
    </row>
    <row r="595" spans="4:4">
      <c r="D595" s="26">
        <f>Estimation_1516!F595</f>
        <v>5.0537062707669382E-3</v>
      </c>
    </row>
    <row r="596" spans="4:4">
      <c r="D596" s="25">
        <f>Estimation_1516!F596</f>
        <v>8.7829924703056225E-3</v>
      </c>
    </row>
    <row r="597" spans="4:4">
      <c r="D597" s="26">
        <f>Estimation_1516!F597</f>
        <v>-7.2089326458573411E-3</v>
      </c>
    </row>
    <row r="598" spans="4:4">
      <c r="D598" s="25">
        <f>Estimation_1516!F598</f>
        <v>4.5508120908411276E-3</v>
      </c>
    </row>
    <row r="599" spans="4:4">
      <c r="D599" s="26">
        <f>Estimation_1516!F599</f>
        <v>8.2638655368103362E-3</v>
      </c>
    </row>
    <row r="600" spans="4:4">
      <c r="D600" s="25">
        <f>Estimation_1516!F600</f>
        <v>-2.6432418406068352E-3</v>
      </c>
    </row>
    <row r="601" spans="4:4">
      <c r="D601" s="26">
        <f>Estimation_1516!F601</f>
        <v>9.6065194927518038E-3</v>
      </c>
    </row>
    <row r="602" spans="4:4">
      <c r="D602" s="25">
        <f>Estimation_1516!F602</f>
        <v>1.3934839985471495E-2</v>
      </c>
    </row>
    <row r="603" spans="4:4">
      <c r="D603" s="26">
        <f>Estimation_1516!F603</f>
        <v>-1.7178336535084403E-2</v>
      </c>
    </row>
    <row r="604" spans="4:4">
      <c r="D604" s="25">
        <f>Estimation_1516!F604</f>
        <v>-2.9436848276435616E-3</v>
      </c>
    </row>
    <row r="605" spans="4:4">
      <c r="D605" s="26">
        <f>Estimation_1516!F605</f>
        <v>1.2336316817606321E-2</v>
      </c>
    </row>
    <row r="606" spans="4:4">
      <c r="D606" s="25">
        <f>Estimation_1516!F606</f>
        <v>-1.0631022241109424E-2</v>
      </c>
    </row>
    <row r="607" spans="4:4">
      <c r="D607" s="26">
        <f>Estimation_1516!F607</f>
        <v>-8.0871358331794652E-3</v>
      </c>
    </row>
    <row r="608" spans="4:4">
      <c r="D608" s="25">
        <f>Estimation_1516!F608</f>
        <v>2.4372639404441693E-2</v>
      </c>
    </row>
    <row r="609" spans="4:4">
      <c r="D609" s="26">
        <f>Estimation_1516!F609</f>
        <v>-1.5250879881416536E-3</v>
      </c>
    </row>
    <row r="610" spans="4:4">
      <c r="D610" s="25">
        <f>Estimation_1516!F610</f>
        <v>-3.2418503899008209E-2</v>
      </c>
    </row>
    <row r="611" spans="4:4">
      <c r="D611" s="26">
        <f>Estimation_1516!F611</f>
        <v>-1.4130583616110646E-2</v>
      </c>
    </row>
    <row r="612" spans="4:4">
      <c r="D612" s="25">
        <f>Estimation_1516!F612</f>
        <v>1.476100128868355E-2</v>
      </c>
    </row>
    <row r="613" spans="4:4">
      <c r="D613" s="26">
        <f>Estimation_1516!F613</f>
        <v>-1.0453056852089481E-2</v>
      </c>
    </row>
    <row r="614" spans="4:4">
      <c r="D614" s="25">
        <f>Estimation_1516!F614</f>
        <v>2.5620261842484261E-2</v>
      </c>
    </row>
    <row r="615" spans="4:4">
      <c r="D615" s="26">
        <f>Estimation_1516!F615</f>
        <v>1.2491487894029272E-2</v>
      </c>
    </row>
    <row r="616" spans="4:4">
      <c r="D616" s="25">
        <f>Estimation_1516!F616</f>
        <v>-7.6923456231557255E-3</v>
      </c>
    </row>
    <row r="617" spans="4:4">
      <c r="D617" s="26">
        <f>Estimation_1516!F617</f>
        <v>-5.6223125716668571E-2</v>
      </c>
    </row>
    <row r="618" spans="4:4">
      <c r="D618" s="25">
        <f>Estimation_1516!F618</f>
        <v>-4.0926634845877058E-3</v>
      </c>
    </row>
    <row r="619" spans="4:4">
      <c r="D619" s="26">
        <f>Estimation_1516!F619</f>
        <v>-2.6428863095806734E-2</v>
      </c>
    </row>
    <row r="620" spans="4:4">
      <c r="D620" s="25">
        <f>Estimation_1516!F620</f>
        <v>-9.6471933780029138E-3</v>
      </c>
    </row>
    <row r="621" spans="4:4">
      <c r="D621" s="26">
        <f>Estimation_1516!F621</f>
        <v>1.2842352911227079E-2</v>
      </c>
    </row>
    <row r="622" spans="4:4">
      <c r="D622" s="25">
        <f>Estimation_1516!F622</f>
        <v>1.1745953192061973E-3</v>
      </c>
    </row>
    <row r="623" spans="4:4">
      <c r="D623" s="26">
        <f>Estimation_1516!F623</f>
        <v>-8.2512887106834156E-3</v>
      </c>
    </row>
    <row r="624" spans="4:4">
      <c r="D624" s="25">
        <f>Estimation_1516!F624</f>
        <v>-1.2420406372113113E-2</v>
      </c>
    </row>
    <row r="625" spans="4:4">
      <c r="D625" s="26">
        <f>Estimation_1516!F625</f>
        <v>5.2932762540419858E-3</v>
      </c>
    </row>
    <row r="626" spans="4:4">
      <c r="D626" s="25">
        <f>Estimation_1516!F626</f>
        <v>1.5210703943665263E-2</v>
      </c>
    </row>
    <row r="627" spans="4:4">
      <c r="D627" s="26">
        <f>Estimation_1516!F627</f>
        <v>1.6798731833713932E-2</v>
      </c>
    </row>
    <row r="628" spans="4:4">
      <c r="D628" s="25">
        <f>Estimation_1516!F628</f>
        <v>-1.6798731833713953E-2</v>
      </c>
    </row>
    <row r="629" spans="4:4">
      <c r="D629" s="26">
        <f>Estimation_1516!F629</f>
        <v>6.0200850709378239E-3</v>
      </c>
    </row>
    <row r="630" spans="4:4">
      <c r="D630" s="25">
        <f>Estimation_1516!F630</f>
        <v>-3.1329291607603962E-2</v>
      </c>
    </row>
    <row r="631" spans="4:4">
      <c r="D631" s="26">
        <f>Estimation_1516!F631</f>
        <v>1.3752795703850108E-3</v>
      </c>
    </row>
    <row r="632" spans="4:4">
      <c r="D632" s="25">
        <f>Estimation_1516!F632</f>
        <v>1.3733907738143459E-3</v>
      </c>
    </row>
    <row r="633" spans="4:4">
      <c r="D633" s="26">
        <f>Estimation_1516!F633</f>
        <v>2.1385743743850695E-2</v>
      </c>
    </row>
    <row r="634" spans="4:4">
      <c r="D634" s="25">
        <f>Estimation_1516!F634</f>
        <v>-6.7397053769132778E-3</v>
      </c>
    </row>
    <row r="635" spans="4:4">
      <c r="D635" s="26">
        <f>Estimation_1516!F635</f>
        <v>-8.318526875090871E-3</v>
      </c>
    </row>
    <row r="636" spans="4:4">
      <c r="D636" s="25">
        <f>Estimation_1516!F636</f>
        <v>3.9132334071744681E-3</v>
      </c>
    </row>
    <row r="637" spans="4:4">
      <c r="D637" s="26">
        <f>Estimation_1516!F637</f>
        <v>-1.3161458254397188E-2</v>
      </c>
    </row>
    <row r="638" spans="4:4">
      <c r="D638" s="25">
        <f>Estimation_1516!F638</f>
        <v>1.4519001310330655E-2</v>
      </c>
    </row>
    <row r="639" spans="4:4">
      <c r="D639" s="26">
        <f>Estimation_1516!F639</f>
        <v>8.1067831243780766E-3</v>
      </c>
    </row>
    <row r="640" spans="4:4">
      <c r="D640" s="25">
        <f>Estimation_1516!F640</f>
        <v>2.2289678623840209E-2</v>
      </c>
    </row>
    <row r="641" spans="4:4">
      <c r="D641" s="26">
        <f>Estimation_1516!F641</f>
        <v>-1.2747461748410042E-2</v>
      </c>
    </row>
    <row r="642" spans="4:4">
      <c r="D642" s="25">
        <f>Estimation_1516!F642</f>
        <v>-2.1046319387662018E-2</v>
      </c>
    </row>
    <row r="643" spans="4:4">
      <c r="D643" s="26">
        <f>Estimation_1516!F643</f>
        <v>3.6586390753831903E-2</v>
      </c>
    </row>
    <row r="644" spans="4:4">
      <c r="D644" s="25">
        <f>Estimation_1516!F644</f>
        <v>-4.9334091179557768E-3</v>
      </c>
    </row>
    <row r="645" spans="4:4">
      <c r="D645" s="26">
        <f>Estimation_1516!F645</f>
        <v>-6.4500347654822925E-3</v>
      </c>
    </row>
    <row r="646" spans="4:4">
      <c r="D646" s="25">
        <f>Estimation_1516!F646</f>
        <v>1.7760703661967591E-2</v>
      </c>
    </row>
    <row r="647" spans="4:4">
      <c r="D647" s="26">
        <f>Estimation_1516!F647</f>
        <v>-5.5573859931593479E-3</v>
      </c>
    </row>
    <row r="648" spans="4:4">
      <c r="D648" s="25">
        <f>Estimation_1516!F648</f>
        <v>1.3104014979145844E-3</v>
      </c>
    </row>
    <row r="649" spans="4:4">
      <c r="D649" s="26">
        <f>Estimation_1516!F649</f>
        <v>-3.279229041192786E-3</v>
      </c>
    </row>
    <row r="650" spans="4:4">
      <c r="D650" s="25">
        <f>Estimation_1516!F650</f>
        <v>1.9688275432782113E-3</v>
      </c>
    </row>
    <row r="651" spans="4:4">
      <c r="D651" s="26">
        <f>Estimation_1516!F651</f>
        <v>1.6902726486855126E-2</v>
      </c>
    </row>
    <row r="652" spans="4:4">
      <c r="D652" s="25">
        <f>Estimation_1516!F652</f>
        <v>-1.3139940861133308E-2</v>
      </c>
    </row>
    <row r="653" spans="4:4">
      <c r="D653" s="26">
        <f>Estimation_1516!F653</f>
        <v>-6.22442632065785E-3</v>
      </c>
    </row>
    <row r="654" spans="4:4">
      <c r="D654" s="25">
        <f>Estimation_1516!F654</f>
        <v>-1.7570483512238971E-2</v>
      </c>
    </row>
    <row r="655" spans="4:4">
      <c r="D655" s="26">
        <f>Estimation_1516!F655</f>
        <v>5.1705560944846551E-3</v>
      </c>
    </row>
    <row r="656" spans="4:4">
      <c r="D656" s="25">
        <f>Estimation_1516!F656</f>
        <v>-6.6566818900064219E-4</v>
      </c>
    </row>
    <row r="657" spans="4:4">
      <c r="D657" s="26">
        <f>Estimation_1516!F657</f>
        <v>-1.4589006972109981E-2</v>
      </c>
    </row>
    <row r="658" spans="4:4">
      <c r="D658" s="25">
        <f>Estimation_1516!F658</f>
        <v>1.6252347342300424E-2</v>
      </c>
    </row>
    <row r="659" spans="4:4">
      <c r="D659" s="26">
        <f>Estimation_1516!F659</f>
        <v>2.0724425943575462E-2</v>
      </c>
    </row>
    <row r="660" spans="4:4">
      <c r="D660" s="25">
        <f>Estimation_1516!F660</f>
        <v>5.3575905406848161E-3</v>
      </c>
    </row>
    <row r="661" spans="4:4">
      <c r="D661" s="26">
        <f>Estimation_1516!F661</f>
        <v>4.8563335636756536E-4</v>
      </c>
    </row>
    <row r="662" spans="4:4">
      <c r="D662" s="25">
        <f>Estimation_1516!F662</f>
        <v>3.3928459722033953E-3</v>
      </c>
    </row>
    <row r="663" spans="4:4">
      <c r="D663" s="26">
        <f>Estimation_1516!F663</f>
        <v>-9.2360698692555906E-3</v>
      </c>
    </row>
    <row r="664" spans="4:4">
      <c r="D664" s="25">
        <f>Estimation_1516!F664</f>
        <v>7.2987105290294235E-3</v>
      </c>
    </row>
    <row r="665" spans="4:4">
      <c r="D665" s="26">
        <f>Estimation_1516!F665</f>
        <v>4.1928782600361781E-3</v>
      </c>
    </row>
    <row r="666" spans="4:4">
      <c r="D666" s="25">
        <f>Estimation_1516!F666</f>
        <v>2.2751756983416027E-2</v>
      </c>
    </row>
    <row r="667" spans="4:4">
      <c r="D667" s="26">
        <f>Estimation_1516!F667</f>
        <v>2.7003502966248264E-2</v>
      </c>
    </row>
    <row r="668" spans="4:4">
      <c r="D668" s="25">
        <f>Estimation_1516!F668</f>
        <v>1.2779726646399021E-2</v>
      </c>
    </row>
    <row r="669" spans="4:4">
      <c r="D669" s="26">
        <f>Estimation_1516!F669</f>
        <v>9.778189981635264E-3</v>
      </c>
    </row>
    <row r="670" spans="4:4">
      <c r="D670" s="25">
        <f>Estimation_1516!F670</f>
        <v>-1.8737326666971039E-2</v>
      </c>
    </row>
    <row r="671" spans="4:4">
      <c r="D671" s="26">
        <f>Estimation_1516!F671</f>
        <v>-4.8929761228158376E-3</v>
      </c>
    </row>
    <row r="672" spans="4:4">
      <c r="D672" s="25">
        <f>Estimation_1516!F672</f>
        <v>-1.2648633849760289E-2</v>
      </c>
    </row>
    <row r="673" spans="4:4">
      <c r="D673" s="26">
        <f>Estimation_1516!F673</f>
        <v>6.9611233219113505E-3</v>
      </c>
    </row>
    <row r="674" spans="4:4">
      <c r="D674" s="25">
        <f>Estimation_1516!F674</f>
        <v>-1.5427340301383239E-3</v>
      </c>
    </row>
    <row r="675" spans="4:4">
      <c r="D675" s="26">
        <f>Estimation_1516!F675</f>
        <v>4.3136717636885497E-3</v>
      </c>
    </row>
    <row r="676" spans="4:4">
      <c r="D676" s="25">
        <f>Estimation_1516!F676</f>
        <v>-1.5960670416797291E-2</v>
      </c>
    </row>
    <row r="677" spans="4:4">
      <c r="D677" s="26">
        <f>Estimation_1516!F677</f>
        <v>-3.1245118204510094E-4</v>
      </c>
    </row>
    <row r="678" spans="4:4">
      <c r="D678" s="25">
        <f>Estimation_1516!F678</f>
        <v>-1.2262376572200206E-2</v>
      </c>
    </row>
    <row r="679" spans="4:4">
      <c r="D679" s="26">
        <f>Estimation_1516!F679</f>
        <v>9.2892110927837862E-3</v>
      </c>
    </row>
    <row r="680" spans="4:4">
      <c r="D680" s="25">
        <f>Estimation_1516!F680</f>
        <v>-1.404583969017853E-2</v>
      </c>
    </row>
    <row r="681" spans="4:4">
      <c r="D681" s="26">
        <f>Estimation_1516!F681</f>
        <v>6.3552591907076151E-4</v>
      </c>
    </row>
    <row r="682" spans="4:4">
      <c r="D682" s="25">
        <f>Estimation_1516!F682</f>
        <v>-1.271455988196721E-3</v>
      </c>
    </row>
    <row r="683" spans="4:4">
      <c r="D683" s="26">
        <f>Estimation_1516!F683</f>
        <v>-1.0069612776134175E-2</v>
      </c>
    </row>
    <row r="684" spans="4:4">
      <c r="D684" s="25">
        <f>Estimation_1516!F684</f>
        <v>-1.8810348683141378E-2</v>
      </c>
    </row>
    <row r="685" spans="4:4">
      <c r="D685" s="26">
        <f>Estimation_1516!F685</f>
        <v>7.1766740907233577E-3</v>
      </c>
    </row>
    <row r="686" spans="4:4">
      <c r="D686" s="25">
        <f>Estimation_1516!F686</f>
        <v>2.4878901342438767E-2</v>
      </c>
    </row>
    <row r="687" spans="4:4">
      <c r="D687" s="26">
        <f>Estimation_1516!F687</f>
        <v>-1.4277784609998516E-3</v>
      </c>
    </row>
    <row r="688" spans="4:4">
      <c r="D688" s="25">
        <f>Estimation_1516!F688</f>
        <v>-9.8915930958064762E-3</v>
      </c>
    </row>
    <row r="689" spans="4:4">
      <c r="D689" s="26">
        <f>Estimation_1516!F689</f>
        <v>-8.5339862588647494E-3</v>
      </c>
    </row>
    <row r="690" spans="4:4">
      <c r="D690" s="25">
        <f>Estimation_1516!F690</f>
        <v>2.1279100631442453E-2</v>
      </c>
    </row>
    <row r="691" spans="4:4">
      <c r="D691" s="26">
        <f>Estimation_1516!F691</f>
        <v>-1.0662948168253264E-2</v>
      </c>
    </row>
    <row r="692" spans="4:4">
      <c r="D692" s="25">
        <f>Estimation_1516!F692</f>
        <v>2.6057534319289598E-2</v>
      </c>
    </row>
    <row r="693" spans="4:4">
      <c r="D693" s="26">
        <f>Estimation_1516!F693</f>
        <v>9.9271794002204691E-3</v>
      </c>
    </row>
    <row r="694" spans="4:4">
      <c r="D694" s="25">
        <f>Estimation_1516!F694</f>
        <v>1.8351944933464426E-2</v>
      </c>
    </row>
    <row r="695" spans="4:4">
      <c r="D695" s="26">
        <f>Estimation_1516!F695</f>
        <v>-1.5885472278721745E-2</v>
      </c>
    </row>
    <row r="696" spans="4:4">
      <c r="D696" s="25">
        <f>Estimation_1516!F696</f>
        <v>1.0719857632196645E-2</v>
      </c>
    </row>
    <row r="697" spans="4:4">
      <c r="D697" s="26">
        <f>Estimation_1516!F697</f>
        <v>-1.5813640352453064E-2</v>
      </c>
    </row>
    <row r="698" spans="4:4">
      <c r="D698" s="25">
        <f>Estimation_1516!F698</f>
        <v>-5.1198622427568157E-3</v>
      </c>
    </row>
    <row r="699" spans="4:4">
      <c r="D699" s="26">
        <f>Estimation_1516!F699</f>
        <v>1.554243396496866E-3</v>
      </c>
    </row>
    <row r="700" spans="4:4">
      <c r="D700" s="25">
        <f>Estimation_1516!F700</f>
        <v>-4.6699960339566717E-3</v>
      </c>
    </row>
    <row r="701" spans="4:4">
      <c r="D701" s="26">
        <f>Estimation_1516!F701</f>
        <v>2.9820838690344426E-2</v>
      </c>
    </row>
    <row r="702" spans="4:4">
      <c r="D702" s="25">
        <f>Estimation_1516!F702</f>
        <v>4.5330993309847358E-3</v>
      </c>
    </row>
    <row r="703" spans="4:4">
      <c r="D703" s="26">
        <f>Estimation_1516!F703</f>
        <v>-1.1676529661835629E-2</v>
      </c>
    </row>
    <row r="704" spans="4:4">
      <c r="D704" s="25">
        <f>Estimation_1516!F704</f>
        <v>-7.041204661105362E-3</v>
      </c>
    </row>
    <row r="705" spans="4:4">
      <c r="D705" s="26">
        <f>Estimation_1516!F705</f>
        <v>2.8320208707435277E-2</v>
      </c>
    </row>
    <row r="706" spans="4:4">
      <c r="D706" s="25">
        <f>Estimation_1516!F706</f>
        <v>6.4002599963025432E-3</v>
      </c>
    </row>
    <row r="707" spans="4:4">
      <c r="D707" s="26">
        <f>Estimation_1516!F707</f>
        <v>4.4411619999678359E-3</v>
      </c>
    </row>
    <row r="708" spans="4:4">
      <c r="D708" s="25">
        <f>Estimation_1516!F708</f>
        <v>-4.1444701123146202E-3</v>
      </c>
    </row>
    <row r="709" spans="4:4">
      <c r="D709" s="26">
        <f>Estimation_1516!F709</f>
        <v>3.1104208563537194E-2</v>
      </c>
    </row>
    <row r="710" spans="4:4">
      <c r="D710" s="25">
        <f>Estimation_1516!F710</f>
        <v>-6.4911875958277472E-3</v>
      </c>
    </row>
    <row r="711" spans="4:4">
      <c r="D711" s="26">
        <f>Estimation_1516!F711</f>
        <v>1.3797286995716657E-2</v>
      </c>
    </row>
    <row r="712" spans="4:4">
      <c r="D712" s="25">
        <f>Estimation_1516!F712</f>
        <v>-8.5677571998178962E-4</v>
      </c>
    </row>
    <row r="713" spans="4:4">
      <c r="D713" s="26">
        <f>Estimation_1516!F713</f>
        <v>-7.168489478612516E-3</v>
      </c>
    </row>
    <row r="714" spans="4:4">
      <c r="D714" s="25">
        <f>Estimation_1516!F714</f>
        <v>-1.3617478281222112E-2</v>
      </c>
    </row>
    <row r="715" spans="4:4">
      <c r="D715" s="26">
        <f>Estimation_1516!F715</f>
        <v>-8.9371336923715801E-3</v>
      </c>
    </row>
    <row r="716" spans="4:4">
      <c r="D716" s="25">
        <f>Estimation_1516!F716</f>
        <v>-7.5338269035526949E-3</v>
      </c>
    </row>
    <row r="717" spans="4:4">
      <c r="D717" s="26">
        <f>Estimation_1516!F717</f>
        <v>-2.7510190336813779E-2</v>
      </c>
    </row>
    <row r="718" spans="4:4">
      <c r="D718" s="25">
        <f>Estimation_1516!F718</f>
        <v>5.6235424436492949E-3</v>
      </c>
    </row>
    <row r="719" spans="4:4">
      <c r="D719" s="26">
        <f>Estimation_1516!F719</f>
        <v>2.2708358861356671E-3</v>
      </c>
    </row>
    <row r="720" spans="4:4">
      <c r="D720" s="25">
        <f>Estimation_1516!F720</f>
        <v>7.2322147385169991E-3</v>
      </c>
    </row>
    <row r="721" spans="4:4">
      <c r="D721" s="26">
        <f>Estimation_1516!F721</f>
        <v>-5.7211839281998958E-3</v>
      </c>
    </row>
    <row r="722" spans="4:4">
      <c r="D722" s="25">
        <f>Estimation_1516!F722</f>
        <v>3.1800599428814476E-2</v>
      </c>
    </row>
    <row r="723" spans="4:4">
      <c r="D723" s="26">
        <f>Estimation_1516!F723</f>
        <v>-4.6914028282275064E-3</v>
      </c>
    </row>
    <row r="724" spans="4:4">
      <c r="D724" s="25">
        <f>Estimation_1516!F724</f>
        <v>1.8490735749930376E-2</v>
      </c>
    </row>
    <row r="725" spans="4:4">
      <c r="D725" s="26">
        <f>Estimation_1516!F725</f>
        <v>-1.2045715637591542E-2</v>
      </c>
    </row>
    <row r="726" spans="4:4">
      <c r="D726" s="25">
        <f>Estimation_1516!F726</f>
        <v>-6.1511617499537393E-3</v>
      </c>
    </row>
    <row r="727" spans="4:4">
      <c r="D727" s="26">
        <f>Estimation_1516!F727</f>
        <v>4.8362371686446592E-3</v>
      </c>
    </row>
    <row r="728" spans="4:4">
      <c r="D728" s="25">
        <f>Estimation_1516!F728</f>
        <v>-3.9551798429280543E-3</v>
      </c>
    </row>
    <row r="729" spans="4:4">
      <c r="D729" s="26">
        <f>Estimation_1516!F729</f>
        <v>-1.1960275462971504E-2</v>
      </c>
    </row>
    <row r="730" spans="4:4">
      <c r="D730" s="25">
        <f>Estimation_1516!F730</f>
        <v>4.0026737896576275E-3</v>
      </c>
    </row>
    <row r="731" spans="4:4">
      <c r="D731" s="26">
        <f>Estimation_1516!F731</f>
        <v>-8.8809952551221788E-4</v>
      </c>
    </row>
    <row r="732" spans="4:4">
      <c r="D732" s="25">
        <f>Estimation_1516!F732</f>
        <v>-4.4523671058052609E-3</v>
      </c>
    </row>
    <row r="733" spans="4:4">
      <c r="D733" s="26">
        <f>Estimation_1516!F733</f>
        <v>-1.3778861100169026E-2</v>
      </c>
    </row>
    <row r="734" spans="4:4">
      <c r="D734" s="25">
        <f>Estimation_1516!F734</f>
        <v>-3.1719685231356761E-3</v>
      </c>
    </row>
    <row r="735" spans="4:4">
      <c r="D735" s="26">
        <f>Estimation_1516!F735</f>
        <v>2.317860775915645E-2</v>
      </c>
    </row>
    <row r="736" spans="4:4">
      <c r="D736" s="25">
        <f>Estimation_1516!F736</f>
        <v>-2.2422464055832283E-2</v>
      </c>
    </row>
    <row r="737" spans="4:4">
      <c r="D737" s="26">
        <f>Estimation_1516!F737</f>
        <v>4.2238711161850222E-3</v>
      </c>
    </row>
    <row r="738" spans="4:4">
      <c r="D738" s="25">
        <f>Estimation_1516!F738</f>
        <v>-1.9763489118839635E-2</v>
      </c>
    </row>
    <row r="739" spans="4:4">
      <c r="D739" s="26">
        <f>Estimation_1516!F739</f>
        <v>-1.1582246687648103E-2</v>
      </c>
    </row>
    <row r="740" spans="4:4">
      <c r="D740" s="25">
        <f>Estimation_1516!F740</f>
        <v>2.6370914219894363E-3</v>
      </c>
    </row>
    <row r="741" spans="4:4">
      <c r="D741" s="26">
        <f>Estimation_1516!F741</f>
        <v>1.338790481758634E-2</v>
      </c>
    </row>
    <row r="742" spans="4:4">
      <c r="D742" s="25">
        <f>Estimation_1516!F742</f>
        <v>-1.3766732575787987E-3</v>
      </c>
    </row>
    <row r="743" spans="4:4">
      <c r="D743" s="26">
        <f>Estimation_1516!F743</f>
        <v>-9.2265762952402058E-3</v>
      </c>
    </row>
    <row r="744" spans="4:4">
      <c r="D744" s="25">
        <f>Estimation_1516!F744</f>
        <v>1.1214496515615681E-2</v>
      </c>
    </row>
    <row r="745" spans="4:4">
      <c r="D745" s="26">
        <f>Estimation_1516!F745</f>
        <v>-6.7443541972751972E-3</v>
      </c>
    </row>
    <row r="746" spans="4:4">
      <c r="D746" s="25">
        <f>Estimation_1516!F746</f>
        <v>1.8438849723282193E-3</v>
      </c>
    </row>
    <row r="747" spans="4:4">
      <c r="D747" s="26">
        <f>Estimation_1516!F747</f>
        <v>1.2054773277120895E-2</v>
      </c>
    </row>
    <row r="748" spans="4:4">
      <c r="D748" s="25">
        <f>Estimation_1516!F748</f>
        <v>-9.9078624693567825E-3</v>
      </c>
    </row>
    <row r="749" spans="4:4">
      <c r="D749" s="26">
        <f>Estimation_1516!F749</f>
        <v>-4.6061804148972534E-3</v>
      </c>
    </row>
    <row r="750" spans="4:4">
      <c r="D750" s="25">
        <f>Estimation_1516!F750</f>
        <v>2.8521350750998254E-2</v>
      </c>
    </row>
    <row r="751" spans="4:4">
      <c r="D751" s="26">
        <f>Estimation_1516!F751</f>
        <v>1.8376332163514024E-2</v>
      </c>
    </row>
    <row r="752" spans="4:4">
      <c r="D752" s="25">
        <f>Estimation_1516!F752</f>
        <v>-2.3173942565135948E-2</v>
      </c>
    </row>
    <row r="753" spans="4:4">
      <c r="D753" s="26">
        <f>Estimation_1516!F753</f>
        <v>2.4494655942230829E-2</v>
      </c>
    </row>
    <row r="754" spans="4:4">
      <c r="D754" s="25">
        <f>Estimation_1516!F754</f>
        <v>-1.5071207253788467E-2</v>
      </c>
    </row>
    <row r="755" spans="4:4">
      <c r="D755" s="26">
        <f>Estimation_1516!F755</f>
        <v>-1.4244187159672902E-2</v>
      </c>
    </row>
    <row r="756" spans="4:4">
      <c r="D756" s="25">
        <f>Estimation_1516!F756</f>
        <v>2.1512631233462164E-2</v>
      </c>
    </row>
    <row r="757" spans="4:4">
      <c r="D757" s="26">
        <f>Estimation_1516!F757</f>
        <v>-5.6321476878698797E-3</v>
      </c>
    </row>
    <row r="758" spans="4:4">
      <c r="D758" s="25">
        <f>Estimation_1516!F758</f>
        <v>8.7310950509745071E-3</v>
      </c>
    </row>
    <row r="759" spans="4:4">
      <c r="D759" s="26">
        <f>Estimation_1516!F759</f>
        <v>2.9424767441930942E-3</v>
      </c>
    </row>
    <row r="760" spans="4:4">
      <c r="D760" s="25">
        <f>Estimation_1516!F760</f>
        <v>-3.2853484807258623E-2</v>
      </c>
    </row>
    <row r="761" spans="4:4">
      <c r="D761" s="26">
        <f>Estimation_1516!F761</f>
        <v>-3.0367446331144496E-4</v>
      </c>
    </row>
    <row r="762" spans="4:4">
      <c r="D762" s="25">
        <f>Estimation_1516!F762</f>
        <v>7.715037132953708E-3</v>
      </c>
    </row>
    <row r="763" spans="4:4">
      <c r="D763" s="26">
        <f>Estimation_1516!F763</f>
        <v>1.7773599083964069E-2</v>
      </c>
    </row>
    <row r="764" spans="4:4">
      <c r="D764" s="25">
        <f>Estimation_1516!F764</f>
        <v>-1.2363306355716528E-2</v>
      </c>
    </row>
    <row r="765" spans="4:4">
      <c r="D765" s="26">
        <f>Estimation_1516!F765</f>
        <v>-7.3712255536031437E-3</v>
      </c>
    </row>
    <row r="766" spans="4:4">
      <c r="D766" s="25">
        <f>Estimation_1516!F766</f>
        <v>1.7659842368459442E-2</v>
      </c>
    </row>
    <row r="767" spans="4:4">
      <c r="D767" s="26">
        <f>Estimation_1516!F767</f>
        <v>-8.9406049279614659E-3</v>
      </c>
    </row>
    <row r="768" spans="4:4">
      <c r="D768" s="25">
        <f>Estimation_1516!F768</f>
        <v>-4.951619390193303E-3</v>
      </c>
    </row>
    <row r="769" spans="4:4">
      <c r="D769" s="26">
        <f>Estimation_1516!F769</f>
        <v>-1.9573897689761891E-3</v>
      </c>
    </row>
    <row r="770" spans="4:4">
      <c r="D770" s="25">
        <f>Estimation_1516!F770</f>
        <v>-5.8952630868182856E-3</v>
      </c>
    </row>
    <row r="771" spans="4:4">
      <c r="D771" s="26">
        <f>Estimation_1516!F771</f>
        <v>1.2055601102236132E-2</v>
      </c>
    </row>
    <row r="772" spans="4:4">
      <c r="D772" s="25">
        <f>Estimation_1516!F772</f>
        <v>-5.9934074314309607E-4</v>
      </c>
    </row>
    <row r="773" spans="4:4">
      <c r="D773" s="26">
        <f>Estimation_1516!F773</f>
        <v>3.4760495227986535E-2</v>
      </c>
    </row>
    <row r="774" spans="4:4">
      <c r="D774" s="25">
        <f>Estimation_1516!F774</f>
        <v>-2.8993931590026124E-3</v>
      </c>
    </row>
    <row r="775" spans="4:4">
      <c r="D775" s="26">
        <f>Estimation_1516!F775</f>
        <v>1.7406444777841182E-3</v>
      </c>
    </row>
    <row r="776" spans="4:4">
      <c r="D776" s="25">
        <f>Estimation_1516!F776</f>
        <v>1.3531227037970425E-2</v>
      </c>
    </row>
    <row r="777" spans="4:4">
      <c r="D777" s="26">
        <f>Estimation_1516!F777</f>
        <v>6.5555315287669797E-3</v>
      </c>
    </row>
    <row r="778" spans="4:4">
      <c r="D778" s="25">
        <f>Estimation_1516!F778</f>
        <v>9.8940736451985367E-3</v>
      </c>
    </row>
    <row r="779" spans="4:4">
      <c r="D779" s="26">
        <f>Estimation_1516!F779</f>
        <v>5.6242971111392559E-4</v>
      </c>
    </row>
    <row r="780" spans="4:4">
      <c r="D780" s="25">
        <f>Estimation_1516!F780</f>
        <v>1.1239113293226085E-3</v>
      </c>
    </row>
    <row r="781" spans="4:4">
      <c r="D781" s="26">
        <f>Estimation_1516!F781</f>
        <v>-2.8085943170155043E-4</v>
      </c>
    </row>
    <row r="782" spans="4:4">
      <c r="D782" s="25">
        <f>Estimation_1516!F782</f>
        <v>9.7834463090710286E-3</v>
      </c>
    </row>
    <row r="783" spans="4:4">
      <c r="D783" s="26">
        <f>Estimation_1516!F783</f>
        <v>1.3537988224701921E-2</v>
      </c>
    </row>
    <row r="784" spans="4:4">
      <c r="D784" s="25">
        <f>Estimation_1516!F784</f>
        <v>-7.4370264277509833E-3</v>
      </c>
    </row>
    <row r="785" spans="4:4">
      <c r="D785" s="26">
        <f>Estimation_1516!F785</f>
        <v>2.1335601430204094E-2</v>
      </c>
    </row>
    <row r="786" spans="4:4">
      <c r="D786" s="25">
        <f>Estimation_1516!F786</f>
        <v>4.8596207947779919E-3</v>
      </c>
    </row>
    <row r="787" spans="4:4">
      <c r="D787" s="26">
        <f>Estimation_1516!F787</f>
        <v>-1.0287042530143148E-2</v>
      </c>
    </row>
    <row r="788" spans="4:4">
      <c r="D788" s="25">
        <f>Estimation_1516!F788</f>
        <v>7.3200814865058512E-3</v>
      </c>
    </row>
    <row r="789" spans="4:4">
      <c r="D789" s="26">
        <f>Estimation_1516!F789</f>
        <v>-2.4340782808796408E-3</v>
      </c>
    </row>
    <row r="790" spans="4:4">
      <c r="D790" s="25">
        <f>Estimation_1516!F790</f>
        <v>-2.9830530595400776E-3</v>
      </c>
    </row>
    <row r="791" spans="4:4">
      <c r="D791" s="26">
        <f>Estimation_1516!F791</f>
        <v>-7.633624855071095E-3</v>
      </c>
    </row>
    <row r="792" spans="4:4">
      <c r="D792" s="25">
        <f>Estimation_1516!F792</f>
        <v>3.5514311333738908E-3</v>
      </c>
    </row>
    <row r="793" spans="4:4">
      <c r="D793" s="26">
        <f>Estimation_1516!F793</f>
        <v>5.9815295253496173E-3</v>
      </c>
    </row>
    <row r="794" spans="4:4">
      <c r="D794" s="25">
        <f>Estimation_1516!F794</f>
        <v>-1.2273439216826651E-2</v>
      </c>
    </row>
    <row r="795" spans="4:4">
      <c r="D795" s="26">
        <f>Estimation_1516!F795</f>
        <v>-1.9956316383459287E-2</v>
      </c>
    </row>
    <row r="796" spans="4:4">
      <c r="D796" s="25">
        <f>Estimation_1516!F796</f>
        <v>-4.5827033384819978E-2</v>
      </c>
    </row>
    <row r="797" spans="4:4">
      <c r="D797" s="26">
        <f>Estimation_1516!F797</f>
        <v>4.2180976898622956E-2</v>
      </c>
    </row>
    <row r="798" spans="4:4">
      <c r="D798" s="25">
        <f>Estimation_1516!F798</f>
        <v>-7.6153237863421106E-3</v>
      </c>
    </row>
    <row r="799" spans="4:4">
      <c r="D799" s="26">
        <f>Estimation_1516!F799</f>
        <v>-1.4544673912411739E-2</v>
      </c>
    </row>
    <row r="800" spans="4:4">
      <c r="D800" s="25">
        <f>Estimation_1516!F800</f>
        <v>1.8782566962182907E-2</v>
      </c>
    </row>
    <row r="801" spans="4:4">
      <c r="D801" s="26">
        <f>Estimation_1516!F801</f>
        <v>-4.2378930497712275E-3</v>
      </c>
    </row>
    <row r="802" spans="4:4">
      <c r="D802" s="25">
        <f>Estimation_1516!F802</f>
        <v>5.6609115579091805E-4</v>
      </c>
    </row>
    <row r="803" spans="4:4">
      <c r="D803" s="26">
        <f>Estimation_1516!F803</f>
        <v>-5.9600006138146745E-3</v>
      </c>
    </row>
    <row r="804" spans="4:4">
      <c r="D804" s="25">
        <f>Estimation_1516!F804</f>
        <v>6.8085369396535256E-3</v>
      </c>
    </row>
    <row r="805" spans="4:4">
      <c r="D805" s="26">
        <f>Estimation_1516!F805</f>
        <v>1.3479563828240235E-2</v>
      </c>
    </row>
    <row r="806" spans="4:4">
      <c r="D806" s="25">
        <f>Estimation_1516!F806</f>
        <v>-1.5177357105334228E-2</v>
      </c>
    </row>
    <row r="807" spans="4:4">
      <c r="D807" s="26">
        <f>Estimation_1516!F807</f>
        <v>1.6977932770940486E-3</v>
      </c>
    </row>
    <row r="808" spans="4:4">
      <c r="D808" s="25">
        <f>Estimation_1516!F808</f>
        <v>4.5134068155465064E-3</v>
      </c>
    </row>
    <row r="809" spans="4:4">
      <c r="D809" s="26">
        <f>Estimation_1516!F809</f>
        <v>-7.0611788943451739E-3</v>
      </c>
    </row>
    <row r="810" spans="4:4">
      <c r="D810" s="25">
        <f>Estimation_1516!F810</f>
        <v>-9.6839264326799637E-3</v>
      </c>
    </row>
    <row r="811" spans="4:4">
      <c r="D811" s="26">
        <f>Estimation_1516!F811</f>
        <v>1.2514384025728516E-2</v>
      </c>
    </row>
    <row r="812" spans="4:4">
      <c r="D812" s="25">
        <f>Estimation_1516!F812</f>
        <v>3.3860077497309595E-3</v>
      </c>
    </row>
    <row r="813" spans="4:4">
      <c r="D813" s="26">
        <f>Estimation_1516!F813</f>
        <v>-1.3042430413179337E-2</v>
      </c>
    </row>
    <row r="814" spans="4:4">
      <c r="D814" s="25">
        <f>Estimation_1516!F814</f>
        <v>-4.1666624331176384E-2</v>
      </c>
    </row>
    <row r="815" spans="4:4">
      <c r="D815" s="26">
        <f>Estimation_1516!F815</f>
        <v>2.67419562130171E-3</v>
      </c>
    </row>
    <row r="816" spans="4:4">
      <c r="D816" s="25">
        <f>Estimation_1516!F816</f>
        <v>7.6855240848304161E-3</v>
      </c>
    </row>
    <row r="817" spans="4:4">
      <c r="D817" s="26">
        <f>Estimation_1516!F817</f>
        <v>3.2338702297286534E-3</v>
      </c>
    </row>
    <row r="818" spans="4:4">
      <c r="D818" s="25">
        <f>Estimation_1516!F818</f>
        <v>1.3411279729025703E-2</v>
      </c>
    </row>
    <row r="819" spans="4:4">
      <c r="D819" s="26">
        <f>Estimation_1516!F819</f>
        <v>-2.319513942233386E-3</v>
      </c>
    </row>
    <row r="820" spans="4:4">
      <c r="D820" s="25">
        <f>Estimation_1516!F820</f>
        <v>5.2113609546629814E-3</v>
      </c>
    </row>
    <row r="821" spans="4:4">
      <c r="D821" s="26">
        <f>Estimation_1516!F821</f>
        <v>8.6592587312953214E-4</v>
      </c>
    </row>
    <row r="822" spans="4:4">
      <c r="D822" s="25">
        <f>Estimation_1516!F822</f>
        <v>-4.3371471775479698E-3</v>
      </c>
    </row>
    <row r="823" spans="4:4">
      <c r="D823" s="26">
        <f>Estimation_1516!F823</f>
        <v>-2.6113463265186945E-3</v>
      </c>
    </row>
    <row r="824" spans="4:4">
      <c r="D824" s="25">
        <f>Estimation_1516!F824</f>
        <v>3.7697594302854671E-3</v>
      </c>
    </row>
    <row r="825" spans="4:4">
      <c r="D825" s="26">
        <f>Estimation_1516!F825</f>
        <v>-7.5537837388499774E-3</v>
      </c>
    </row>
    <row r="826" spans="4:4">
      <c r="D826" s="25">
        <f>Estimation_1516!F826</f>
        <v>1.3037994338130019E-2</v>
      </c>
    </row>
    <row r="827" spans="4:4">
      <c r="D827" s="26">
        <f>Estimation_1516!F827</f>
        <v>-5.7587102080948211E-4</v>
      </c>
    </row>
    <row r="828" spans="4:4">
      <c r="D828" s="25">
        <f>Estimation_1516!F828</f>
        <v>-2.9224756658494784E-2</v>
      </c>
    </row>
    <row r="829" spans="4:4">
      <c r="D829" s="26">
        <f>Estimation_1516!F829</f>
        <v>-1.1033360772021919E-2</v>
      </c>
    </row>
    <row r="830" spans="4:4">
      <c r="D830" s="25">
        <f>Estimation_1516!F830</f>
        <v>-6.9204428445737952E-3</v>
      </c>
    </row>
    <row r="831" spans="4:4">
      <c r="D831" s="26">
        <f>Estimation_1516!F831</f>
        <v>1.9731581862595049E-2</v>
      </c>
    </row>
    <row r="832" spans="4:4">
      <c r="D832" s="25">
        <f>Estimation_1516!F832</f>
        <v>-1.0415210947646863E-2</v>
      </c>
    </row>
    <row r="833" spans="4:4">
      <c r="D833" s="26">
        <f>Estimation_1516!F833</f>
        <v>-4.1966488450735804E-3</v>
      </c>
    </row>
    <row r="834" spans="4:4">
      <c r="D834" s="25">
        <f>Estimation_1516!F834</f>
        <v>-1.2022844850704101E-3</v>
      </c>
    </row>
    <row r="835" spans="4:4">
      <c r="D835" s="26">
        <f>Estimation_1516!F835</f>
        <v>-3.3020425850928146E-2</v>
      </c>
    </row>
    <row r="836" spans="4:4">
      <c r="D836" s="25">
        <f>Estimation_1516!F836</f>
        <v>3.3020425850928112E-2</v>
      </c>
    </row>
    <row r="837" spans="4:4">
      <c r="D837" s="26">
        <f>Estimation_1516!F837</f>
        <v>-1.4236193786179525E-2</v>
      </c>
    </row>
    <row r="838" spans="4:4">
      <c r="D838" s="25">
        <f>Estimation_1516!F838</f>
        <v>1.453690044909795E-2</v>
      </c>
    </row>
    <row r="839" spans="4:4">
      <c r="D839" s="26">
        <f>Estimation_1516!F839</f>
        <v>6.8914130413317157E-3</v>
      </c>
    </row>
    <row r="840" spans="4:4">
      <c r="D840" s="25">
        <f>Estimation_1516!F840</f>
        <v>-1.9599602221885913E-2</v>
      </c>
    </row>
    <row r="841" spans="4:4">
      <c r="D841" s="26">
        <f>Estimation_1516!F841</f>
        <v>1.9300961037047138E-2</v>
      </c>
    </row>
    <row r="842" spans="4:4">
      <c r="D842" s="25">
        <f>Estimation_1516!F842</f>
        <v>-7.1942756340270851E-3</v>
      </c>
    </row>
    <row r="843" spans="4:4">
      <c r="D843" s="26">
        <f>Estimation_1516!F843</f>
        <v>-6.018658020985623E-4</v>
      </c>
    </row>
    <row r="844" spans="4:4">
      <c r="D844" s="25">
        <f>Estimation_1516!F844</f>
        <v>-1.5062512261877809E-3</v>
      </c>
    </row>
    <row r="845" spans="4:4">
      <c r="D845" s="26">
        <f>Estimation_1516!F845</f>
        <v>-6.958128209466838E-3</v>
      </c>
    </row>
    <row r="846" spans="4:4">
      <c r="D846" s="25">
        <f>Estimation_1516!F846</f>
        <v>1.0869672236903891E-2</v>
      </c>
    </row>
    <row r="847" spans="4:4">
      <c r="D847" s="26">
        <f>Estimation_1516!F847</f>
        <v>-1.0262691945127274E-2</v>
      </c>
    </row>
    <row r="848" spans="4:4">
      <c r="D848" s="25">
        <f>Estimation_1516!F848</f>
        <v>1.1763067320361783E-2</v>
      </c>
    </row>
    <row r="849" spans="4:4">
      <c r="D849" s="26">
        <f>Estimation_1516!F849</f>
        <v>1.0440064996683422E-2</v>
      </c>
    </row>
    <row r="850" spans="4:4">
      <c r="D850" s="25">
        <f>Estimation_1516!F850</f>
        <v>-1.2240785771382453E-2</v>
      </c>
    </row>
    <row r="851" spans="4:4">
      <c r="D851" s="26">
        <f>Estimation_1516!F851</f>
        <v>9.2690153822248336E-3</v>
      </c>
    </row>
    <row r="852" spans="4:4">
      <c r="D852" s="25">
        <f>Estimation_1516!F852</f>
        <v>4.158010148663677E-3</v>
      </c>
    </row>
    <row r="853" spans="4:4">
      <c r="D853" s="26">
        <f>Estimation_1516!F853</f>
        <v>9.4395981167199466E-3</v>
      </c>
    </row>
    <row r="854" spans="4:4">
      <c r="D854" s="25">
        <f>Estimation_1516!F854</f>
        <v>1.6307874513521083E-2</v>
      </c>
    </row>
    <row r="855" spans="4:4">
      <c r="D855" s="26">
        <f>Estimation_1516!F855</f>
        <v>-1.865943350427722E-2</v>
      </c>
    </row>
    <row r="856" spans="4:4">
      <c r="D856" s="25">
        <f>Estimation_1516!F856</f>
        <v>6.1610874074239479E-3</v>
      </c>
    </row>
    <row r="857" spans="4:4">
      <c r="D857" s="26">
        <f>Estimation_1516!F857</f>
        <v>3.7950709685515343E-3</v>
      </c>
    </row>
    <row r="858" spans="4:4">
      <c r="D858" s="25">
        <f>Estimation_1516!F858</f>
        <v>-9.3677500036001594E-3</v>
      </c>
    </row>
    <row r="859" spans="4:4">
      <c r="D859" s="26">
        <f>Estimation_1516!F859</f>
        <v>2.350177344953673E-3</v>
      </c>
    </row>
    <row r="860" spans="4:4">
      <c r="D860" s="25">
        <f>Estimation_1516!F860</f>
        <v>1.3696848252563856E-2</v>
      </c>
    </row>
    <row r="861" spans="4:4">
      <c r="D861" s="26">
        <f>Estimation_1516!F861</f>
        <v>4.3321367391347372E-3</v>
      </c>
    </row>
    <row r="862" spans="4:4">
      <c r="D862" s="25">
        <f>Estimation_1516!F862</f>
        <v>-9.8465898367589479E-3</v>
      </c>
    </row>
    <row r="863" spans="4:4">
      <c r="D863" s="26">
        <f>Estimation_1516!F863</f>
        <v>1.4541226933343409E-3</v>
      </c>
    </row>
    <row r="864" spans="4:4">
      <c r="D864" s="25">
        <f>Estimation_1516!F864</f>
        <v>-1.5227234190429019E-2</v>
      </c>
    </row>
    <row r="865" spans="4:4">
      <c r="D865" s="26">
        <f>Estimation_1516!F865</f>
        <v>7.0567772996556971E-3</v>
      </c>
    </row>
    <row r="866" spans="4:4">
      <c r="D866" s="25">
        <f>Estimation_1516!F866</f>
        <v>3.001668356727542E-2</v>
      </c>
    </row>
    <row r="867" spans="4:4">
      <c r="D867" s="26">
        <f>Estimation_1516!F867</f>
        <v>4.5390148851628025E-3</v>
      </c>
    </row>
    <row r="868" spans="4:4">
      <c r="D868" s="25">
        <f>Estimation_1516!F868</f>
        <v>1.4332126735676015E-2</v>
      </c>
    </row>
    <row r="869" spans="4:4">
      <c r="D869" s="26">
        <f>Estimation_1516!F869</f>
        <v>-1.7450485038669705E-2</v>
      </c>
    </row>
    <row r="870" spans="4:4">
      <c r="D870" s="25">
        <f>Estimation_1516!F870</f>
        <v>-3.9829355640776821E-3</v>
      </c>
    </row>
    <row r="871" spans="4:4">
      <c r="D871" s="26">
        <f>Estimation_1516!F871</f>
        <v>-9.4515954931811141E-3</v>
      </c>
    </row>
    <row r="872" spans="4:4">
      <c r="D872" s="25">
        <f>Estimation_1516!F872</f>
        <v>-5.7141486348856373E-2</v>
      </c>
    </row>
    <row r="873" spans="4:4">
      <c r="D873" s="26">
        <f>Estimation_1516!F873</f>
        <v>-4.9018709479534392E-2</v>
      </c>
    </row>
    <row r="874" spans="4:4">
      <c r="D874" s="25">
        <f>Estimation_1516!F874</f>
        <v>1.5987213636970735E-3</v>
      </c>
    </row>
    <row r="875" spans="4:4">
      <c r="D875" s="26">
        <f>Estimation_1516!F875</f>
        <v>-9.9535257464505346E-3</v>
      </c>
    </row>
    <row r="876" spans="4:4">
      <c r="D876" s="25">
        <f>Estimation_1516!F876</f>
        <v>1.4734411346792584E-2</v>
      </c>
    </row>
    <row r="877" spans="4:4">
      <c r="D877" s="26">
        <f>Estimation_1516!F877</f>
        <v>-1.2726695958943336E-3</v>
      </c>
    </row>
    <row r="878" spans="4:4">
      <c r="D878" s="25">
        <f>Estimation_1516!F878</f>
        <v>-9.275614240364256E-3</v>
      </c>
    </row>
    <row r="879" spans="4:4">
      <c r="D879" s="26">
        <f>Estimation_1516!F879</f>
        <v>6.0868360281233292E-3</v>
      </c>
    </row>
    <row r="880" spans="4:4">
      <c r="D880" s="25">
        <f>Estimation_1516!F880</f>
        <v>1.2379145544920556E-2</v>
      </c>
    </row>
    <row r="881" spans="4:4">
      <c r="D881" s="26">
        <f>Estimation_1516!F881</f>
        <v>-9.5087879690271878E-3</v>
      </c>
    </row>
    <row r="882" spans="4:4">
      <c r="D882" s="25">
        <f>Estimation_1516!F882</f>
        <v>2.608980291313874E-2</v>
      </c>
    </row>
    <row r="883" spans="4:4">
      <c r="D883" s="26">
        <f>Estimation_1516!F883</f>
        <v>-3.107522699579356E-3</v>
      </c>
    </row>
    <row r="884" spans="4:4">
      <c r="D884" s="25">
        <f>Estimation_1516!F884</f>
        <v>-7.4976921058008128E-3</v>
      </c>
    </row>
    <row r="885" spans="4:4">
      <c r="D885" s="26">
        <f>Estimation_1516!F885</f>
        <v>1.8796998015774722E-3</v>
      </c>
    </row>
    <row r="886" spans="4:4">
      <c r="D886" s="25">
        <f>Estimation_1516!F886</f>
        <v>-2.3113265736257826E-2</v>
      </c>
    </row>
    <row r="887" spans="4:4">
      <c r="D887" s="26">
        <f>Estimation_1516!F887</f>
        <v>-9.009069942365968E-3</v>
      </c>
    </row>
    <row r="888" spans="4:4">
      <c r="D888" s="25">
        <f>Estimation_1516!F888</f>
        <v>-4.8598832085109287E-3</v>
      </c>
    </row>
    <row r="889" spans="4:4">
      <c r="D889" s="26">
        <f>Estimation_1516!F889</f>
        <v>3.2472804311980047E-4</v>
      </c>
    </row>
    <row r="890" spans="4:4">
      <c r="D890" s="25">
        <f>Estimation_1516!F890</f>
        <v>-1.570712920535788E-2</v>
      </c>
    </row>
    <row r="891" spans="4:4">
      <c r="D891" s="26">
        <f>Estimation_1516!F891</f>
        <v>7.2297390163153759E-3</v>
      </c>
    </row>
    <row r="892" spans="4:4">
      <c r="D892" s="25">
        <f>Estimation_1516!F892</f>
        <v>-1.750664033821064E-2</v>
      </c>
    </row>
    <row r="893" spans="4:4">
      <c r="D893" s="26">
        <f>Estimation_1516!F893</f>
        <v>2.6622311896781548E-3</v>
      </c>
    </row>
    <row r="894" spans="4:4">
      <c r="D894" s="25">
        <f>Estimation_1516!F894</f>
        <v>-1.9960086467149273E-3</v>
      </c>
    </row>
    <row r="895" spans="4:4">
      <c r="D895" s="26">
        <f>Estimation_1516!F895</f>
        <v>-4.3384015985981298E-3</v>
      </c>
    </row>
    <row r="896" spans="4:4">
      <c r="D896" s="25">
        <f>Estimation_1516!F896</f>
        <v>1.6255126532060883E-2</v>
      </c>
    </row>
    <row r="897" spans="4:4">
      <c r="D897" s="26">
        <f>Estimation_1516!F897</f>
        <v>-1.5586453822425283E-2</v>
      </c>
    </row>
    <row r="898" spans="4:4">
      <c r="D898" s="25">
        <f>Estimation_1516!F898</f>
        <v>-6.6867270963569822E-4</v>
      </c>
    </row>
    <row r="899" spans="4:4">
      <c r="D899" s="26">
        <f>Estimation_1516!F899</f>
        <v>4.0053458086750614E-3</v>
      </c>
    </row>
    <row r="900" spans="4:4">
      <c r="D900" s="25">
        <f>Estimation_1516!F900</f>
        <v>9.2838863100076583E-3</v>
      </c>
    </row>
    <row r="901" spans="4:4">
      <c r="D901" s="26">
        <f>Estimation_1516!F901</f>
        <v>-3.636968796575879E-3</v>
      </c>
    </row>
    <row r="902" spans="4:4">
      <c r="D902" s="25">
        <f>Estimation_1516!F902</f>
        <v>1.1199063028039044E-2</v>
      </c>
    </row>
    <row r="903" spans="4:4">
      <c r="D903" s="26">
        <f>Estimation_1516!F903</f>
        <v>-2.2954592797707397E-3</v>
      </c>
    </row>
    <row r="904" spans="4:4">
      <c r="D904" s="25">
        <f>Estimation_1516!F904</f>
        <v>-8.9036037482682663E-3</v>
      </c>
    </row>
    <row r="905" spans="4:4">
      <c r="D905" s="26">
        <f>Estimation_1516!F905</f>
        <v>1.9854407581029569E-3</v>
      </c>
    </row>
    <row r="906" spans="4:4">
      <c r="D906" s="25">
        <f>Estimation_1516!F906</f>
        <v>-3.3112613036559201E-3</v>
      </c>
    </row>
    <row r="907" spans="4:4">
      <c r="D907" s="26">
        <f>Estimation_1516!F907</f>
        <v>-4.9875415110391622E-3</v>
      </c>
    </row>
    <row r="908" spans="4:4">
      <c r="D908" s="25">
        <f>Estimation_1516!F908</f>
        <v>-7.3603544062924185E-3</v>
      </c>
    </row>
    <row r="909" spans="4:4">
      <c r="D909" s="26">
        <f>Estimation_1516!F909</f>
        <v>2.3478125827479735E-3</v>
      </c>
    </row>
    <row r="910" spans="4:4">
      <c r="D910" s="25">
        <f>Estimation_1516!F910</f>
        <v>-1.3409321486310528E-3</v>
      </c>
    </row>
    <row r="911" spans="4:4">
      <c r="D911" s="26">
        <f>Estimation_1516!F911</f>
        <v>-1.1810496655495795E-2</v>
      </c>
    </row>
    <row r="912" spans="4:4">
      <c r="D912" s="25">
        <f>Estimation_1516!F912</f>
        <v>-4.4225280451246326E-3</v>
      </c>
    </row>
    <row r="913" spans="4:4">
      <c r="D913" s="26">
        <f>Estimation_1516!F913</f>
        <v>2.8568570350343245E-2</v>
      </c>
    </row>
    <row r="914" spans="4:4">
      <c r="D914" s="25">
        <f>Estimation_1516!F914</f>
        <v>-5.982071677547429E-3</v>
      </c>
    </row>
    <row r="915" spans="4:4">
      <c r="D915" s="26">
        <f>Estimation_1516!F915</f>
        <v>-3.6734053663089248E-3</v>
      </c>
    </row>
    <row r="916" spans="4:4">
      <c r="D916" s="25">
        <f>Estimation_1516!F916</f>
        <v>9.3240768751232436E-3</v>
      </c>
    </row>
    <row r="917" spans="4:4">
      <c r="D917" s="26">
        <f>Estimation_1516!F917</f>
        <v>6.9364439966569484E-3</v>
      </c>
    </row>
    <row r="918" spans="4:4">
      <c r="D918" s="25">
        <f>Estimation_1516!F918</f>
        <v>1.2105497084900302E-2</v>
      </c>
    </row>
    <row r="919" spans="4:4">
      <c r="D919" s="26">
        <f>Estimation_1516!F919</f>
        <v>-1.1776387323825183E-2</v>
      </c>
    </row>
    <row r="920" spans="4:4">
      <c r="D920" s="25">
        <f>Estimation_1516!F920</f>
        <v>-6.9341535889989635E-3</v>
      </c>
    </row>
    <row r="921" spans="4:4">
      <c r="D921" s="26">
        <f>Estimation_1516!F921</f>
        <v>1.4147299617618424E-2</v>
      </c>
    </row>
    <row r="922" spans="4:4">
      <c r="D922" s="25">
        <f>Estimation_1516!F922</f>
        <v>-1.3153757558740542E-2</v>
      </c>
    </row>
    <row r="923" spans="4:4">
      <c r="D923" s="26">
        <f>Estimation_1516!F923</f>
        <v>2.3230228320640714E-2</v>
      </c>
    </row>
    <row r="924" spans="4:4">
      <c r="D924" s="25">
        <f>Estimation_1516!F924</f>
        <v>6.4662142569885898E-4</v>
      </c>
    </row>
    <row r="925" spans="4:4">
      <c r="D925" s="26">
        <f>Estimation_1516!F925</f>
        <v>-4.8598832085109287E-3</v>
      </c>
    </row>
    <row r="926" spans="4:4">
      <c r="D926" s="25">
        <f>Estimation_1516!F926</f>
        <v>-2.2997071294455235E-2</v>
      </c>
    </row>
    <row r="927" spans="4:4">
      <c r="D927" s="26">
        <f>Estimation_1516!F927</f>
        <v>-1.7432556777568067E-2</v>
      </c>
    </row>
    <row r="928" spans="4:4">
      <c r="D928" s="25">
        <f>Estimation_1516!F928</f>
        <v>-3.7269228299015569E-3</v>
      </c>
    </row>
    <row r="929" spans="4:4">
      <c r="D929" s="26">
        <f>Estimation_1516!F929</f>
        <v>-1.2638938527374055E-2</v>
      </c>
    </row>
    <row r="930" spans="4:4">
      <c r="D930" s="25">
        <f>Estimation_1516!F930</f>
        <v>5.4851011707553032E-3</v>
      </c>
    </row>
    <row r="931" spans="4:4">
      <c r="D931" s="26">
        <f>Estimation_1516!F931</f>
        <v>-9.61876189660648E-3</v>
      </c>
    </row>
    <row r="932" spans="4:4">
      <c r="D932" s="25">
        <f>Estimation_1516!F932</f>
        <v>1.1326704241762709E-2</v>
      </c>
    </row>
    <row r="933" spans="4:4">
      <c r="D933" s="26">
        <f>Estimation_1516!F933</f>
        <v>3.4123869977942467E-4</v>
      </c>
    </row>
    <row r="934" spans="4:4">
      <c r="D934" s="25">
        <f>Estimation_1516!F934</f>
        <v>7.8165223804328096E-3</v>
      </c>
    </row>
    <row r="935" spans="4:4">
      <c r="D935" s="26">
        <f>Estimation_1516!F935</f>
        <v>-3.3909832425583681E-3</v>
      </c>
    </row>
    <row r="936" spans="4:4">
      <c r="D936" s="25">
        <f>Estimation_1516!F936</f>
        <v>3.7294499914317255E-3</v>
      </c>
    </row>
    <row r="937" spans="4:4">
      <c r="D937" s="26">
        <f>Estimation_1516!F937</f>
        <v>6.4091971799019537E-3</v>
      </c>
    </row>
    <row r="938" spans="4:4">
      <c r="D938" s="25">
        <f>Estimation_1516!F938</f>
        <v>-3.030815588274712E-3</v>
      </c>
    </row>
    <row r="939" spans="4:4">
      <c r="D939" s="26">
        <f>Estimation_1516!F939</f>
        <v>-1.3240729851756155E-2</v>
      </c>
    </row>
    <row r="940" spans="4:4">
      <c r="D940" s="25">
        <f>Estimation_1516!F940</f>
        <v>-1.030582807446272E-2</v>
      </c>
    </row>
    <row r="941" spans="4:4">
      <c r="D941" s="26">
        <f>Estimation_1516!F941</f>
        <v>-7.2778002741560885E-3</v>
      </c>
    </row>
    <row r="942" spans="4:4">
      <c r="D942" s="25">
        <f>Estimation_1516!F942</f>
        <v>4.5115467812661047E-3</v>
      </c>
    </row>
    <row r="943" spans="4:4">
      <c r="D943" s="26">
        <f>Estimation_1516!F943</f>
        <v>1.7298049634182026E-3</v>
      </c>
    </row>
    <row r="944" spans="4:4">
      <c r="D944" s="25">
        <f>Estimation_1516!F944</f>
        <v>7.9187881524137096E-3</v>
      </c>
    </row>
    <row r="945" spans="4:4">
      <c r="D945" s="26">
        <f>Estimation_1516!F945</f>
        <v>-4.8126596844155706E-3</v>
      </c>
    </row>
    <row r="946" spans="4:4">
      <c r="D946" s="25">
        <f>Estimation_1516!F946</f>
        <v>-1.2482825056016059E-2</v>
      </c>
    </row>
    <row r="947" spans="4:4">
      <c r="D947" s="26">
        <f>Estimation_1516!F947</f>
        <v>8.6851336282288659E-3</v>
      </c>
    </row>
    <row r="948" spans="4:4">
      <c r="D948" s="25">
        <f>Estimation_1516!F948</f>
        <v>2.0732557530042015E-3</v>
      </c>
    </row>
    <row r="949" spans="4:4">
      <c r="D949" s="26">
        <f>Estimation_1516!F949</f>
        <v>-3.1114977566334919E-3</v>
      </c>
    </row>
    <row r="950" spans="4:4">
      <c r="D950" s="25">
        <f>Estimation_1516!F950</f>
        <v>3.0351861003059546E-2</v>
      </c>
    </row>
    <row r="951" spans="4:4">
      <c r="D951" s="26">
        <f>Estimation_1516!F951</f>
        <v>-1.7621601349819559E-2</v>
      </c>
    </row>
    <row r="952" spans="4:4">
      <c r="D952" s="25">
        <f>Estimation_1516!F952</f>
        <v>5.4551788880382278E-3</v>
      </c>
    </row>
    <row r="953" spans="4:4">
      <c r="D953" s="26">
        <f>Estimation_1516!F953</f>
        <v>1.5519879662114822E-2</v>
      </c>
    </row>
    <row r="954" spans="4:4">
      <c r="D954" s="25">
        <f>Estimation_1516!F954</f>
        <v>9.6619109117368901E-3</v>
      </c>
    </row>
    <row r="955" spans="4:4">
      <c r="D955" s="26">
        <f>Estimation_1516!F955</f>
        <v>1.9874137048381956E-3</v>
      </c>
    </row>
    <row r="956" spans="4:4">
      <c r="D956" s="25">
        <f>Estimation_1516!F956</f>
        <v>1.1515179058149612E-2</v>
      </c>
    </row>
    <row r="957" spans="4:4">
      <c r="D957" s="26">
        <f>Estimation_1516!F957</f>
        <v>-7.8818142022533677E-3</v>
      </c>
    </row>
    <row r="958" spans="4:4">
      <c r="D958" s="25">
        <f>Estimation_1516!F958</f>
        <v>9.88630826939435E-4</v>
      </c>
    </row>
    <row r="959" spans="4:4">
      <c r="D959" s="26">
        <f>Estimation_1516!F959</f>
        <v>-4.9529571288486427E-3</v>
      </c>
    </row>
    <row r="960" spans="4:4">
      <c r="D960" s="25">
        <f>Estimation_1516!F960</f>
        <v>-2.3198022002312805E-3</v>
      </c>
    </row>
    <row r="961" spans="4:4">
      <c r="D961" s="26">
        <f>Estimation_1516!F961</f>
        <v>-3.0999786875795812E-2</v>
      </c>
    </row>
    <row r="962" spans="4:4">
      <c r="D962" s="25">
        <f>Estimation_1516!F962</f>
        <v>-2.0747632194248543E-2</v>
      </c>
    </row>
    <row r="963" spans="4:4">
      <c r="D963" s="26">
        <f>Estimation_1516!F963</f>
        <v>-5.9576135559648961E-3</v>
      </c>
    </row>
    <row r="964" spans="4:4">
      <c r="D964" s="25">
        <f>Estimation_1516!F964</f>
        <v>6.3069585376836212E-3</v>
      </c>
    </row>
    <row r="965" spans="4:4">
      <c r="D965" s="26">
        <f>Estimation_1516!F965</f>
        <v>1.937106575599979E-2</v>
      </c>
    </row>
    <row r="966" spans="4:4">
      <c r="D966" s="25">
        <f>Estimation_1516!F966</f>
        <v>-9.9845897476368312E-3</v>
      </c>
    </row>
    <row r="967" spans="4:4">
      <c r="D967" s="26">
        <f>Estimation_1516!F967</f>
        <v>-1.1834457647002909E-2</v>
      </c>
    </row>
    <row r="968" spans="4:4">
      <c r="D968" s="25">
        <f>Estimation_1516!F968</f>
        <v>-4.9140148024289293E-3</v>
      </c>
    </row>
    <row r="969" spans="4:4">
      <c r="D969" s="26">
        <f>Estimation_1516!F969</f>
        <v>-9.5457680832552669E-3</v>
      </c>
    </row>
    <row r="970" spans="4:4">
      <c r="D970" s="25">
        <f>Estimation_1516!F970</f>
        <v>-4.7281533630825656E-2</v>
      </c>
    </row>
    <row r="971" spans="4:4">
      <c r="D971" s="26">
        <f>Estimation_1516!F971</f>
        <v>0</v>
      </c>
    </row>
    <row r="972" spans="4:4">
      <c r="D972" s="25">
        <f>Estimation_1516!F972</f>
        <v>0</v>
      </c>
    </row>
    <row r="973" spans="4:4">
      <c r="D973" s="26">
        <f>Estimation_1516!F973</f>
        <v>2.9750858686338434E-3</v>
      </c>
    </row>
    <row r="974" spans="4:4">
      <c r="D974" s="25">
        <f>Estimation_1516!F974</f>
        <v>2.2255202064056841E-3</v>
      </c>
    </row>
    <row r="975" spans="4:4">
      <c r="D975" s="26">
        <f>Estimation_1516!F975</f>
        <v>-2.1345127935733961E-2</v>
      </c>
    </row>
    <row r="976" spans="4:4">
      <c r="D976" s="25">
        <f>Estimation_1516!F976</f>
        <v>-1.6794287851725813E-2</v>
      </c>
    </row>
    <row r="977" spans="4:4">
      <c r="D977" s="26">
        <f>Estimation_1516!F977</f>
        <v>-7.340191349199947E-3</v>
      </c>
    </row>
    <row r="978" spans="4:4">
      <c r="D978" s="25">
        <f>Estimation_1516!F978</f>
        <v>-2.7517459514922626E-2</v>
      </c>
    </row>
    <row r="979" spans="4:4">
      <c r="D979" s="26">
        <f>Estimation_1516!F979</f>
        <v>-1.5666116744399237E-2</v>
      </c>
    </row>
    <row r="980" spans="4:4">
      <c r="D980" s="25">
        <f>Estimation_1516!F980</f>
        <v>2.8733022127376402E-2</v>
      </c>
    </row>
    <row r="981" spans="4:4">
      <c r="D981" s="26">
        <f>Estimation_1516!F981</f>
        <v>-1.5860760722542919E-2</v>
      </c>
    </row>
    <row r="982" spans="4:4">
      <c r="D982" s="25">
        <f>Estimation_1516!F982</f>
        <v>1.0733555643108851E-2</v>
      </c>
    </row>
    <row r="983" spans="4:4">
      <c r="D983" s="26">
        <f>Estimation_1516!F983</f>
        <v>-3.1683194820452758E-3</v>
      </c>
    </row>
    <row r="984" spans="4:4">
      <c r="D984" s="25">
        <f>Estimation_1516!F984</f>
        <v>2.4295865907920773E-2</v>
      </c>
    </row>
    <row r="985" spans="4:4">
      <c r="D985" s="26">
        <f>Estimation_1516!F985</f>
        <v>7.7399384668885949E-4</v>
      </c>
    </row>
    <row r="986" spans="4:4">
      <c r="D986" s="25">
        <f>Estimation_1516!F986</f>
        <v>2.1053409197832482E-2</v>
      </c>
    </row>
    <row r="987" spans="4:4">
      <c r="D987" s="26">
        <f>Estimation_1516!F987</f>
        <v>-1.1428695823622857E-2</v>
      </c>
    </row>
    <row r="988" spans="4:4">
      <c r="D988" s="25">
        <f>Estimation_1516!F988</f>
        <v>-4.9932886539906475E-3</v>
      </c>
    </row>
    <row r="989" spans="4:4">
      <c r="D989" s="26">
        <f>Estimation_1516!F989</f>
        <v>1.7179273419522155E-2</v>
      </c>
    </row>
    <row r="990" spans="4:4">
      <c r="D990" s="25">
        <f>Estimation_1516!F990</f>
        <v>1.6144521860694566E-2</v>
      </c>
    </row>
    <row r="991" spans="4:4">
      <c r="D991" s="26">
        <f>Estimation_1516!F991</f>
        <v>-1.6523094645832827E-2</v>
      </c>
    </row>
    <row r="992" spans="4:4">
      <c r="D992" s="25">
        <f>Estimation_1516!F992</f>
        <v>-3.7026983312509178E-2</v>
      </c>
    </row>
    <row r="993" spans="4:4">
      <c r="D993" s="26">
        <f>Estimation_1516!F993</f>
        <v>6.6575534720564444E-3</v>
      </c>
    </row>
    <row r="994" spans="4:4">
      <c r="D994" s="25">
        <f>Estimation_1516!F994</f>
        <v>-1.0200166899562912E-2</v>
      </c>
    </row>
    <row r="995" spans="4:4">
      <c r="D995" s="26">
        <f>Estimation_1516!F995</f>
        <v>-2.0717872503747143E-2</v>
      </c>
    </row>
    <row r="996" spans="4:4">
      <c r="D996" s="25">
        <f>Estimation_1516!F996</f>
        <v>-9.5055827473364135E-3</v>
      </c>
    </row>
    <row r="997" spans="4:4">
      <c r="D997" s="26">
        <f>Estimation_1516!F997</f>
        <v>6.0944643836593018E-4</v>
      </c>
    </row>
    <row r="998" spans="4:4">
      <c r="D998" s="25">
        <f>Estimation_1516!F998</f>
        <v>-3.0308473914382374E-2</v>
      </c>
    </row>
    <row r="999" spans="4:4">
      <c r="D999" s="26">
        <f>Estimation_1516!F999</f>
        <v>1.5165970541566903E-2</v>
      </c>
    </row>
    <row r="1000" spans="4:4">
      <c r="D1000" s="25">
        <f>Estimation_1516!F1000</f>
        <v>-1.0987982429464941E-2</v>
      </c>
    </row>
    <row r="1001" spans="4:4">
      <c r="D1001" s="26">
        <f>Estimation_1516!F1001</f>
        <v>1.0575526247086388E-2</v>
      </c>
    </row>
    <row r="1002" spans="4:4">
      <c r="D1002" s="25">
        <f>Estimation_1516!F1002</f>
        <v>2.8669240111887068E-2</v>
      </c>
    </row>
    <row r="1003" spans="4:4">
      <c r="D1003" s="26">
        <f>Estimation_1516!F1003</f>
        <v>-4.0096231491477984E-4</v>
      </c>
    </row>
    <row r="1004" spans="4:4">
      <c r="D1004" s="25">
        <f>Estimation_1516!F1004</f>
        <v>-2.0869970315527248E-2</v>
      </c>
    </row>
    <row r="1005" spans="4:4">
      <c r="D1005" s="26">
        <f>Estimation_1516!F1005</f>
        <v>1.2412408826217114E-2</v>
      </c>
    </row>
    <row r="1006" spans="4:4">
      <c r="D1006" s="25">
        <f>Estimation_1516!F1006</f>
        <v>-1.3231745209619705E-2</v>
      </c>
    </row>
    <row r="1007" spans="4:4">
      <c r="D1007" s="26">
        <f>Estimation_1516!F1007</f>
        <v>2.5491973144526784E-2</v>
      </c>
    </row>
    <row r="1008" spans="4:4">
      <c r="D1008" s="25">
        <f>Estimation_1516!F1008</f>
        <v>-2.5287076104572023E-2</v>
      </c>
    </row>
    <row r="1009" spans="4:4">
      <c r="D1009" s="26">
        <f>Estimation_1516!F1009</f>
        <v>-2.2165588988372075E-2</v>
      </c>
    </row>
    <row r="1010" spans="4:4">
      <c r="D1010" s="25">
        <f>Estimation_1516!F1010</f>
        <v>-5.5557881629222733E-2</v>
      </c>
    </row>
    <row r="1011" spans="4:4">
      <c r="D1011" s="26">
        <f>Estimation_1516!F1011</f>
        <v>7.5005866754434183E-3</v>
      </c>
    </row>
    <row r="1012" spans="4:4">
      <c r="D1012" s="25">
        <f>Estimation_1516!F1012</f>
        <v>-2.4472856518725574E-2</v>
      </c>
    </row>
    <row r="1013" spans="4:4">
      <c r="D1013" s="26">
        <f>Estimation_1516!F1013</f>
        <v>1.9405092009688117E-2</v>
      </c>
    </row>
    <row r="1014" spans="4:4">
      <c r="D1014" s="25">
        <f>Estimation_1516!F1014</f>
        <v>2.5947165894395718E-2</v>
      </c>
    </row>
    <row r="1015" spans="4:4">
      <c r="D1015" s="26">
        <f>Estimation_1516!F1015</f>
        <v>-3.4497662500747347E-3</v>
      </c>
    </row>
    <row r="1016" spans="4:4">
      <c r="D1016" s="25">
        <f>Estimation_1516!F1016</f>
        <v>-1.808919325526925E-2</v>
      </c>
    </row>
    <row r="1017" spans="4:4">
      <c r="D1017" s="26">
        <f>Estimation_1516!F1017</f>
        <v>-2.5391119079956954E-2</v>
      </c>
    </row>
    <row r="1018" spans="4:4">
      <c r="D1018" s="25">
        <f>Estimation_1516!F1018</f>
        <v>4.5014705766490345E-3</v>
      </c>
    </row>
    <row r="1019" spans="4:4">
      <c r="D1019" s="26">
        <f>Estimation_1516!F1019</f>
        <v>-6.5422211124757157E-2</v>
      </c>
    </row>
    <row r="1020" spans="4:4">
      <c r="D1020" s="25">
        <f>Estimation_1516!F1020</f>
        <v>-2.9192050994254676E-2</v>
      </c>
    </row>
    <row r="1021" spans="4:4">
      <c r="D1021" s="26">
        <f>Estimation_1516!F1021</f>
        <v>-1.4822137100986032E-3</v>
      </c>
    </row>
    <row r="1022" spans="4:4">
      <c r="D1022" s="25">
        <f>Estimation_1516!F1022</f>
        <v>-8.6903091919771965E-3</v>
      </c>
    </row>
    <row r="1023" spans="4:4">
      <c r="D1023" s="26">
        <f>Estimation_1516!F1023</f>
        <v>-1.8118261101543878E-2</v>
      </c>
    </row>
    <row r="1024" spans="4:4">
      <c r="D1024" s="25">
        <f>Estimation_1516!F1024</f>
        <v>3.7382872684469409E-2</v>
      </c>
    </row>
    <row r="1025" spans="4:4">
      <c r="D1025" s="26">
        <f>Estimation_1516!F1025</f>
        <v>7.5545625525403849E-3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1EAB-2ACA-4E3E-B4E7-930847CB2C07}">
  <dimension ref="B1:S1024"/>
  <sheetViews>
    <sheetView workbookViewId="0">
      <selection activeCell="S18" sqref="S18"/>
    </sheetView>
  </sheetViews>
  <sheetFormatPr baseColWidth="10" defaultColWidth="8.88671875" defaultRowHeight="14.4"/>
  <cols>
    <col min="1" max="3" width="8.88671875" style="5"/>
    <col min="4" max="4" width="14" style="5" bestFit="1" customWidth="1"/>
    <col min="5" max="5" width="15" style="5" bestFit="1" customWidth="1"/>
    <col min="6" max="16384" width="8.88671875" style="5"/>
  </cols>
  <sheetData>
    <row r="1" spans="2:19" ht="15" thickBot="1">
      <c r="B1" s="24" t="s">
        <v>2</v>
      </c>
      <c r="D1" s="24" t="s">
        <v>18</v>
      </c>
      <c r="F1" s="24" t="s">
        <v>19</v>
      </c>
      <c r="G1" s="24" t="s">
        <v>20</v>
      </c>
      <c r="I1" s="24" t="s">
        <v>21</v>
      </c>
      <c r="K1" s="33" t="s">
        <v>22</v>
      </c>
      <c r="R1" s="33" t="s">
        <v>21</v>
      </c>
    </row>
    <row r="2" spans="2:19">
      <c r="B2" s="26"/>
      <c r="D2" s="26"/>
      <c r="F2" s="28"/>
      <c r="G2" s="30"/>
      <c r="I2" s="26"/>
      <c r="K2" s="34" t="s">
        <v>23</v>
      </c>
      <c r="L2" s="35">
        <f>521-3+1</f>
        <v>519</v>
      </c>
      <c r="R2" s="34" t="s">
        <v>25</v>
      </c>
      <c r="S2" s="35">
        <v>503</v>
      </c>
    </row>
    <row r="3" spans="2:19">
      <c r="B3" s="25">
        <f>Estimation_1516!F4</f>
        <v>-3.5676033381843497E-2</v>
      </c>
      <c r="D3" s="25" cm="1">
        <f t="array" ref="D3:D1024">_xlfn._xlws.SORT(B3:B1024)</f>
        <v>-0.18792760279247789</v>
      </c>
      <c r="F3" s="27" cm="1">
        <f t="array" ref="F3:F521">_xlfn._xlws.SORT(D3:D521,,-1)</f>
        <v>-1.3797861353391047E-4</v>
      </c>
      <c r="G3" s="29">
        <f>-1*F3</f>
        <v>1.3797861353391047E-4</v>
      </c>
      <c r="I3" s="25" cm="1">
        <f t="array" ref="I3:I505">D522:D1024</f>
        <v>0</v>
      </c>
      <c r="K3" s="27" t="s">
        <v>24</v>
      </c>
      <c r="L3" s="29">
        <f>ROUND(SQRT(L2),0)</f>
        <v>23</v>
      </c>
      <c r="R3" s="27" t="s">
        <v>24</v>
      </c>
      <c r="S3" s="29">
        <f>ROUND(SQRT(S2),0)</f>
        <v>22</v>
      </c>
    </row>
    <row r="4" spans="2:19">
      <c r="B4" s="26">
        <f>Estimation_1516!F5</f>
        <v>-1.7669947323449411E-2</v>
      </c>
      <c r="D4" s="26">
        <v>-7.1585637658257734E-2</v>
      </c>
      <c r="F4" s="28">
        <v>-1.8589088258759179E-4</v>
      </c>
      <c r="G4" s="30">
        <f t="shared" ref="G4:G67" si="0">-1*F4</f>
        <v>1.8589088258759179E-4</v>
      </c>
      <c r="I4" s="26">
        <v>0</v>
      </c>
      <c r="K4" s="28" t="s">
        <v>26</v>
      </c>
      <c r="L4" s="30">
        <f>L2-L3+1</f>
        <v>497</v>
      </c>
      <c r="R4" s="28" t="s">
        <v>26</v>
      </c>
      <c r="S4" s="30">
        <f>S2-S3+1</f>
        <v>482</v>
      </c>
    </row>
    <row r="5" spans="2:19">
      <c r="B5" s="25">
        <f>Estimation_1516!F6</f>
        <v>-1.9900211340515186E-2</v>
      </c>
      <c r="D5" s="25">
        <v>-6.5422211124757157E-2</v>
      </c>
      <c r="F5" s="27">
        <v>-2.311337118807871E-4</v>
      </c>
      <c r="G5" s="29">
        <f t="shared" si="0"/>
        <v>2.311337118807871E-4</v>
      </c>
      <c r="I5" s="25">
        <v>0</v>
      </c>
      <c r="K5" s="27" t="s">
        <v>27</v>
      </c>
      <c r="L5" s="29">
        <f>L2-2*L3+1</f>
        <v>474</v>
      </c>
      <c r="R5" s="27" t="s">
        <v>27</v>
      </c>
      <c r="S5" s="29">
        <f>S2-2*S3+1</f>
        <v>460</v>
      </c>
    </row>
    <row r="6" spans="2:19">
      <c r="B6" s="26">
        <f>Estimation_1516!F7</f>
        <v>4.2902523969794507E-2</v>
      </c>
      <c r="D6" s="26">
        <v>-6.341681602837107E-2</v>
      </c>
      <c r="F6" s="28">
        <v>-2.8085943170155043E-4</v>
      </c>
      <c r="G6" s="30">
        <f t="shared" si="0"/>
        <v>2.8085943170155043E-4</v>
      </c>
      <c r="I6" s="26">
        <v>0</v>
      </c>
      <c r="K6" s="28" t="s">
        <v>28</v>
      </c>
      <c r="L6" s="30">
        <f>L2-4*L3+1</f>
        <v>428</v>
      </c>
      <c r="R6" s="28" t="s">
        <v>28</v>
      </c>
      <c r="S6" s="30">
        <f>S2-4*S3+1</f>
        <v>416</v>
      </c>
    </row>
    <row r="7" spans="2:19">
      <c r="B7" s="25">
        <f>Estimation_1516!F8</f>
        <v>-2.0940262971821135E-2</v>
      </c>
      <c r="D7" s="25">
        <v>-6.258234255642485E-2</v>
      </c>
      <c r="F7" s="27">
        <v>-3.0367446331144496E-4</v>
      </c>
      <c r="G7" s="29">
        <f t="shared" si="0"/>
        <v>3.0367446331144496E-4</v>
      </c>
      <c r="I7" s="25">
        <v>0</v>
      </c>
      <c r="K7" s="27" t="s">
        <v>29</v>
      </c>
      <c r="L7" s="29">
        <f>G499</f>
        <v>4.5827033384819978E-2</v>
      </c>
      <c r="R7" s="27" t="s">
        <v>29</v>
      </c>
      <c r="S7" s="29">
        <f>I484</f>
        <v>4.2387034266653877E-2</v>
      </c>
    </row>
    <row r="8" spans="2:19">
      <c r="B8" s="26">
        <f>Estimation_1516!F9</f>
        <v>-1.4334458949087362E-2</v>
      </c>
      <c r="D8" s="26">
        <v>-6.0400933190068631E-2</v>
      </c>
      <c r="F8" s="28">
        <v>-3.1245118204510094E-4</v>
      </c>
      <c r="G8" s="30">
        <f t="shared" si="0"/>
        <v>3.1245118204510094E-4</v>
      </c>
      <c r="I8" s="26">
        <v>1.6941973780451884E-4</v>
      </c>
      <c r="K8" s="28" t="s">
        <v>30</v>
      </c>
      <c r="L8" s="30">
        <f>G476</f>
        <v>3.3211852793382152E-2</v>
      </c>
      <c r="R8" s="28" t="s">
        <v>30</v>
      </c>
      <c r="S8" s="30">
        <f>I462</f>
        <v>3.219050657039272E-2</v>
      </c>
    </row>
    <row r="9" spans="2:19" ht="15" thickBot="1">
      <c r="B9" s="25">
        <f>Estimation_1516!F10</f>
        <v>2.5507759547212665E-2</v>
      </c>
      <c r="D9" s="25">
        <v>-5.8733804904133824E-2</v>
      </c>
      <c r="F9" s="27">
        <v>-4.0096231491477984E-4</v>
      </c>
      <c r="G9" s="29">
        <f t="shared" si="0"/>
        <v>4.0096231491477984E-4</v>
      </c>
      <c r="I9" s="25">
        <v>1.7644464095180527E-4</v>
      </c>
      <c r="K9" s="31" t="s">
        <v>31</v>
      </c>
      <c r="L9" s="32">
        <f>G430</f>
        <v>2.3695029727454468E-2</v>
      </c>
      <c r="R9" s="31" t="s">
        <v>31</v>
      </c>
      <c r="S9" s="32">
        <f>I418</f>
        <v>2.5947165894395718E-2</v>
      </c>
    </row>
    <row r="10" spans="2:19" ht="15" thickBot="1">
      <c r="B10" s="26">
        <f>Estimation_1516!F11</f>
        <v>-1.6618812129966656E-2</v>
      </c>
      <c r="D10" s="26">
        <v>-5.7141486348856373E-2</v>
      </c>
      <c r="F10" s="28">
        <v>-4.3554007657129883E-4</v>
      </c>
      <c r="G10" s="30">
        <f t="shared" si="0"/>
        <v>4.3554007657129883E-4</v>
      </c>
      <c r="I10" s="26">
        <v>1.7954933166123351E-4</v>
      </c>
    </row>
    <row r="11" spans="2:19" ht="15" thickBot="1">
      <c r="B11" s="25">
        <f>Estimation_1516!F12</f>
        <v>2.0315674011292705E-2</v>
      </c>
      <c r="D11" s="25">
        <v>-5.6223125716668571E-2</v>
      </c>
      <c r="F11" s="27">
        <v>-5.7587102080948211E-4</v>
      </c>
      <c r="G11" s="29">
        <f t="shared" si="0"/>
        <v>5.7587102080948211E-4</v>
      </c>
      <c r="I11" s="25">
        <v>1.8390804649532914E-4</v>
      </c>
      <c r="K11" s="43" t="s">
        <v>32</v>
      </c>
      <c r="L11" s="44">
        <f>(1/LN(2))*LN((L7-L8)/(L8-L9))</f>
        <v>0.40660890494759627</v>
      </c>
      <c r="R11" s="43" t="s">
        <v>32</v>
      </c>
      <c r="S11" s="44">
        <f>(1/LN(2))*LN((S7-S8)/(S8-S9))</f>
        <v>0.70768784796067241</v>
      </c>
    </row>
    <row r="12" spans="2:19">
      <c r="B12" s="26">
        <f>Estimation_1516!F13</f>
        <v>1.3196672454169816E-2</v>
      </c>
      <c r="D12" s="26">
        <v>-5.6164828860699331E-2</v>
      </c>
      <c r="F12" s="28">
        <v>-5.9934074314309607E-4</v>
      </c>
      <c r="G12" s="30">
        <f t="shared" si="0"/>
        <v>5.9934074314309607E-4</v>
      </c>
      <c r="I12" s="26">
        <v>3.2472804311980047E-4</v>
      </c>
    </row>
    <row r="13" spans="2:19" ht="15" thickBot="1">
      <c r="B13" s="25">
        <f>Estimation_1516!F14</f>
        <v>2.5704659586014915E-2</v>
      </c>
      <c r="D13" s="25">
        <v>-5.5557881629222733E-2</v>
      </c>
      <c r="F13" s="27">
        <v>-6.018658020985623E-4</v>
      </c>
      <c r="G13" s="29">
        <f t="shared" si="0"/>
        <v>6.018658020985623E-4</v>
      </c>
      <c r="I13" s="25">
        <v>3.4123869977942467E-4</v>
      </c>
    </row>
    <row r="14" spans="2:19">
      <c r="B14" s="26">
        <f>Estimation_1516!F15</f>
        <v>1.6543847934701077E-2</v>
      </c>
      <c r="D14" s="26">
        <v>-5.4303294151791796E-2</v>
      </c>
      <c r="F14" s="28">
        <v>-6.6566818900064219E-4</v>
      </c>
      <c r="G14" s="30">
        <f t="shared" si="0"/>
        <v>6.6566818900064219E-4</v>
      </c>
      <c r="I14" s="26">
        <v>4.2096401379389297E-4</v>
      </c>
      <c r="K14" s="39" t="s">
        <v>34</v>
      </c>
      <c r="L14" s="40">
        <v>0.9</v>
      </c>
      <c r="M14" s="41">
        <v>0.95</v>
      </c>
      <c r="N14" s="40">
        <v>0.99</v>
      </c>
      <c r="O14" s="42">
        <v>0.995</v>
      </c>
    </row>
    <row r="15" spans="2:19" ht="15" thickBot="1">
      <c r="B15" s="25">
        <f>Estimation_1516!F16</f>
        <v>6.0906827108348979E-3</v>
      </c>
      <c r="D15" s="25">
        <v>-5.4246102547249465E-2</v>
      </c>
      <c r="F15" s="27">
        <v>-6.6867270963569822E-4</v>
      </c>
      <c r="G15" s="29">
        <f t="shared" si="0"/>
        <v>6.6867270963569822E-4</v>
      </c>
      <c r="I15" s="25">
        <v>4.4626255854036105E-4</v>
      </c>
      <c r="K15" s="36" t="s">
        <v>33</v>
      </c>
      <c r="L15" s="37">
        <f>$L$7+($L$7-$L$8)*(($L$3/($L$2*(1-L$14)))^($L$11)-1)/(1-2^(-$L$11))</f>
        <v>3.1356420023844624E-2</v>
      </c>
      <c r="M15" s="38">
        <f t="shared" ref="M15:O15" si="1">$L$7+($L$7-$L$8)*(($L$3/($L$2*(1-M$14)))^($L$11)-1)/(1-2^(-$L$11))</f>
        <v>4.3367534106453796E-2</v>
      </c>
      <c r="N15" s="37">
        <f t="shared" si="1"/>
        <v>8.8555430007874525E-2</v>
      </c>
      <c r="O15" s="32">
        <f t="shared" si="1"/>
        <v>0.1191886180544566</v>
      </c>
    </row>
    <row r="16" spans="2:19">
      <c r="B16" s="26">
        <f>Estimation_1516!F17</f>
        <v>3.2095619393514956E-2</v>
      </c>
      <c r="D16" s="26">
        <v>-5.2619428900360712E-2</v>
      </c>
      <c r="F16" s="28">
        <v>-7.0636437209816805E-4</v>
      </c>
      <c r="G16" s="30">
        <f t="shared" si="0"/>
        <v>7.0636437209816805E-4</v>
      </c>
      <c r="I16" s="26">
        <v>4.8563335636756536E-4</v>
      </c>
    </row>
    <row r="17" spans="2:9">
      <c r="B17" s="25">
        <f>Estimation_1516!F18</f>
        <v>-8.4360210100430932E-3</v>
      </c>
      <c r="D17" s="25">
        <v>-5.1416947088489234E-2</v>
      </c>
      <c r="F17" s="27">
        <v>-7.1047960359856292E-4</v>
      </c>
      <c r="G17" s="29">
        <f t="shared" si="0"/>
        <v>7.1047960359856292E-4</v>
      </c>
      <c r="I17" s="25">
        <v>5.6242971111392559E-4</v>
      </c>
    </row>
    <row r="18" spans="2:9">
      <c r="B18" s="26">
        <f>Estimation_1516!F19</f>
        <v>1.6941973780451884E-4</v>
      </c>
      <c r="D18" s="26">
        <v>-5.0390746540967146E-2</v>
      </c>
      <c r="F18" s="28">
        <v>-7.7742365728489791E-4</v>
      </c>
      <c r="G18" s="30">
        <f t="shared" si="0"/>
        <v>7.7742365728489791E-4</v>
      </c>
      <c r="I18" s="26">
        <v>5.6609115579091805E-4</v>
      </c>
    </row>
    <row r="19" spans="2:9">
      <c r="B19" s="25">
        <f>Estimation_1516!F20</f>
        <v>-2.0884018158213266E-2</v>
      </c>
      <c r="D19" s="25">
        <v>-4.9459801302652678E-2</v>
      </c>
      <c r="F19" s="27">
        <v>-8.5677571998178962E-4</v>
      </c>
      <c r="G19" s="29">
        <f t="shared" si="0"/>
        <v>8.5677571998178962E-4</v>
      </c>
      <c r="I19" s="25">
        <v>6.0944643836593018E-4</v>
      </c>
    </row>
    <row r="20" spans="2:9">
      <c r="B20" s="26">
        <f>Estimation_1516!F21</f>
        <v>-1.0258283472420401E-2</v>
      </c>
      <c r="D20" s="26">
        <v>-4.9018709479534392E-2</v>
      </c>
      <c r="F20" s="28">
        <v>-8.8809952551221788E-4</v>
      </c>
      <c r="G20" s="30">
        <f t="shared" si="0"/>
        <v>8.8809952551221788E-4</v>
      </c>
      <c r="I20" s="26">
        <v>6.3552591907076151E-4</v>
      </c>
    </row>
    <row r="21" spans="2:9">
      <c r="B21" s="25">
        <f>Estimation_1516!F22</f>
        <v>2.9665844983069252E-3</v>
      </c>
      <c r="D21" s="25">
        <v>-4.7281533630825656E-2</v>
      </c>
      <c r="F21" s="27">
        <v>-9.0950438284049986E-4</v>
      </c>
      <c r="G21" s="29">
        <f t="shared" si="0"/>
        <v>9.0950438284049986E-4</v>
      </c>
      <c r="I21" s="25">
        <v>6.4662142569885898E-4</v>
      </c>
    </row>
    <row r="22" spans="2:9">
      <c r="B22" s="26">
        <f>Estimation_1516!F23</f>
        <v>-1.5275514303944419E-2</v>
      </c>
      <c r="D22" s="26">
        <v>-4.6552025365853865E-2</v>
      </c>
      <c r="F22" s="28">
        <v>-9.2506944617271828E-4</v>
      </c>
      <c r="G22" s="30">
        <f t="shared" si="0"/>
        <v>9.2506944617271828E-4</v>
      </c>
      <c r="I22" s="26">
        <v>6.5323899982156223E-4</v>
      </c>
    </row>
    <row r="23" spans="2:9">
      <c r="B23" s="25">
        <f>Estimation_1516!F24</f>
        <v>4.0610985451852355E-3</v>
      </c>
      <c r="D23" s="25">
        <v>-4.6419816907332823E-2</v>
      </c>
      <c r="F23" s="27">
        <v>-1.2022844850704101E-3</v>
      </c>
      <c r="G23" s="29">
        <f t="shared" si="0"/>
        <v>1.2022844850704101E-3</v>
      </c>
      <c r="I23" s="25">
        <v>7.0658897128118598E-4</v>
      </c>
    </row>
    <row r="24" spans="2:9">
      <c r="B24" s="26">
        <f>Estimation_1516!F25</f>
        <v>2.968710332158794E-2</v>
      </c>
      <c r="D24" s="26">
        <v>-4.602941256067037E-2</v>
      </c>
      <c r="F24" s="28">
        <v>-1.271455988196721E-3</v>
      </c>
      <c r="G24" s="30">
        <f t="shared" si="0"/>
        <v>1.271455988196721E-3</v>
      </c>
      <c r="I24" s="26">
        <v>7.4377095284445876E-4</v>
      </c>
    </row>
    <row r="25" spans="2:9">
      <c r="B25" s="25">
        <f>Estimation_1516!F26</f>
        <v>-1.0316460135110932E-2</v>
      </c>
      <c r="D25" s="25">
        <v>-4.5827033384819978E-2</v>
      </c>
      <c r="F25" s="27">
        <v>-1.2726695958943336E-3</v>
      </c>
      <c r="G25" s="29">
        <f t="shared" si="0"/>
        <v>1.2726695958943336E-3</v>
      </c>
      <c r="I25" s="25">
        <v>7.7399384668885949E-4</v>
      </c>
    </row>
    <row r="26" spans="2:9">
      <c r="B26" s="26">
        <f>Estimation_1516!F27</f>
        <v>-3.6360528329209391E-3</v>
      </c>
      <c r="D26" s="26">
        <v>-4.5689742555103538E-2</v>
      </c>
      <c r="F26" s="28">
        <v>-1.3409321486310528E-3</v>
      </c>
      <c r="G26" s="30">
        <f t="shared" si="0"/>
        <v>1.3409321486310528E-3</v>
      </c>
      <c r="I26" s="26">
        <v>7.8094498307135099E-4</v>
      </c>
    </row>
    <row r="27" spans="2:9">
      <c r="B27" s="25">
        <f>Estimation_1516!F28</f>
        <v>1.4978329436855705E-2</v>
      </c>
      <c r="D27" s="25">
        <v>-4.5586060178649079E-2</v>
      </c>
      <c r="F27" s="27">
        <v>-1.3766732575787987E-3</v>
      </c>
      <c r="G27" s="29">
        <f t="shared" si="0"/>
        <v>1.3766732575787987E-3</v>
      </c>
      <c r="I27" s="25">
        <v>8.6592587312953214E-4</v>
      </c>
    </row>
    <row r="28" spans="2:9">
      <c r="B28" s="26">
        <f>Estimation_1516!F29</f>
        <v>-1.654069413275645E-2</v>
      </c>
      <c r="D28" s="26">
        <v>-4.4462564564881991E-2</v>
      </c>
      <c r="F28" s="28">
        <v>-1.4277784609998516E-3</v>
      </c>
      <c r="G28" s="30">
        <f t="shared" si="0"/>
        <v>1.4277784609998516E-3</v>
      </c>
      <c r="I28" s="26">
        <v>9.1734709671330913E-4</v>
      </c>
    </row>
    <row r="29" spans="2:9">
      <c r="B29" s="25">
        <f>Estimation_1516!F30</f>
        <v>2.3692095290381486E-2</v>
      </c>
      <c r="D29" s="25">
        <v>-4.3698655970660083E-2</v>
      </c>
      <c r="F29" s="27">
        <v>-1.4822137100986032E-3</v>
      </c>
      <c r="G29" s="29">
        <f t="shared" si="0"/>
        <v>1.4822137100986032E-3</v>
      </c>
      <c r="I29" s="25">
        <v>9.88630826939435E-4</v>
      </c>
    </row>
    <row r="30" spans="2:9">
      <c r="B30" s="26">
        <f>Estimation_1516!F31</f>
        <v>-1.3838095596289544E-2</v>
      </c>
      <c r="D30" s="26">
        <v>-4.2891564629312984E-2</v>
      </c>
      <c r="F30" s="28">
        <v>-1.5062512261877809E-3</v>
      </c>
      <c r="G30" s="30">
        <f t="shared" si="0"/>
        <v>1.5062512261877809E-3</v>
      </c>
      <c r="I30" s="26">
        <v>1.0797971030812202E-3</v>
      </c>
    </row>
    <row r="31" spans="2:9">
      <c r="B31" s="25">
        <f>Estimation_1516!F32</f>
        <v>2.0433198557292778E-2</v>
      </c>
      <c r="D31" s="25">
        <v>-4.1666624331176384E-2</v>
      </c>
      <c r="F31" s="27">
        <v>-1.5250879881416536E-3</v>
      </c>
      <c r="G31" s="29">
        <f t="shared" si="0"/>
        <v>1.5250879881416536E-3</v>
      </c>
      <c r="I31" s="25">
        <v>1.1226495706186572E-3</v>
      </c>
    </row>
    <row r="32" spans="2:9">
      <c r="B32" s="26">
        <f>Estimation_1516!F33</f>
        <v>3.0378300790309679E-2</v>
      </c>
      <c r="D32" s="26">
        <v>-4.161219606275611E-2</v>
      </c>
      <c r="F32" s="28">
        <v>-1.5427340301383239E-3</v>
      </c>
      <c r="G32" s="30">
        <f t="shared" si="0"/>
        <v>1.5427340301383239E-3</v>
      </c>
      <c r="I32" s="26">
        <v>1.1239113293226085E-3</v>
      </c>
    </row>
    <row r="33" spans="2:9">
      <c r="B33" s="25">
        <f>Estimation_1516!F34</f>
        <v>-5.0815616273252907E-3</v>
      </c>
      <c r="D33" s="25">
        <v>-3.9919331603540817E-2</v>
      </c>
      <c r="F33" s="27">
        <v>-1.5439683044683949E-3</v>
      </c>
      <c r="G33" s="29">
        <f t="shared" si="0"/>
        <v>1.5439683044683949E-3</v>
      </c>
      <c r="I33" s="25">
        <v>1.1631965950356356E-3</v>
      </c>
    </row>
    <row r="34" spans="2:9">
      <c r="B34" s="26">
        <f>Estimation_1516!F35</f>
        <v>1.597686413694123E-2</v>
      </c>
      <c r="D34" s="26">
        <v>-3.9833568221201737E-2</v>
      </c>
      <c r="F34" s="28">
        <v>-1.634837251983094E-3</v>
      </c>
      <c r="G34" s="30">
        <f t="shared" si="0"/>
        <v>1.634837251983094E-3</v>
      </c>
      <c r="I34" s="26">
        <v>1.1745953192061973E-3</v>
      </c>
    </row>
    <row r="35" spans="2:9">
      <c r="B35" s="25">
        <f>Estimation_1516!F36</f>
        <v>1.1897246439794777E-2</v>
      </c>
      <c r="D35" s="25">
        <v>-3.9803863876642191E-2</v>
      </c>
      <c r="F35" s="27">
        <v>-1.7108644036294301E-3</v>
      </c>
      <c r="G35" s="29">
        <f t="shared" si="0"/>
        <v>1.7108644036294301E-3</v>
      </c>
      <c r="I35" s="25">
        <v>1.2061272720161218E-3</v>
      </c>
    </row>
    <row r="36" spans="2:9">
      <c r="B36" s="26">
        <f>Estimation_1516!F37</f>
        <v>1.9623987869983418E-2</v>
      </c>
      <c r="D36" s="26">
        <v>-3.9711735081349384E-2</v>
      </c>
      <c r="F36" s="28">
        <v>-1.7616374228579302E-3</v>
      </c>
      <c r="G36" s="30">
        <f t="shared" si="0"/>
        <v>1.7616374228579302E-3</v>
      </c>
      <c r="I36" s="26">
        <v>1.214820963331598E-3</v>
      </c>
    </row>
    <row r="37" spans="2:9">
      <c r="B37" s="25">
        <f>Estimation_1516!F38</f>
        <v>-5.9729822344497347E-3</v>
      </c>
      <c r="D37" s="25">
        <v>-3.7530127789237269E-2</v>
      </c>
      <c r="F37" s="27">
        <v>-1.7714796483821156E-3</v>
      </c>
      <c r="G37" s="29">
        <f t="shared" si="0"/>
        <v>1.7714796483821156E-3</v>
      </c>
      <c r="I37" s="25">
        <v>1.2335890188884457E-3</v>
      </c>
    </row>
    <row r="38" spans="2:9">
      <c r="B38" s="26">
        <f>Estimation_1516!F39</f>
        <v>8.9461477138661084E-3</v>
      </c>
      <c r="D38" s="26">
        <v>-3.7455679095325406E-2</v>
      </c>
      <c r="F38" s="28">
        <v>-1.7940442558596736E-3</v>
      </c>
      <c r="G38" s="30">
        <f t="shared" si="0"/>
        <v>1.7940442558596736E-3</v>
      </c>
      <c r="I38" s="26">
        <v>1.2359849723905013E-3</v>
      </c>
    </row>
    <row r="39" spans="2:9">
      <c r="B39" s="25">
        <f>Estimation_1516!F40</f>
        <v>7.8094498307135099E-4</v>
      </c>
      <c r="D39" s="25">
        <v>-3.7026983312509178E-2</v>
      </c>
      <c r="F39" s="27">
        <v>-1.795479140634779E-3</v>
      </c>
      <c r="G39" s="29">
        <f t="shared" si="0"/>
        <v>1.795479140634779E-3</v>
      </c>
      <c r="I39" s="25">
        <v>1.2498885655380626E-3</v>
      </c>
    </row>
    <row r="40" spans="2:9">
      <c r="B40" s="26">
        <f>Estimation_1516!F41</f>
        <v>-8.1517930643014037E-3</v>
      </c>
      <c r="D40" s="26">
        <v>-3.6415189636235135E-2</v>
      </c>
      <c r="F40" s="28">
        <v>-1.819836716986094E-3</v>
      </c>
      <c r="G40" s="30">
        <f t="shared" si="0"/>
        <v>1.819836716986094E-3</v>
      </c>
      <c r="I40" s="26">
        <v>1.3034979034439755E-3</v>
      </c>
    </row>
    <row r="41" spans="2:9">
      <c r="B41" s="25">
        <f>Estimation_1516!F42</f>
        <v>1.437749410675466E-2</v>
      </c>
      <c r="D41" s="25">
        <v>-3.5676033381843497E-2</v>
      </c>
      <c r="F41" s="27">
        <v>-1.9573897689761891E-3</v>
      </c>
      <c r="G41" s="29">
        <f t="shared" si="0"/>
        <v>1.9573897689761891E-3</v>
      </c>
      <c r="I41" s="25">
        <v>1.3104014979145844E-3</v>
      </c>
    </row>
    <row r="42" spans="2:9">
      <c r="B42" s="26">
        <f>Estimation_1516!F43</f>
        <v>3.8714721216584072E-3</v>
      </c>
      <c r="D42" s="26">
        <v>-3.5432945543109461E-2</v>
      </c>
      <c r="F42" s="28">
        <v>-1.9947417984243487E-3</v>
      </c>
      <c r="G42" s="30">
        <f t="shared" si="0"/>
        <v>1.9947417984243487E-3</v>
      </c>
      <c r="I42" s="26">
        <v>1.3117623218977263E-3</v>
      </c>
    </row>
    <row r="43" spans="2:9">
      <c r="B43" s="25">
        <f>Estimation_1516!F44</f>
        <v>5.5487195383505314E-3</v>
      </c>
      <c r="D43" s="25">
        <v>-3.5405529220142111E-2</v>
      </c>
      <c r="F43" s="27">
        <v>-1.9960086467149273E-3</v>
      </c>
      <c r="G43" s="29">
        <f t="shared" si="0"/>
        <v>1.9960086467149273E-3</v>
      </c>
      <c r="I43" s="25">
        <v>1.3504390978713249E-3</v>
      </c>
    </row>
    <row r="44" spans="2:9">
      <c r="B44" s="26">
        <f>Estimation_1516!F45</f>
        <v>-2.0654511719002643E-2</v>
      </c>
      <c r="D44" s="26">
        <v>-3.4636094151927622E-2</v>
      </c>
      <c r="F44" s="28">
        <v>-2.023999534384311E-3</v>
      </c>
      <c r="G44" s="30">
        <f t="shared" si="0"/>
        <v>2.023999534384311E-3</v>
      </c>
      <c r="I44" s="26">
        <v>1.3733907738143459E-3</v>
      </c>
    </row>
    <row r="45" spans="2:9">
      <c r="B45" s="25">
        <f>Estimation_1516!F46</f>
        <v>7.0362263555080436E-3</v>
      </c>
      <c r="D45" s="25">
        <v>-3.4434984327362556E-2</v>
      </c>
      <c r="F45" s="27">
        <v>-2.0402492470985695E-3</v>
      </c>
      <c r="G45" s="29">
        <f t="shared" si="0"/>
        <v>2.0402492470985695E-3</v>
      </c>
      <c r="I45" s="25">
        <v>1.3752795703850108E-3</v>
      </c>
    </row>
    <row r="46" spans="2:9">
      <c r="B46" s="26">
        <f>Estimation_1516!F47</f>
        <v>-2.496101139993778E-3</v>
      </c>
      <c r="D46" s="26">
        <v>-3.3806036130453659E-2</v>
      </c>
      <c r="F46" s="28">
        <v>-2.1208915691376244E-3</v>
      </c>
      <c r="G46" s="30">
        <f t="shared" si="0"/>
        <v>2.1208915691376244E-3</v>
      </c>
      <c r="I46" s="26">
        <v>1.3872834594863056E-3</v>
      </c>
    </row>
    <row r="47" spans="2:9">
      <c r="B47" s="25">
        <f>Estimation_1516!F48</f>
        <v>4.9859872691632922E-3</v>
      </c>
      <c r="D47" s="25">
        <v>-3.3745211735482818E-2</v>
      </c>
      <c r="F47" s="27">
        <v>-2.1665127632426086E-3</v>
      </c>
      <c r="G47" s="29">
        <f t="shared" si="0"/>
        <v>2.1665127632426086E-3</v>
      </c>
      <c r="I47" s="25">
        <v>1.4541226933343409E-3</v>
      </c>
    </row>
    <row r="48" spans="2:9">
      <c r="B48" s="26">
        <f>Estimation_1516!F49</f>
        <v>-7.7742365728489791E-4</v>
      </c>
      <c r="D48" s="26">
        <v>-3.3211852793382152E-2</v>
      </c>
      <c r="F48" s="28">
        <v>-2.1844290165421291E-3</v>
      </c>
      <c r="G48" s="30">
        <f t="shared" si="0"/>
        <v>2.1844290165421291E-3</v>
      </c>
      <c r="I48" s="26">
        <v>1.554243396496866E-3</v>
      </c>
    </row>
    <row r="49" spans="2:9">
      <c r="B49" s="25">
        <f>Estimation_1516!F50</f>
        <v>-1.1105142670938839E-2</v>
      </c>
      <c r="D49" s="25">
        <v>-3.3020425850928146E-2</v>
      </c>
      <c r="F49" s="27">
        <v>-2.2837076240544846E-3</v>
      </c>
      <c r="G49" s="29">
        <f t="shared" si="0"/>
        <v>2.2837076240544846E-3</v>
      </c>
      <c r="I49" s="25">
        <v>1.5774651158453792E-3</v>
      </c>
    </row>
    <row r="50" spans="2:9">
      <c r="B50" s="26">
        <f>Estimation_1516!F51</f>
        <v>2.6846208431909158E-2</v>
      </c>
      <c r="D50" s="26">
        <v>-3.289185397173143E-2</v>
      </c>
      <c r="F50" s="28">
        <v>-2.2954592797707397E-3</v>
      </c>
      <c r="G50" s="30">
        <f t="shared" si="0"/>
        <v>2.2954592797707397E-3</v>
      </c>
      <c r="I50" s="26">
        <v>1.5987213636970735E-3</v>
      </c>
    </row>
    <row r="51" spans="2:9">
      <c r="B51" s="25">
        <f>Estimation_1516!F52</f>
        <v>3.3628891368396828E-3</v>
      </c>
      <c r="D51" s="25">
        <v>-3.2853484807258623E-2</v>
      </c>
      <c r="F51" s="27">
        <v>-2.319513942233386E-3</v>
      </c>
      <c r="G51" s="29">
        <f t="shared" si="0"/>
        <v>2.319513942233386E-3</v>
      </c>
      <c r="I51" s="25">
        <v>1.6622037255868681E-3</v>
      </c>
    </row>
    <row r="52" spans="2:9">
      <c r="B52" s="26">
        <f>Estimation_1516!F53</f>
        <v>1.0172409891556952E-2</v>
      </c>
      <c r="D52" s="26">
        <v>-3.2444045952018004E-2</v>
      </c>
      <c r="F52" s="28">
        <v>-2.3198022002312805E-3</v>
      </c>
      <c r="G52" s="30">
        <f t="shared" si="0"/>
        <v>2.3198022002312805E-3</v>
      </c>
      <c r="I52" s="26">
        <v>1.6963532481783338E-3</v>
      </c>
    </row>
    <row r="53" spans="2:9">
      <c r="B53" s="25">
        <f>Estimation_1516!F54</f>
        <v>1.5736555538985966E-2</v>
      </c>
      <c r="D53" s="25">
        <v>-3.2418503899008209E-2</v>
      </c>
      <c r="F53" s="27">
        <v>-2.3320487741781493E-3</v>
      </c>
      <c r="G53" s="29">
        <f t="shared" si="0"/>
        <v>2.3320487741781493E-3</v>
      </c>
      <c r="I53" s="25">
        <v>1.6977932770940486E-3</v>
      </c>
    </row>
    <row r="54" spans="2:9">
      <c r="B54" s="26">
        <f>Estimation_1516!F55</f>
        <v>-1.2719961999560294E-2</v>
      </c>
      <c r="D54" s="26">
        <v>-3.2260862218221553E-2</v>
      </c>
      <c r="F54" s="28">
        <v>-2.3631361922828906E-3</v>
      </c>
      <c r="G54" s="30">
        <f t="shared" si="0"/>
        <v>2.3631361922828906E-3</v>
      </c>
      <c r="I54" s="26">
        <v>1.7298049634182026E-3</v>
      </c>
    </row>
    <row r="55" spans="2:9">
      <c r="B55" s="25">
        <f>Estimation_1516!F56</f>
        <v>-1.1968933125601997E-2</v>
      </c>
      <c r="D55" s="25">
        <v>-3.2184955474174479E-2</v>
      </c>
      <c r="F55" s="27">
        <v>-2.4340782808796408E-3</v>
      </c>
      <c r="G55" s="29">
        <f t="shared" si="0"/>
        <v>2.4340782808796408E-3</v>
      </c>
      <c r="I55" s="25">
        <v>1.7406444777841182E-3</v>
      </c>
    </row>
    <row r="56" spans="2:9">
      <c r="B56" s="26">
        <f>Estimation_1516!F57</f>
        <v>6.2296030682608408E-3</v>
      </c>
      <c r="D56" s="26">
        <v>-3.2097721402510125E-2</v>
      </c>
      <c r="F56" s="28">
        <v>-2.496101139993778E-3</v>
      </c>
      <c r="G56" s="30">
        <f t="shared" si="0"/>
        <v>2.496101139993778E-3</v>
      </c>
      <c r="I56" s="26">
        <v>1.7800386136842168E-3</v>
      </c>
    </row>
    <row r="57" spans="2:9">
      <c r="B57" s="25">
        <f>Estimation_1516!F58</f>
        <v>1.7864319556827501E-2</v>
      </c>
      <c r="D57" s="25">
        <v>-3.1329291607603962E-2</v>
      </c>
      <c r="F57" s="27">
        <v>-2.5108941631343468E-3</v>
      </c>
      <c r="G57" s="29">
        <f t="shared" si="0"/>
        <v>2.5108941631343468E-3</v>
      </c>
      <c r="I57" s="25">
        <v>1.8438849723282193E-3</v>
      </c>
    </row>
    <row r="58" spans="2:9">
      <c r="B58" s="26">
        <f>Estimation_1516!F59</f>
        <v>4.4626255854036105E-4</v>
      </c>
      <c r="D58" s="26">
        <v>-3.1328902183316056E-2</v>
      </c>
      <c r="F58" s="28">
        <v>-2.6113463265186945E-3</v>
      </c>
      <c r="G58" s="30">
        <f t="shared" si="0"/>
        <v>2.6113463265186945E-3</v>
      </c>
      <c r="I58" s="26">
        <v>1.8470636946871703E-3</v>
      </c>
    </row>
    <row r="59" spans="2:9">
      <c r="B59" s="25">
        <f>Estimation_1516!F60</f>
        <v>8.8836829432327978E-3</v>
      </c>
      <c r="D59" s="25">
        <v>-3.1308460579096691E-2</v>
      </c>
      <c r="F59" s="27">
        <v>-2.6432418406068352E-3</v>
      </c>
      <c r="G59" s="29">
        <f t="shared" si="0"/>
        <v>2.6432418406068352E-3</v>
      </c>
      <c r="I59" s="25">
        <v>1.8796998015774722E-3</v>
      </c>
    </row>
    <row r="60" spans="2:9">
      <c r="B60" s="26">
        <f>Estimation_1516!F61</f>
        <v>-8.2889758189550571E-3</v>
      </c>
      <c r="D60" s="26">
        <v>-3.1043750236314602E-2</v>
      </c>
      <c r="F60" s="28">
        <v>-2.6476054650547941E-3</v>
      </c>
      <c r="G60" s="30">
        <f t="shared" si="0"/>
        <v>2.6476054650547941E-3</v>
      </c>
      <c r="I60" s="26">
        <v>1.9688275432782113E-3</v>
      </c>
    </row>
    <row r="61" spans="2:9">
      <c r="B61" s="25">
        <f>Estimation_1516!F62</f>
        <v>-1.2112297611202043E-2</v>
      </c>
      <c r="D61" s="25">
        <v>-3.0999786875795812E-2</v>
      </c>
      <c r="F61" s="27">
        <v>-2.7453689171926718E-3</v>
      </c>
      <c r="G61" s="29">
        <f t="shared" si="0"/>
        <v>2.7453689171926718E-3</v>
      </c>
      <c r="I61" s="25">
        <v>1.9854407581029569E-3</v>
      </c>
    </row>
    <row r="62" spans="2:9">
      <c r="B62" s="26">
        <f>Estimation_1516!F63</f>
        <v>3.0229001961317076E-2</v>
      </c>
      <c r="D62" s="26">
        <v>-3.0778889141759795E-2</v>
      </c>
      <c r="F62" s="28">
        <v>-2.8993931590026124E-3</v>
      </c>
      <c r="G62" s="30">
        <f t="shared" si="0"/>
        <v>2.8993931590026124E-3</v>
      </c>
      <c r="I62" s="26">
        <v>1.9874137048381956E-3</v>
      </c>
    </row>
    <row r="63" spans="2:9">
      <c r="B63" s="25">
        <f>Estimation_1516!F64</f>
        <v>1.9799765251048106E-2</v>
      </c>
      <c r="D63" s="25">
        <v>-3.0609057496227679E-2</v>
      </c>
      <c r="F63" s="27">
        <v>-2.9300983709476523E-3</v>
      </c>
      <c r="G63" s="29">
        <f t="shared" si="0"/>
        <v>2.9300983709476523E-3</v>
      </c>
      <c r="I63" s="25">
        <v>2.0597329630105622E-3</v>
      </c>
    </row>
    <row r="64" spans="2:9">
      <c r="B64" s="26">
        <f>Estimation_1516!F65</f>
        <v>-3.8712500852807578E-3</v>
      </c>
      <c r="D64" s="26">
        <v>-3.0308473914382374E-2</v>
      </c>
      <c r="F64" s="28">
        <v>-2.9436848276435616E-3</v>
      </c>
      <c r="G64" s="30">
        <f t="shared" si="0"/>
        <v>2.9436848276435616E-3</v>
      </c>
      <c r="I64" s="26">
        <v>2.0732557530042015E-3</v>
      </c>
    </row>
    <row r="65" spans="2:9">
      <c r="B65" s="25">
        <f>Estimation_1516!F66</f>
        <v>1.7515577734057635E-2</v>
      </c>
      <c r="D65" s="25">
        <v>-3.0209691350135789E-2</v>
      </c>
      <c r="F65" s="27">
        <v>-2.9504763237499462E-3</v>
      </c>
      <c r="G65" s="29">
        <f t="shared" si="0"/>
        <v>2.9504763237499462E-3</v>
      </c>
      <c r="I65" s="25">
        <v>2.1216415313581889E-3</v>
      </c>
    </row>
    <row r="66" spans="2:9">
      <c r="B66" s="26">
        <f>Estimation_1516!F67</f>
        <v>8.574091461243525E-3</v>
      </c>
      <c r="D66" s="26">
        <v>-3.0060641308619091E-2</v>
      </c>
      <c r="F66" s="28">
        <v>-2.9830530595400776E-3</v>
      </c>
      <c r="G66" s="30">
        <f t="shared" si="0"/>
        <v>2.9830530595400776E-3</v>
      </c>
      <c r="I66" s="26">
        <v>2.1524671987650126E-3</v>
      </c>
    </row>
    <row r="67" spans="2:9">
      <c r="B67" s="25">
        <f>Estimation_1516!F68</f>
        <v>1.3070263929173747E-2</v>
      </c>
      <c r="D67" s="25">
        <v>-2.9224756658494784E-2</v>
      </c>
      <c r="F67" s="27">
        <v>-3.030815588274712E-3</v>
      </c>
      <c r="G67" s="29">
        <f t="shared" si="0"/>
        <v>3.030815588274712E-3</v>
      </c>
      <c r="I67" s="25">
        <v>2.2255202064056841E-3</v>
      </c>
    </row>
    <row r="68" spans="2:9">
      <c r="B68" s="26">
        <f>Estimation_1516!F69</f>
        <v>3.4475659879878535E-3</v>
      </c>
      <c r="D68" s="26">
        <v>-2.9192050994254676E-2</v>
      </c>
      <c r="F68" s="28">
        <v>-3.0842010672086175E-3</v>
      </c>
      <c r="G68" s="30">
        <f t="shared" ref="G68:G131" si="2">-1*F68</f>
        <v>3.0842010672086175E-3</v>
      </c>
      <c r="I68" s="26">
        <v>2.2708358861356671E-3</v>
      </c>
    </row>
    <row r="69" spans="2:9">
      <c r="B69" s="25">
        <f>Estimation_1516!F70</f>
        <v>1.814387130673854E-2</v>
      </c>
      <c r="D69" s="25">
        <v>-2.8865080396172239E-2</v>
      </c>
      <c r="F69" s="27">
        <v>-3.107522699579356E-3</v>
      </c>
      <c r="G69" s="29">
        <f t="shared" si="2"/>
        <v>3.107522699579356E-3</v>
      </c>
      <c r="I69" s="25">
        <v>2.290643055085004E-3</v>
      </c>
    </row>
    <row r="70" spans="2:9">
      <c r="B70" s="26">
        <f>Estimation_1516!F71</f>
        <v>-5.558205863656053E-3</v>
      </c>
      <c r="D70" s="26">
        <v>-2.872562579392381E-2</v>
      </c>
      <c r="F70" s="28">
        <v>-3.1114977566334919E-3</v>
      </c>
      <c r="G70" s="30">
        <f t="shared" si="2"/>
        <v>3.1114977566334919E-3</v>
      </c>
      <c r="I70" s="26">
        <v>2.3478125827479735E-3</v>
      </c>
    </row>
    <row r="71" spans="2:9">
      <c r="B71" s="25">
        <f>Estimation_1516!F72</f>
        <v>6.5040879691764825E-3</v>
      </c>
      <c r="D71" s="25">
        <v>-2.858888389538523E-2</v>
      </c>
      <c r="F71" s="27">
        <v>-3.1683194820452758E-3</v>
      </c>
      <c r="G71" s="29">
        <f t="shared" si="2"/>
        <v>3.1683194820452758E-3</v>
      </c>
      <c r="I71" s="25">
        <v>2.350177344953673E-3</v>
      </c>
    </row>
    <row r="72" spans="2:9">
      <c r="B72" s="26">
        <f>Estimation_1516!F73</f>
        <v>1.214820963331598E-3</v>
      </c>
      <c r="D72" s="26">
        <v>-2.8197959256234764E-2</v>
      </c>
      <c r="F72" s="28">
        <v>-3.1719685231356761E-3</v>
      </c>
      <c r="G72" s="30">
        <f t="shared" si="2"/>
        <v>3.1719685231356761E-3</v>
      </c>
      <c r="I72" s="26">
        <v>2.4152885223117895E-3</v>
      </c>
    </row>
    <row r="73" spans="2:9">
      <c r="B73" s="25">
        <f>Estimation_1516!F74</f>
        <v>2.290643055085004E-3</v>
      </c>
      <c r="D73" s="25">
        <v>-2.7517459514922626E-2</v>
      </c>
      <c r="F73" s="27">
        <v>-3.2228388853138977E-3</v>
      </c>
      <c r="G73" s="29">
        <f t="shared" si="2"/>
        <v>3.2228388853138977E-3</v>
      </c>
      <c r="I73" s="25">
        <v>2.4219853478986827E-3</v>
      </c>
    </row>
    <row r="74" spans="2:9">
      <c r="B74" s="26">
        <f>Estimation_1516!F75</f>
        <v>-1.0825545504922447E-2</v>
      </c>
      <c r="D74" s="26">
        <v>-2.7510190336813779E-2</v>
      </c>
      <c r="F74" s="28">
        <v>-3.2557180714966254E-3</v>
      </c>
      <c r="G74" s="30">
        <f t="shared" si="2"/>
        <v>3.2557180714966254E-3</v>
      </c>
      <c r="I74" s="26">
        <v>2.4949633899968475E-3</v>
      </c>
    </row>
    <row r="75" spans="2:9">
      <c r="B75" s="25">
        <f>Estimation_1516!F76</f>
        <v>-2.5073637552115849E-2</v>
      </c>
      <c r="D75" s="25">
        <v>-2.7152554382297425E-2</v>
      </c>
      <c r="F75" s="27">
        <v>-3.2749745860295686E-3</v>
      </c>
      <c r="G75" s="29">
        <f t="shared" si="2"/>
        <v>3.2749745860295686E-3</v>
      </c>
      <c r="I75" s="25">
        <v>2.6098318423709499E-3</v>
      </c>
    </row>
    <row r="76" spans="2:9">
      <c r="B76" s="26">
        <f>Estimation_1516!F77</f>
        <v>1.1374793193954125E-2</v>
      </c>
      <c r="D76" s="26">
        <v>-2.6913132979224201E-2</v>
      </c>
      <c r="F76" s="28">
        <v>-3.279229041192786E-3</v>
      </c>
      <c r="G76" s="30">
        <f t="shared" si="2"/>
        <v>3.279229041192786E-3</v>
      </c>
      <c r="I76" s="26">
        <v>2.6370914219894363E-3</v>
      </c>
    </row>
    <row r="77" spans="2:9">
      <c r="B77" s="25">
        <f>Estimation_1516!F78</f>
        <v>1.5194324209985456E-2</v>
      </c>
      <c r="D77" s="25">
        <v>-2.6696538159628889E-2</v>
      </c>
      <c r="F77" s="27">
        <v>-3.3112613036559201E-3</v>
      </c>
      <c r="G77" s="29">
        <f t="shared" si="2"/>
        <v>3.3112613036559201E-3</v>
      </c>
      <c r="I77" s="25">
        <v>2.6622311896781548E-3</v>
      </c>
    </row>
    <row r="78" spans="2:9">
      <c r="B78" s="26">
        <f>Estimation_1516!F79</f>
        <v>1.1346873059403403E-2</v>
      </c>
      <c r="D78" s="26">
        <v>-2.6637359528298769E-2</v>
      </c>
      <c r="F78" s="28">
        <v>-3.3909832425583681E-3</v>
      </c>
      <c r="G78" s="30">
        <f t="shared" si="2"/>
        <v>3.3909832425583681E-3</v>
      </c>
      <c r="I78" s="26">
        <v>2.67419562130171E-3</v>
      </c>
    </row>
    <row r="79" spans="2:9">
      <c r="B79" s="25">
        <f>Estimation_1516!F80</f>
        <v>1.2016165942486398E-2</v>
      </c>
      <c r="D79" s="25">
        <v>-2.6627500725316548E-2</v>
      </c>
      <c r="F79" s="27">
        <v>-3.4497662500747347E-3</v>
      </c>
      <c r="G79" s="29">
        <f t="shared" si="2"/>
        <v>3.4497662500747347E-3</v>
      </c>
      <c r="I79" s="25">
        <v>2.7285146532039142E-3</v>
      </c>
    </row>
    <row r="80" spans="2:9">
      <c r="B80" s="26">
        <f>Estimation_1516!F81</f>
        <v>1.4623803195762303E-2</v>
      </c>
      <c r="D80" s="26">
        <v>-2.6428863095806734E-2</v>
      </c>
      <c r="F80" s="28">
        <v>-3.4594629096594202E-3</v>
      </c>
      <c r="G80" s="30">
        <f t="shared" si="2"/>
        <v>3.4594629096594202E-3</v>
      </c>
      <c r="I80" s="26">
        <v>2.7772285257879423E-3</v>
      </c>
    </row>
    <row r="81" spans="2:9">
      <c r="B81" s="25">
        <f>Estimation_1516!F82</f>
        <v>1.2735714700054848E-2</v>
      </c>
      <c r="D81" s="25">
        <v>-2.580788395587259E-2</v>
      </c>
      <c r="F81" s="27">
        <v>-3.6360528329209391E-3</v>
      </c>
      <c r="G81" s="29">
        <f t="shared" si="2"/>
        <v>3.6360528329209391E-3</v>
      </c>
      <c r="I81" s="25">
        <v>2.8530689824064807E-3</v>
      </c>
    </row>
    <row r="82" spans="2:9">
      <c r="B82" s="26">
        <f>Estimation_1516!F83</f>
        <v>-1.0645303695818609E-2</v>
      </c>
      <c r="D82" s="26">
        <v>-2.5685677237196829E-2</v>
      </c>
      <c r="F82" s="28">
        <v>-3.636968796575879E-3</v>
      </c>
      <c r="G82" s="30">
        <f t="shared" si="2"/>
        <v>3.636968796575879E-3</v>
      </c>
      <c r="I82" s="26">
        <v>2.8867622723909247E-3</v>
      </c>
    </row>
    <row r="83" spans="2:9">
      <c r="B83" s="25">
        <f>Estimation_1516!F84</f>
        <v>-5.1416947088489234E-2</v>
      </c>
      <c r="D83" s="25">
        <v>-2.5391119079956954E-2</v>
      </c>
      <c r="F83" s="27">
        <v>-3.6734053663089248E-3</v>
      </c>
      <c r="G83" s="29">
        <f t="shared" si="2"/>
        <v>3.6734053663089248E-3</v>
      </c>
      <c r="I83" s="25">
        <v>2.9424767441930942E-3</v>
      </c>
    </row>
    <row r="84" spans="2:9">
      <c r="B84" s="26">
        <f>Estimation_1516!F85</f>
        <v>1.4730217240403409E-2</v>
      </c>
      <c r="D84" s="26">
        <v>-2.5287076104572023E-2</v>
      </c>
      <c r="F84" s="28">
        <v>-3.6818179368896635E-3</v>
      </c>
      <c r="G84" s="30">
        <f t="shared" si="2"/>
        <v>3.6818179368896635E-3</v>
      </c>
      <c r="I84" s="26">
        <v>2.9665844983069252E-3</v>
      </c>
    </row>
    <row r="85" spans="2:9">
      <c r="B85" s="25">
        <f>Estimation_1516!F86</f>
        <v>-1.7616374228579302E-3</v>
      </c>
      <c r="D85" s="25">
        <v>-2.5250718125291512E-2</v>
      </c>
      <c r="F85" s="27">
        <v>-3.7269228299015569E-3</v>
      </c>
      <c r="G85" s="29">
        <f t="shared" si="2"/>
        <v>3.7269228299015569E-3</v>
      </c>
      <c r="I85" s="25">
        <v>2.9684622910988918E-3</v>
      </c>
    </row>
    <row r="86" spans="2:9">
      <c r="B86" s="26">
        <f>Estimation_1516!F87</f>
        <v>-3.4636094151927622E-2</v>
      </c>
      <c r="D86" s="26">
        <v>-2.5222576024372192E-2</v>
      </c>
      <c r="F86" s="28">
        <v>-3.7904677329371776E-3</v>
      </c>
      <c r="G86" s="30">
        <f t="shared" si="2"/>
        <v>3.7904677329371776E-3</v>
      </c>
      <c r="I86" s="26">
        <v>2.9750858686338434E-3</v>
      </c>
    </row>
    <row r="87" spans="2:9">
      <c r="B87" s="25">
        <f>Estimation_1516!F88</f>
        <v>1.1226495706186572E-3</v>
      </c>
      <c r="D87" s="25">
        <v>-2.5221736461793102E-2</v>
      </c>
      <c r="F87" s="27">
        <v>-3.8089238241222957E-3</v>
      </c>
      <c r="G87" s="29">
        <f t="shared" si="2"/>
        <v>3.8089238241222957E-3</v>
      </c>
      <c r="I87" s="25">
        <v>3.2055979657684623E-3</v>
      </c>
    </row>
    <row r="88" spans="2:9">
      <c r="B88" s="26">
        <f>Estimation_1516!F89</f>
        <v>-1.5439683044683949E-3</v>
      </c>
      <c r="D88" s="26">
        <v>-2.5073637552115849E-2</v>
      </c>
      <c r="F88" s="28">
        <v>-3.8712500852807578E-3</v>
      </c>
      <c r="G88" s="30">
        <f t="shared" si="2"/>
        <v>3.8712500852807578E-3</v>
      </c>
      <c r="I88" s="26">
        <v>3.2279530544406902E-3</v>
      </c>
    </row>
    <row r="89" spans="2:9">
      <c r="B89" s="25">
        <f>Estimation_1516!F90</f>
        <v>1.8234202744847244E-2</v>
      </c>
      <c r="D89" s="25">
        <v>-2.4794658613216392E-2</v>
      </c>
      <c r="F89" s="27">
        <v>-3.9551798429280543E-3</v>
      </c>
      <c r="G89" s="29">
        <f t="shared" si="2"/>
        <v>3.9551798429280543E-3</v>
      </c>
      <c r="I89" s="25">
        <v>3.2338702297286534E-3</v>
      </c>
    </row>
    <row r="90" spans="2:9">
      <c r="B90" s="26">
        <f>Estimation_1516!F91</f>
        <v>-4.1465159618485773E-3</v>
      </c>
      <c r="D90" s="26">
        <v>-2.4692612590371522E-2</v>
      </c>
      <c r="F90" s="28">
        <v>-3.9732759513603898E-3</v>
      </c>
      <c r="G90" s="30">
        <f t="shared" si="2"/>
        <v>3.9732759513603898E-3</v>
      </c>
      <c r="I90" s="26">
        <v>3.2749745860296644E-3</v>
      </c>
    </row>
    <row r="91" spans="2:9">
      <c r="B91" s="25">
        <f>Estimation_1516!F92</f>
        <v>-3.3806036130453659E-2</v>
      </c>
      <c r="D91" s="25">
        <v>-2.4472856518725574E-2</v>
      </c>
      <c r="F91" s="27">
        <v>-3.9829355640776821E-3</v>
      </c>
      <c r="G91" s="29">
        <f t="shared" si="2"/>
        <v>3.9829355640776821E-3</v>
      </c>
      <c r="I91" s="25">
        <v>3.3438634167064687E-3</v>
      </c>
    </row>
    <row r="92" spans="2:9">
      <c r="B92" s="26">
        <f>Estimation_1516!F93</f>
        <v>7.7066172775095707E-3</v>
      </c>
      <c r="D92" s="26">
        <v>-2.4467169029211845E-2</v>
      </c>
      <c r="F92" s="28">
        <v>-4.0926634845877058E-3</v>
      </c>
      <c r="G92" s="30">
        <f t="shared" si="2"/>
        <v>4.0926634845877058E-3</v>
      </c>
      <c r="I92" s="26">
        <v>3.3628891368396828E-3</v>
      </c>
    </row>
    <row r="93" spans="2:9">
      <c r="B93" s="25">
        <f>Estimation_1516!F94</f>
        <v>1.6356822654125719E-2</v>
      </c>
      <c r="D93" s="25">
        <v>-2.4379166496801441E-2</v>
      </c>
      <c r="F93" s="27">
        <v>-4.099566502932553E-3</v>
      </c>
      <c r="G93" s="29">
        <f t="shared" si="2"/>
        <v>4.099566502932553E-3</v>
      </c>
      <c r="I93" s="25">
        <v>3.3860077497309595E-3</v>
      </c>
    </row>
    <row r="94" spans="2:9">
      <c r="B94" s="26">
        <f>Estimation_1516!F95</f>
        <v>-1.819836716986094E-3</v>
      </c>
      <c r="D94" s="26">
        <v>-2.3695029727454468E-2</v>
      </c>
      <c r="F94" s="28">
        <v>-4.1444701123146202E-3</v>
      </c>
      <c r="G94" s="30">
        <f t="shared" si="2"/>
        <v>4.1444701123146202E-3</v>
      </c>
      <c r="I94" s="26">
        <v>3.3928459722033953E-3</v>
      </c>
    </row>
    <row r="95" spans="2:9">
      <c r="B95" s="25">
        <f>Estimation_1516!F96</f>
        <v>-8.7250764596288801E-3</v>
      </c>
      <c r="D95" s="25">
        <v>-2.3173942565135948E-2</v>
      </c>
      <c r="F95" s="27">
        <v>-4.1465159618485773E-3</v>
      </c>
      <c r="G95" s="29">
        <f t="shared" si="2"/>
        <v>4.1465159618485773E-3</v>
      </c>
      <c r="I95" s="25">
        <v>3.4322171472087096E-3</v>
      </c>
    </row>
    <row r="96" spans="2:9">
      <c r="B96" s="26">
        <f>Estimation_1516!F97</f>
        <v>1.8485332413002691E-2</v>
      </c>
      <c r="D96" s="26">
        <v>-2.3113265736257826E-2</v>
      </c>
      <c r="F96" s="28">
        <v>-4.1493835468114776E-3</v>
      </c>
      <c r="G96" s="30">
        <f t="shared" si="2"/>
        <v>4.1493835468114776E-3</v>
      </c>
      <c r="I96" s="26">
        <v>3.4475659879878535E-3</v>
      </c>
    </row>
    <row r="97" spans="2:9">
      <c r="B97" s="25">
        <f>Estimation_1516!F98</f>
        <v>5.6727927983742481E-3</v>
      </c>
      <c r="D97" s="25">
        <v>-2.3089949361305016E-2</v>
      </c>
      <c r="F97" s="27">
        <v>-4.1966488450735804E-3</v>
      </c>
      <c r="G97" s="29">
        <f t="shared" si="2"/>
        <v>4.1966488450735804E-3</v>
      </c>
      <c r="I97" s="25">
        <v>3.5514311333738908E-3</v>
      </c>
    </row>
    <row r="98" spans="2:9">
      <c r="B98" s="26">
        <f>Estimation_1516!F99</f>
        <v>-1.3797861353391047E-4</v>
      </c>
      <c r="D98" s="26">
        <v>-2.3025887665482206E-2</v>
      </c>
      <c r="F98" s="28">
        <v>-4.2378930497712275E-3</v>
      </c>
      <c r="G98" s="30">
        <f t="shared" si="2"/>
        <v>4.2378930497712275E-3</v>
      </c>
      <c r="I98" s="26">
        <v>3.5524016043679218E-3</v>
      </c>
    </row>
    <row r="99" spans="2:9">
      <c r="B99" s="25">
        <f>Estimation_1516!F100</f>
        <v>-3.9833568221201737E-2</v>
      </c>
      <c r="D99" s="25">
        <v>-2.2997071294455235E-2</v>
      </c>
      <c r="F99" s="27">
        <v>-4.3371471775479698E-3</v>
      </c>
      <c r="G99" s="29">
        <f t="shared" si="2"/>
        <v>4.3371471775479698E-3</v>
      </c>
      <c r="I99" s="25">
        <v>3.6166404701882936E-3</v>
      </c>
    </row>
    <row r="100" spans="2:9">
      <c r="B100" s="26">
        <f>Estimation_1516!F101</f>
        <v>-1.490081819718893E-2</v>
      </c>
      <c r="D100" s="26">
        <v>-2.2696316283489979E-2</v>
      </c>
      <c r="F100" s="28">
        <v>-4.3384015985981298E-3</v>
      </c>
      <c r="G100" s="30">
        <f t="shared" si="2"/>
        <v>4.3384015985981298E-3</v>
      </c>
      <c r="I100" s="26">
        <v>3.7294499914317255E-3</v>
      </c>
    </row>
    <row r="101" spans="2:9">
      <c r="B101" s="25">
        <f>Estimation_1516!F102</f>
        <v>-5.7005197122997221E-3</v>
      </c>
      <c r="D101" s="25">
        <v>-2.263709531356228E-2</v>
      </c>
      <c r="F101" s="27">
        <v>-4.4225280451246326E-3</v>
      </c>
      <c r="G101" s="29">
        <f t="shared" si="2"/>
        <v>4.4225280451246326E-3</v>
      </c>
      <c r="I101" s="25">
        <v>3.7296908522394213E-3</v>
      </c>
    </row>
    <row r="102" spans="2:9">
      <c r="B102" s="26">
        <f>Estimation_1516!F103</f>
        <v>2.0026790349874243E-2</v>
      </c>
      <c r="D102" s="26">
        <v>-2.2422464055832283E-2</v>
      </c>
      <c r="F102" s="28">
        <v>-4.449593529884944E-3</v>
      </c>
      <c r="G102" s="30">
        <f t="shared" si="2"/>
        <v>4.449593529884944E-3</v>
      </c>
      <c r="I102" s="26">
        <v>3.7697594302854671E-3</v>
      </c>
    </row>
    <row r="103" spans="2:9">
      <c r="B103" s="25">
        <f>Estimation_1516!F104</f>
        <v>-5.3302726504398613E-3</v>
      </c>
      <c r="D103" s="25">
        <v>-2.233290155414714E-2</v>
      </c>
      <c r="F103" s="27">
        <v>-4.4523671058052609E-3</v>
      </c>
      <c r="G103" s="29">
        <f t="shared" si="2"/>
        <v>4.4523671058052609E-3</v>
      </c>
      <c r="I103" s="25">
        <v>3.7950709685515343E-3</v>
      </c>
    </row>
    <row r="104" spans="2:9">
      <c r="B104" s="26">
        <f>Estimation_1516!F105</f>
        <v>-1.4110351211373098E-2</v>
      </c>
      <c r="D104" s="26">
        <v>-2.2165588988372075E-2</v>
      </c>
      <c r="F104" s="28">
        <v>-4.5404691699187953E-3</v>
      </c>
      <c r="G104" s="30">
        <f t="shared" si="2"/>
        <v>4.5404691699187953E-3</v>
      </c>
      <c r="I104" s="26">
        <v>3.8714721216584072E-3</v>
      </c>
    </row>
    <row r="105" spans="2:9">
      <c r="B105" s="25">
        <f>Estimation_1516!F106</f>
        <v>-6.9092520356866952E-3</v>
      </c>
      <c r="D105" s="25">
        <v>-2.1781995901364499E-2</v>
      </c>
      <c r="F105" s="27">
        <v>-4.6061804148972534E-3</v>
      </c>
      <c r="G105" s="29">
        <f t="shared" si="2"/>
        <v>4.6061804148972534E-3</v>
      </c>
      <c r="I105" s="25">
        <v>3.8759738446929397E-3</v>
      </c>
    </row>
    <row r="106" spans="2:9">
      <c r="B106" s="26">
        <f>Estimation_1516!F107</f>
        <v>-2.5108941631343468E-3</v>
      </c>
      <c r="D106" s="26">
        <v>-2.1765755273867208E-2</v>
      </c>
      <c r="F106" s="28">
        <v>-4.6104277147824974E-3</v>
      </c>
      <c r="G106" s="30">
        <f t="shared" si="2"/>
        <v>4.6104277147824974E-3</v>
      </c>
      <c r="I106" s="26">
        <v>3.9132334071744681E-3</v>
      </c>
    </row>
    <row r="107" spans="2:9">
      <c r="B107" s="25">
        <f>Estimation_1516!F108</f>
        <v>-4.1493835468114776E-3</v>
      </c>
      <c r="D107" s="25">
        <v>-2.1454935001259487E-2</v>
      </c>
      <c r="F107" s="27">
        <v>-4.6541230614693249E-3</v>
      </c>
      <c r="G107" s="29">
        <f t="shared" si="2"/>
        <v>4.6541230614693249E-3</v>
      </c>
      <c r="I107" s="25">
        <v>3.9356043643040397E-3</v>
      </c>
    </row>
    <row r="108" spans="2:9">
      <c r="B108" s="26">
        <f>Estimation_1516!F109</f>
        <v>-1.634837251983094E-3</v>
      </c>
      <c r="D108" s="26">
        <v>-2.1365073309983867E-2</v>
      </c>
      <c r="F108" s="28">
        <v>-4.6699960339566717E-3</v>
      </c>
      <c r="G108" s="30">
        <f t="shared" si="2"/>
        <v>4.6699960339566717E-3</v>
      </c>
      <c r="I108" s="26">
        <v>4.0026737896576275E-3</v>
      </c>
    </row>
    <row r="109" spans="2:9">
      <c r="B109" s="25">
        <f>Estimation_1516!F110</f>
        <v>-1.4986043984057161E-2</v>
      </c>
      <c r="D109" s="25">
        <v>-2.1359205845446382E-2</v>
      </c>
      <c r="F109" s="27">
        <v>-4.6914028282275064E-3</v>
      </c>
      <c r="G109" s="29">
        <f t="shared" si="2"/>
        <v>4.6914028282275064E-3</v>
      </c>
      <c r="I109" s="25">
        <v>4.0053458086750614E-3</v>
      </c>
    </row>
    <row r="110" spans="2:9">
      <c r="B110" s="26">
        <f>Estimation_1516!F111</f>
        <v>-2.1365073309983867E-2</v>
      </c>
      <c r="D110" s="26">
        <v>-2.1345127935733961E-2</v>
      </c>
      <c r="F110" s="28">
        <v>-4.8126596844155706E-3</v>
      </c>
      <c r="G110" s="30">
        <f t="shared" si="2"/>
        <v>4.8126596844155706E-3</v>
      </c>
      <c r="I110" s="26">
        <v>4.0513222191787242E-3</v>
      </c>
    </row>
    <row r="111" spans="2:9">
      <c r="B111" s="25">
        <f>Estimation_1516!F112</f>
        <v>1.3872834594863056E-3</v>
      </c>
      <c r="D111" s="25">
        <v>-2.1279209580501939E-2</v>
      </c>
      <c r="F111" s="27">
        <v>-4.8598832085109287E-3</v>
      </c>
      <c r="G111" s="29">
        <f t="shared" si="2"/>
        <v>4.8598832085109287E-3</v>
      </c>
      <c r="I111" s="25">
        <v>4.0610985451852355E-3</v>
      </c>
    </row>
    <row r="112" spans="2:9">
      <c r="B112" s="26">
        <f>Estimation_1516!F113</f>
        <v>1.7710386566332021E-2</v>
      </c>
      <c r="D112" s="26">
        <v>-2.1046319387662018E-2</v>
      </c>
      <c r="F112" s="28">
        <v>-4.8598832085109287E-3</v>
      </c>
      <c r="G112" s="30">
        <f t="shared" si="2"/>
        <v>4.8598832085109287E-3</v>
      </c>
      <c r="I112" s="26">
        <v>4.067300855741968E-3</v>
      </c>
    </row>
    <row r="113" spans="2:9">
      <c r="B113" s="25">
        <f>Estimation_1516!F114</f>
        <v>-3.7904677329371776E-3</v>
      </c>
      <c r="D113" s="25">
        <v>-2.0940262971821135E-2</v>
      </c>
      <c r="F113" s="27">
        <v>-4.8929761228158376E-3</v>
      </c>
      <c r="G113" s="29">
        <f t="shared" si="2"/>
        <v>4.8929761228158376E-3</v>
      </c>
      <c r="I113" s="25">
        <v>4.158010148663677E-3</v>
      </c>
    </row>
    <row r="114" spans="2:9">
      <c r="B114" s="26">
        <f>Estimation_1516!F115</f>
        <v>-1.3150036587345752E-2</v>
      </c>
      <c r="D114" s="26">
        <v>-2.0888962245944845E-2</v>
      </c>
      <c r="F114" s="28">
        <v>-4.9040917556566295E-3</v>
      </c>
      <c r="G114" s="30">
        <f t="shared" si="2"/>
        <v>4.9040917556566295E-3</v>
      </c>
      <c r="I114" s="26">
        <v>4.1928782600361781E-3</v>
      </c>
    </row>
    <row r="115" spans="2:9">
      <c r="B115" s="25">
        <f>Estimation_1516!F116</f>
        <v>-2.5250718125291512E-2</v>
      </c>
      <c r="D115" s="25">
        <v>-2.0884018158213266E-2</v>
      </c>
      <c r="F115" s="27">
        <v>-4.9140148024289293E-3</v>
      </c>
      <c r="G115" s="29">
        <f t="shared" si="2"/>
        <v>4.9140148024289293E-3</v>
      </c>
      <c r="I115" s="25">
        <v>4.2238711161850222E-3</v>
      </c>
    </row>
    <row r="116" spans="2:9">
      <c r="B116" s="26">
        <f>Estimation_1516!F117</f>
        <v>1.3795484502553051E-2</v>
      </c>
      <c r="D116" s="26">
        <v>-2.0869970315527248E-2</v>
      </c>
      <c r="F116" s="28">
        <v>-4.9334091179557768E-3</v>
      </c>
      <c r="G116" s="30">
        <f t="shared" si="2"/>
        <v>4.9334091179557768E-3</v>
      </c>
      <c r="I116" s="26">
        <v>4.2757160605790224E-3</v>
      </c>
    </row>
    <row r="117" spans="2:9">
      <c r="B117" s="25">
        <f>Estimation_1516!F118</f>
        <v>-1.8542328858772581E-2</v>
      </c>
      <c r="D117" s="25">
        <v>-2.0747632194248543E-2</v>
      </c>
      <c r="F117" s="27">
        <v>-4.951619390193303E-3</v>
      </c>
      <c r="G117" s="29">
        <f t="shared" si="2"/>
        <v>4.951619390193303E-3</v>
      </c>
      <c r="I117" s="25">
        <v>4.3136717636885497E-3</v>
      </c>
    </row>
    <row r="118" spans="2:9">
      <c r="B118" s="26">
        <f>Estimation_1516!F119</f>
        <v>2.0597329630105622E-3</v>
      </c>
      <c r="D118" s="26">
        <v>-2.0717872503747143E-2</v>
      </c>
      <c r="F118" s="28">
        <v>-4.9529571288486427E-3</v>
      </c>
      <c r="G118" s="30">
        <f t="shared" si="2"/>
        <v>4.9529571288486427E-3</v>
      </c>
      <c r="I118" s="26">
        <v>4.3321367391347372E-3</v>
      </c>
    </row>
    <row r="119" spans="2:9">
      <c r="B119" s="25">
        <f>Estimation_1516!F120</f>
        <v>1.8659890690585445E-2</v>
      </c>
      <c r="D119" s="25">
        <v>-2.0704673361691166E-2</v>
      </c>
      <c r="F119" s="27">
        <v>-4.9875415110391622E-3</v>
      </c>
      <c r="G119" s="29">
        <f t="shared" si="2"/>
        <v>4.9875415110391622E-3</v>
      </c>
      <c r="I119" s="25">
        <v>4.4291410988994539E-3</v>
      </c>
    </row>
    <row r="120" spans="2:9">
      <c r="B120" s="26">
        <f>Estimation_1516!F121</f>
        <v>4.3323136232435201E-2</v>
      </c>
      <c r="D120" s="26">
        <v>-2.0654511719002643E-2</v>
      </c>
      <c r="F120" s="28">
        <v>-4.9932886539906475E-3</v>
      </c>
      <c r="G120" s="30">
        <f t="shared" si="2"/>
        <v>4.9932886539906475E-3</v>
      </c>
      <c r="I120" s="26">
        <v>4.4411619999678359E-3</v>
      </c>
    </row>
    <row r="121" spans="2:9">
      <c r="B121" s="25">
        <f>Estimation_1516!F122</f>
        <v>1.0212476828740437E-2</v>
      </c>
      <c r="D121" s="25">
        <v>-2.0539874854073801E-2</v>
      </c>
      <c r="F121" s="27">
        <v>-5.0062682781443057E-3</v>
      </c>
      <c r="G121" s="29">
        <f t="shared" si="2"/>
        <v>5.0062682781443057E-3</v>
      </c>
      <c r="I121" s="25">
        <v>4.5014705766490345E-3</v>
      </c>
    </row>
    <row r="122" spans="2:9">
      <c r="B122" s="26">
        <f>Estimation_1516!F123</f>
        <v>-6.9449854321001498E-3</v>
      </c>
      <c r="D122" s="26">
        <v>-2.0465433947666613E-2</v>
      </c>
      <c r="F122" s="28">
        <v>-5.0206309513522139E-3</v>
      </c>
      <c r="G122" s="30">
        <f t="shared" si="2"/>
        <v>5.0206309513522139E-3</v>
      </c>
      <c r="I122" s="26">
        <v>4.5115467812661047E-3</v>
      </c>
    </row>
    <row r="123" spans="2:9">
      <c r="B123" s="25">
        <f>Estimation_1516!F124</f>
        <v>3.5524016043679218E-3</v>
      </c>
      <c r="D123" s="25">
        <v>-2.016936725442962E-2</v>
      </c>
      <c r="F123" s="27">
        <v>-5.0815616273252907E-3</v>
      </c>
      <c r="G123" s="29">
        <f t="shared" si="2"/>
        <v>5.0815616273252907E-3</v>
      </c>
      <c r="I123" s="25">
        <v>4.5134068155465064E-3</v>
      </c>
    </row>
    <row r="124" spans="2:9">
      <c r="B124" s="26">
        <f>Estimation_1516!F125</f>
        <v>4.2757160605790224E-3</v>
      </c>
      <c r="D124" s="26">
        <v>-2.0061728217437423E-2</v>
      </c>
      <c r="F124" s="28">
        <v>-5.1043497704143176E-3</v>
      </c>
      <c r="G124" s="30">
        <f t="shared" si="2"/>
        <v>5.1043497704143176E-3</v>
      </c>
      <c r="I124" s="26">
        <v>4.5330993309847358E-3</v>
      </c>
    </row>
    <row r="125" spans="2:9">
      <c r="B125" s="25">
        <f>Estimation_1516!F126</f>
        <v>-4.9459801302652678E-2</v>
      </c>
      <c r="D125" s="25">
        <v>-1.9986389762506419E-2</v>
      </c>
      <c r="F125" s="27">
        <v>-5.1198622427568157E-3</v>
      </c>
      <c r="G125" s="29">
        <f t="shared" si="2"/>
        <v>5.1198622427568157E-3</v>
      </c>
      <c r="I125" s="25">
        <v>4.5390148851628025E-3</v>
      </c>
    </row>
    <row r="126" spans="2:9">
      <c r="B126" s="26">
        <f>Estimation_1516!F127</f>
        <v>-2.1665127632426086E-3</v>
      </c>
      <c r="D126" s="26">
        <v>-1.9956316383459287E-2</v>
      </c>
      <c r="F126" s="28">
        <v>-5.1864553351799094E-3</v>
      </c>
      <c r="G126" s="30">
        <f t="shared" si="2"/>
        <v>5.1864553351799094E-3</v>
      </c>
      <c r="I126" s="26">
        <v>4.5508120908411276E-3</v>
      </c>
    </row>
    <row r="127" spans="2:9">
      <c r="B127" s="25">
        <f>Estimation_1516!F128</f>
        <v>1.4762685451133449E-2</v>
      </c>
      <c r="D127" s="25">
        <v>-1.9900211340515186E-2</v>
      </c>
      <c r="F127" s="27">
        <v>-5.2157538819677602E-3</v>
      </c>
      <c r="G127" s="29">
        <f t="shared" si="2"/>
        <v>5.2157538819677602E-3</v>
      </c>
      <c r="I127" s="25">
        <v>4.596596940551206E-3</v>
      </c>
    </row>
    <row r="128" spans="2:9">
      <c r="B128" s="26">
        <f>Estimation_1516!F129</f>
        <v>-1.7089169633477071E-2</v>
      </c>
      <c r="D128" s="26">
        <v>-1.9763489118839635E-2</v>
      </c>
      <c r="F128" s="28">
        <v>-5.3302726504398613E-3</v>
      </c>
      <c r="G128" s="30">
        <f t="shared" si="2"/>
        <v>5.3302726504398613E-3</v>
      </c>
      <c r="I128" s="26">
        <v>4.6104277147825598E-3</v>
      </c>
    </row>
    <row r="129" spans="2:9">
      <c r="B129" s="25">
        <f>Estimation_1516!F130</f>
        <v>-9.2037152300524037E-3</v>
      </c>
      <c r="D129" s="25">
        <v>-1.9685144210938782E-2</v>
      </c>
      <c r="F129" s="27">
        <v>-5.5135755503852987E-3</v>
      </c>
      <c r="G129" s="29">
        <f t="shared" si="2"/>
        <v>5.5135755503852987E-3</v>
      </c>
      <c r="I129" s="25">
        <v>4.7596472529879133E-3</v>
      </c>
    </row>
    <row r="130" spans="2:9">
      <c r="B130" s="26">
        <f>Estimation_1516!F131</f>
        <v>-3.9803863876642191E-2</v>
      </c>
      <c r="D130" s="26">
        <v>-1.9599602221885913E-2</v>
      </c>
      <c r="F130" s="28">
        <v>-5.5573859931593479E-3</v>
      </c>
      <c r="G130" s="30">
        <f t="shared" si="2"/>
        <v>5.5573859931593479E-3</v>
      </c>
      <c r="I130" s="26">
        <v>4.8226066599311593E-3</v>
      </c>
    </row>
    <row r="131" spans="2:9">
      <c r="B131" s="25">
        <f>Estimation_1516!F132</f>
        <v>-1.795479140634779E-3</v>
      </c>
      <c r="D131" s="25">
        <v>-1.9490871888038733E-2</v>
      </c>
      <c r="F131" s="27">
        <v>-5.558205863656053E-3</v>
      </c>
      <c r="G131" s="29">
        <f t="shared" si="2"/>
        <v>5.558205863656053E-3</v>
      </c>
      <c r="I131" s="25">
        <v>4.8362371686446592E-3</v>
      </c>
    </row>
    <row r="132" spans="2:9">
      <c r="B132" s="26">
        <f>Estimation_1516!F133</f>
        <v>8.1354174699969327E-3</v>
      </c>
      <c r="D132" s="26">
        <v>-1.9450460365416533E-2</v>
      </c>
      <c r="F132" s="28">
        <v>-5.6321476878698797E-3</v>
      </c>
      <c r="G132" s="30">
        <f t="shared" ref="G132:G195" si="3">-1*F132</f>
        <v>5.6321476878698797E-3</v>
      </c>
      <c r="I132" s="26">
        <v>4.8596207947779919E-3</v>
      </c>
    </row>
    <row r="133" spans="2:9">
      <c r="B133" s="25">
        <f>Estimation_1516!F134</f>
        <v>4.8242136476458912E-2</v>
      </c>
      <c r="D133" s="25">
        <v>-1.9257816604414647E-2</v>
      </c>
      <c r="F133" s="27">
        <v>-5.6629475478278809E-3</v>
      </c>
      <c r="G133" s="29">
        <f t="shared" si="3"/>
        <v>5.6629475478278809E-3</v>
      </c>
      <c r="I133" s="25">
        <v>4.872374854722963E-3</v>
      </c>
    </row>
    <row r="134" spans="2:9">
      <c r="B134" s="26">
        <f>Estimation_1516!F135</f>
        <v>3.6389703399905798E-2</v>
      </c>
      <c r="D134" s="26">
        <v>-1.9100672523433389E-2</v>
      </c>
      <c r="F134" s="28">
        <v>-5.7005197122997221E-3</v>
      </c>
      <c r="G134" s="30">
        <f t="shared" si="3"/>
        <v>5.7005197122997221E-3</v>
      </c>
      <c r="I134" s="26">
        <v>4.917132597399885E-3</v>
      </c>
    </row>
    <row r="135" spans="2:9">
      <c r="B135" s="25">
        <f>Estimation_1516!F136</f>
        <v>2.7028672387919419E-2</v>
      </c>
      <c r="D135" s="25">
        <v>-1.907214888336763E-2</v>
      </c>
      <c r="F135" s="27">
        <v>-5.7211839281998958E-3</v>
      </c>
      <c r="G135" s="29">
        <f t="shared" si="3"/>
        <v>5.7211839281998958E-3</v>
      </c>
      <c r="I135" s="25">
        <v>4.9859872691632922E-3</v>
      </c>
    </row>
    <row r="136" spans="2:9">
      <c r="B136" s="26">
        <f>Estimation_1516!F137</f>
        <v>1.3034979034439755E-3</v>
      </c>
      <c r="D136" s="26">
        <v>-1.9012425753678869E-2</v>
      </c>
      <c r="F136" s="28">
        <v>-5.7358106707323464E-3</v>
      </c>
      <c r="G136" s="30">
        <f t="shared" si="3"/>
        <v>5.7358106707323464E-3</v>
      </c>
      <c r="I136" s="26">
        <v>5.0000104167058392E-3</v>
      </c>
    </row>
    <row r="137" spans="2:9">
      <c r="B137" s="25">
        <f>Estimation_1516!F138</f>
        <v>1.151257498833424E-2</v>
      </c>
      <c r="D137" s="25">
        <v>-1.8832948333092125E-2</v>
      </c>
      <c r="F137" s="27">
        <v>-5.800174446878084E-3</v>
      </c>
      <c r="G137" s="29">
        <f t="shared" si="3"/>
        <v>5.800174446878084E-3</v>
      </c>
      <c r="I137" s="25">
        <v>5.0537062707669382E-3</v>
      </c>
    </row>
    <row r="138" spans="2:9">
      <c r="B138" s="26">
        <f>Estimation_1516!F139</f>
        <v>5.8492213275816518E-3</v>
      </c>
      <c r="D138" s="26">
        <v>-1.8810348683141378E-2</v>
      </c>
      <c r="F138" s="28">
        <v>-5.8952630868182856E-3</v>
      </c>
      <c r="G138" s="30">
        <f t="shared" si="3"/>
        <v>5.8952630868182856E-3</v>
      </c>
      <c r="I138" s="26">
        <v>5.1705560944846551E-3</v>
      </c>
    </row>
    <row r="139" spans="2:9">
      <c r="B139" s="25">
        <f>Estimation_1516!F140</f>
        <v>2.4152885223117895E-3</v>
      </c>
      <c r="D139" s="25">
        <v>-1.8742664349171999E-2</v>
      </c>
      <c r="F139" s="27">
        <v>-5.9576135559648961E-3</v>
      </c>
      <c r="G139" s="29">
        <f t="shared" si="3"/>
        <v>5.9576135559648961E-3</v>
      </c>
      <c r="I139" s="25">
        <v>5.1948168771041511E-3</v>
      </c>
    </row>
    <row r="140" spans="2:9">
      <c r="B140" s="26">
        <f>Estimation_1516!F141</f>
        <v>1.3250828222087663E-2</v>
      </c>
      <c r="D140" s="26">
        <v>-1.8737326666971039E-2</v>
      </c>
      <c r="F140" s="28">
        <v>-5.9600006138146745E-3</v>
      </c>
      <c r="G140" s="30">
        <f t="shared" si="3"/>
        <v>5.9600006138146745E-3</v>
      </c>
      <c r="I140" s="26">
        <v>5.2113609546629814E-3</v>
      </c>
    </row>
    <row r="141" spans="2:9">
      <c r="B141" s="25">
        <f>Estimation_1516!F142</f>
        <v>-8.4376818973359476E-3</v>
      </c>
      <c r="D141" s="25">
        <v>-1.871519920058131E-2</v>
      </c>
      <c r="F141" s="27">
        <v>-5.9650794684750165E-3</v>
      </c>
      <c r="G141" s="29">
        <f t="shared" si="3"/>
        <v>5.9650794684750165E-3</v>
      </c>
      <c r="I141" s="25">
        <v>5.2932762540419858E-3</v>
      </c>
    </row>
    <row r="142" spans="2:9">
      <c r="B142" s="26">
        <f>Estimation_1516!F143</f>
        <v>-7.0636437209816805E-4</v>
      </c>
      <c r="D142" s="26">
        <v>-1.865943350427722E-2</v>
      </c>
      <c r="F142" s="28">
        <v>-5.9729822344497347E-3</v>
      </c>
      <c r="G142" s="30">
        <f t="shared" si="3"/>
        <v>5.9729822344497347E-3</v>
      </c>
      <c r="I142" s="26">
        <v>5.3069938811259841E-3</v>
      </c>
    </row>
    <row r="143" spans="2:9">
      <c r="B143" s="25">
        <f>Estimation_1516!F144</f>
        <v>-3.2557180714966254E-3</v>
      </c>
      <c r="D143" s="25">
        <v>-1.8542328858772581E-2</v>
      </c>
      <c r="F143" s="27">
        <v>-5.982071677547429E-3</v>
      </c>
      <c r="G143" s="29">
        <f t="shared" si="3"/>
        <v>5.982071677547429E-3</v>
      </c>
      <c r="I143" s="25">
        <v>5.3575905406848161E-3</v>
      </c>
    </row>
    <row r="144" spans="2:9">
      <c r="B144" s="26">
        <f>Estimation_1516!F145</f>
        <v>-8.5434095043123177E-3</v>
      </c>
      <c r="D144" s="26">
        <v>-1.8469166769037215E-2</v>
      </c>
      <c r="F144" s="28">
        <v>-6.0774397655078945E-3</v>
      </c>
      <c r="G144" s="30">
        <f t="shared" si="3"/>
        <v>6.0774397655078945E-3</v>
      </c>
      <c r="I144" s="26">
        <v>5.4551788880382278E-3</v>
      </c>
    </row>
    <row r="145" spans="2:9">
      <c r="B145" s="25">
        <f>Estimation_1516!F146</f>
        <v>-3.2260862218221553E-2</v>
      </c>
      <c r="D145" s="25">
        <v>-1.8327301031027962E-2</v>
      </c>
      <c r="F145" s="27">
        <v>-6.1037829380176873E-3</v>
      </c>
      <c r="G145" s="29">
        <f t="shared" si="3"/>
        <v>6.1037829380176873E-3</v>
      </c>
      <c r="I145" s="25">
        <v>5.4851011707553032E-3</v>
      </c>
    </row>
    <row r="146" spans="2:9">
      <c r="B146" s="26">
        <f>Estimation_1516!F147</f>
        <v>1.0577445466852266E-2</v>
      </c>
      <c r="D146" s="26">
        <v>-1.8118261101543878E-2</v>
      </c>
      <c r="F146" s="28">
        <v>-6.1511617499537393E-3</v>
      </c>
      <c r="G146" s="30">
        <f t="shared" si="3"/>
        <v>6.1511617499537393E-3</v>
      </c>
      <c r="I146" s="26">
        <v>5.5487195383505314E-3</v>
      </c>
    </row>
    <row r="147" spans="2:9">
      <c r="B147" s="25">
        <f>Estimation_1516!F148</f>
        <v>-4.5404691699187953E-3</v>
      </c>
      <c r="D147" s="25">
        <v>-1.808919325526925E-2</v>
      </c>
      <c r="F147" s="27">
        <v>-6.1792163659580082E-3</v>
      </c>
      <c r="G147" s="29">
        <f t="shared" si="3"/>
        <v>6.1792163659580082E-3</v>
      </c>
      <c r="I147" s="25">
        <v>5.6022555486697516E-3</v>
      </c>
    </row>
    <row r="148" spans="2:9">
      <c r="B148" s="26">
        <f>Estimation_1516!F149</f>
        <v>-4.2891564629312984E-2</v>
      </c>
      <c r="D148" s="26">
        <v>-1.7669947323449411E-2</v>
      </c>
      <c r="F148" s="28">
        <v>-6.22442632065785E-3</v>
      </c>
      <c r="G148" s="30">
        <f t="shared" si="3"/>
        <v>6.22442632065785E-3</v>
      </c>
      <c r="I148" s="26">
        <v>5.6235424436492949E-3</v>
      </c>
    </row>
    <row r="149" spans="2:9">
      <c r="B149" s="25">
        <f>Estimation_1516!F150</f>
        <v>2.4969141629551089E-2</v>
      </c>
      <c r="D149" s="25">
        <v>-1.7621601349819559E-2</v>
      </c>
      <c r="F149" s="27">
        <v>-6.3639208125575632E-3</v>
      </c>
      <c r="G149" s="29">
        <f t="shared" si="3"/>
        <v>6.3639208125575632E-3</v>
      </c>
      <c r="I149" s="25">
        <v>5.6338177182560642E-3</v>
      </c>
    </row>
    <row r="150" spans="2:9">
      <c r="B150" s="26">
        <f>Estimation_1516!F151</f>
        <v>9.5196316114822405E-3</v>
      </c>
      <c r="D150" s="26">
        <v>-1.7570483512238971E-2</v>
      </c>
      <c r="F150" s="28">
        <v>-6.371702972692783E-3</v>
      </c>
      <c r="G150" s="30">
        <f t="shared" si="3"/>
        <v>6.371702972692783E-3</v>
      </c>
      <c r="I150" s="26">
        <v>5.6727927983742481E-3</v>
      </c>
    </row>
    <row r="151" spans="2:9">
      <c r="B151" s="25">
        <f>Estimation_1516!F152</f>
        <v>-1.5515752109878092E-2</v>
      </c>
      <c r="D151" s="25">
        <v>-1.750664033821064E-2</v>
      </c>
      <c r="F151" s="27">
        <v>-6.4500347654822925E-3</v>
      </c>
      <c r="G151" s="29">
        <f t="shared" si="3"/>
        <v>6.4500347654822925E-3</v>
      </c>
      <c r="I151" s="25">
        <v>5.7079197035940481E-3</v>
      </c>
    </row>
    <row r="152" spans="2:9">
      <c r="B152" s="26">
        <f>Estimation_1516!F153</f>
        <v>4.0513222191787242E-3</v>
      </c>
      <c r="D152" s="26">
        <v>-1.7450485038669705E-2</v>
      </c>
      <c r="F152" s="28">
        <v>-6.4911875958277472E-3</v>
      </c>
      <c r="G152" s="30">
        <f t="shared" si="3"/>
        <v>6.4911875958277472E-3</v>
      </c>
      <c r="I152" s="26">
        <v>5.716261135067219E-3</v>
      </c>
    </row>
    <row r="153" spans="2:9">
      <c r="B153" s="25">
        <f>Estimation_1516!F154</f>
        <v>-5.1043497704143176E-3</v>
      </c>
      <c r="D153" s="25">
        <v>-1.7432556777568067E-2</v>
      </c>
      <c r="F153" s="27">
        <v>-6.580826607653625E-3</v>
      </c>
      <c r="G153" s="29">
        <f t="shared" si="3"/>
        <v>6.580826607653625E-3</v>
      </c>
      <c r="I153" s="25">
        <v>5.8492213275816518E-3</v>
      </c>
    </row>
    <row r="154" spans="2:9">
      <c r="B154" s="26">
        <f>Estimation_1516!F155</f>
        <v>-3.9919331603540817E-2</v>
      </c>
      <c r="D154" s="26">
        <v>-1.7236302872325512E-2</v>
      </c>
      <c r="F154" s="28">
        <v>-6.7039357221903295E-3</v>
      </c>
      <c r="G154" s="30">
        <f t="shared" si="3"/>
        <v>6.7039357221903295E-3</v>
      </c>
      <c r="I154" s="26">
        <v>5.9815295253496173E-3</v>
      </c>
    </row>
    <row r="155" spans="2:9">
      <c r="B155" s="25">
        <f>Estimation_1516!F156</f>
        <v>5.0000104167058392E-3</v>
      </c>
      <c r="D155" s="25">
        <v>-1.7205261716127362E-2</v>
      </c>
      <c r="F155" s="27">
        <v>-6.7397053769132778E-3</v>
      </c>
      <c r="G155" s="29">
        <f t="shared" si="3"/>
        <v>6.7397053769132778E-3</v>
      </c>
      <c r="I155" s="25">
        <v>5.9880418446226933E-3</v>
      </c>
    </row>
    <row r="156" spans="2:9">
      <c r="B156" s="26">
        <f>Estimation_1516!F157</f>
        <v>-2.1844290165421291E-3</v>
      </c>
      <c r="D156" s="26">
        <v>-1.7178336535084403E-2</v>
      </c>
      <c r="F156" s="28">
        <v>-6.7443541972751972E-3</v>
      </c>
      <c r="G156" s="30">
        <f t="shared" si="3"/>
        <v>6.7443541972751972E-3</v>
      </c>
      <c r="I156" s="26">
        <v>6.0082110643770916E-3</v>
      </c>
    </row>
    <row r="157" spans="2:9">
      <c r="B157" s="25">
        <f>Estimation_1516!F158</f>
        <v>-2.6913132979224201E-2</v>
      </c>
      <c r="D157" s="25">
        <v>-1.7089169633477071E-2</v>
      </c>
      <c r="F157" s="27">
        <v>-6.7648123414403936E-3</v>
      </c>
      <c r="G157" s="29">
        <f t="shared" si="3"/>
        <v>6.7648123414403936E-3</v>
      </c>
      <c r="I157" s="25">
        <v>6.0200850709378239E-3</v>
      </c>
    </row>
    <row r="158" spans="2:9">
      <c r="B158" s="26">
        <f>Estimation_1516!F159</f>
        <v>2.8785792702515876E-2</v>
      </c>
      <c r="D158" s="26">
        <v>-1.7046993582393779E-2</v>
      </c>
      <c r="F158" s="28">
        <v>-6.8789406101607414E-3</v>
      </c>
      <c r="G158" s="30">
        <f t="shared" si="3"/>
        <v>6.8789406101607414E-3</v>
      </c>
      <c r="I158" s="26">
        <v>6.0868360281233292E-3</v>
      </c>
    </row>
    <row r="159" spans="2:9">
      <c r="B159" s="25">
        <f>Estimation_1516!F160</f>
        <v>-1.5872101885474589E-2</v>
      </c>
      <c r="D159" s="25">
        <v>-1.6966565892196025E-2</v>
      </c>
      <c r="F159" s="27">
        <v>-6.8789406101607414E-3</v>
      </c>
      <c r="G159" s="29">
        <f t="shared" si="3"/>
        <v>6.8789406101607414E-3</v>
      </c>
      <c r="I159" s="25">
        <v>6.0906827108348979E-3</v>
      </c>
    </row>
    <row r="160" spans="2:9">
      <c r="B160" s="26">
        <f>Estimation_1516!F161</f>
        <v>-3.8089238241222957E-3</v>
      </c>
      <c r="D160" s="26">
        <v>-1.680711831638106E-2</v>
      </c>
      <c r="F160" s="28">
        <v>-6.9092520356866952E-3</v>
      </c>
      <c r="G160" s="30">
        <f t="shared" si="3"/>
        <v>6.9092520356866952E-3</v>
      </c>
      <c r="I160" s="26">
        <v>6.1610874074239479E-3</v>
      </c>
    </row>
    <row r="161" spans="2:9">
      <c r="B161" s="25">
        <f>Estimation_1516!F162</f>
        <v>4.917132597399885E-3</v>
      </c>
      <c r="D161" s="25">
        <v>-1.6798731833713953E-2</v>
      </c>
      <c r="F161" s="27">
        <v>-6.9204428445737952E-3</v>
      </c>
      <c r="G161" s="29">
        <f t="shared" si="3"/>
        <v>6.9204428445737952E-3</v>
      </c>
      <c r="I161" s="25">
        <v>6.1665149156639584E-3</v>
      </c>
    </row>
    <row r="162" spans="2:9">
      <c r="B162" s="26">
        <f>Estimation_1516!F163</f>
        <v>-1.7236302872325512E-2</v>
      </c>
      <c r="D162" s="26">
        <v>-1.6794287851725813E-2</v>
      </c>
      <c r="F162" s="28">
        <v>-6.9341535889989635E-3</v>
      </c>
      <c r="G162" s="30">
        <f t="shared" si="3"/>
        <v>6.9341535889989635E-3</v>
      </c>
      <c r="I162" s="26">
        <v>6.2104857464621022E-3</v>
      </c>
    </row>
    <row r="163" spans="2:9">
      <c r="B163" s="25">
        <f>Estimation_1516!F164</f>
        <v>-5.4246102547249465E-2</v>
      </c>
      <c r="D163" s="25">
        <v>-1.6743572361286884E-2</v>
      </c>
      <c r="F163" s="27">
        <v>-6.938912282272244E-3</v>
      </c>
      <c r="G163" s="29">
        <f t="shared" si="3"/>
        <v>6.938912282272244E-3</v>
      </c>
      <c r="I163" s="25">
        <v>6.2296030682608408E-3</v>
      </c>
    </row>
    <row r="164" spans="2:9">
      <c r="B164" s="26">
        <f>Estimation_1516!F165</f>
        <v>-5.4303294151791796E-2</v>
      </c>
      <c r="D164" s="26">
        <v>-1.6700647298175646E-2</v>
      </c>
      <c r="F164" s="28">
        <v>-6.9449854321001498E-3</v>
      </c>
      <c r="G164" s="30">
        <f t="shared" si="3"/>
        <v>6.9449854321001498E-3</v>
      </c>
      <c r="I164" s="26">
        <v>6.2837959689926639E-3</v>
      </c>
    </row>
    <row r="165" spans="2:9">
      <c r="B165" s="25">
        <f>Estimation_1516!F166</f>
        <v>-3.0609057496227679E-2</v>
      </c>
      <c r="D165" s="25">
        <v>-1.6618812129966656E-2</v>
      </c>
      <c r="F165" s="27">
        <v>-6.958128209466838E-3</v>
      </c>
      <c r="G165" s="29">
        <f t="shared" si="3"/>
        <v>6.958128209466838E-3</v>
      </c>
      <c r="I165" s="25">
        <v>6.3069585376836212E-3</v>
      </c>
    </row>
    <row r="166" spans="2:9">
      <c r="B166" s="26">
        <f>Estimation_1516!F167</f>
        <v>6.2744591082674259E-2</v>
      </c>
      <c r="D166" s="26">
        <v>-1.654069413275645E-2</v>
      </c>
      <c r="F166" s="28">
        <v>-6.9789857126056542E-3</v>
      </c>
      <c r="G166" s="30">
        <f t="shared" si="3"/>
        <v>6.9789857126056542E-3</v>
      </c>
      <c r="I166" s="26">
        <v>6.3262750528773806E-3</v>
      </c>
    </row>
    <row r="167" spans="2:9">
      <c r="B167" s="25">
        <f>Estimation_1516!F168</f>
        <v>-2.3025887665482206E-2</v>
      </c>
      <c r="D167" s="25">
        <v>-1.6523094645832827E-2</v>
      </c>
      <c r="F167" s="27">
        <v>-6.9969814860813984E-3</v>
      </c>
      <c r="G167" s="29">
        <f t="shared" si="3"/>
        <v>6.9969814860813984E-3</v>
      </c>
      <c r="I167" s="25">
        <v>6.4002599963025432E-3</v>
      </c>
    </row>
    <row r="168" spans="2:9">
      <c r="B168" s="26">
        <f>Estimation_1516!F169</f>
        <v>3.0297387849232048E-2</v>
      </c>
      <c r="D168" s="26">
        <v>-1.6296507922988892E-2</v>
      </c>
      <c r="F168" s="28">
        <v>-7.0373267205762037E-3</v>
      </c>
      <c r="G168" s="30">
        <f t="shared" si="3"/>
        <v>7.0373267205762037E-3</v>
      </c>
      <c r="I168" s="26">
        <v>6.4091971799019537E-3</v>
      </c>
    </row>
    <row r="169" spans="2:9">
      <c r="B169" s="25">
        <f>Estimation_1516!F170</f>
        <v>-1.3721448457475685E-2</v>
      </c>
      <c r="D169" s="25">
        <v>-1.6087106983832422E-2</v>
      </c>
      <c r="F169" s="27">
        <v>-7.041204661105362E-3</v>
      </c>
      <c r="G169" s="29">
        <f t="shared" si="3"/>
        <v>7.041204661105362E-3</v>
      </c>
      <c r="I169" s="25">
        <v>6.446742084683774E-3</v>
      </c>
    </row>
    <row r="170" spans="2:9">
      <c r="B170" s="26">
        <f>Estimation_1516!F171</f>
        <v>-1.0195201685028465E-2</v>
      </c>
      <c r="D170" s="26">
        <v>-1.6077130927668264E-2</v>
      </c>
      <c r="F170" s="28">
        <v>-7.0611788943451739E-3</v>
      </c>
      <c r="G170" s="30">
        <f t="shared" si="3"/>
        <v>7.0611788943451739E-3</v>
      </c>
      <c r="I170" s="26">
        <v>6.4905188446637051E-3</v>
      </c>
    </row>
    <row r="171" spans="2:9">
      <c r="B171" s="25">
        <f>Estimation_1516!F172</f>
        <v>-1.9986389762506419E-2</v>
      </c>
      <c r="D171" s="25">
        <v>-1.6031967399986545E-2</v>
      </c>
      <c r="F171" s="27">
        <v>-7.1631774735696086E-3</v>
      </c>
      <c r="G171" s="29">
        <f t="shared" si="3"/>
        <v>7.1631774735696086E-3</v>
      </c>
      <c r="I171" s="25">
        <v>6.5040879691764825E-3</v>
      </c>
    </row>
    <row r="172" spans="2:9">
      <c r="B172" s="26">
        <f>Estimation_1516!F173</f>
        <v>-3.9732759513603898E-3</v>
      </c>
      <c r="D172" s="26">
        <v>-1.5991618273476938E-2</v>
      </c>
      <c r="F172" s="28">
        <v>-7.168489478612516E-3</v>
      </c>
      <c r="G172" s="30">
        <f t="shared" si="3"/>
        <v>7.168489478612516E-3</v>
      </c>
      <c r="I172" s="26">
        <v>6.5555315287669797E-3</v>
      </c>
    </row>
    <row r="173" spans="2:9">
      <c r="B173" s="25">
        <f>Estimation_1516!F174</f>
        <v>3.6600283464700636E-2</v>
      </c>
      <c r="D173" s="25">
        <v>-1.5960670416797291E-2</v>
      </c>
      <c r="F173" s="27">
        <v>-7.1837478020282137E-3</v>
      </c>
      <c r="G173" s="29">
        <f t="shared" si="3"/>
        <v>7.1837478020282137E-3</v>
      </c>
      <c r="I173" s="25">
        <v>6.6575534720564444E-3</v>
      </c>
    </row>
    <row r="174" spans="2:9">
      <c r="B174" s="26">
        <f>Estimation_1516!F175</f>
        <v>-2.6696538159628889E-2</v>
      </c>
      <c r="D174" s="26">
        <v>-1.5885472278721745E-2</v>
      </c>
      <c r="F174" s="28">
        <v>-7.1942756340270851E-3</v>
      </c>
      <c r="G174" s="30">
        <f t="shared" si="3"/>
        <v>7.1942756340270851E-3</v>
      </c>
      <c r="I174" s="26">
        <v>6.7685248799824061E-3</v>
      </c>
    </row>
    <row r="175" spans="2:9">
      <c r="B175" s="25">
        <f>Estimation_1516!F176</f>
        <v>-2.3320487741781493E-3</v>
      </c>
      <c r="D175" s="25">
        <v>-1.5872101885474589E-2</v>
      </c>
      <c r="F175" s="27">
        <v>-7.2034702100631249E-3</v>
      </c>
      <c r="G175" s="29">
        <f t="shared" si="3"/>
        <v>7.2034702100631249E-3</v>
      </c>
      <c r="I175" s="25">
        <v>6.788892333686348E-3</v>
      </c>
    </row>
    <row r="176" spans="2:9">
      <c r="B176" s="26">
        <f>Estimation_1516!F177</f>
        <v>5.1948168771041511E-3</v>
      </c>
      <c r="D176" s="26">
        <v>-1.5860760722542919E-2</v>
      </c>
      <c r="F176" s="28">
        <v>-7.2089326458573411E-3</v>
      </c>
      <c r="G176" s="30">
        <f t="shared" si="3"/>
        <v>7.2089326458573411E-3</v>
      </c>
      <c r="I176" s="26">
        <v>6.8085369396535256E-3</v>
      </c>
    </row>
    <row r="177" spans="2:9">
      <c r="B177" s="25">
        <f>Estimation_1516!F178</f>
        <v>1.2498885655380626E-3</v>
      </c>
      <c r="D177" s="25">
        <v>-1.5813640352453064E-2</v>
      </c>
      <c r="F177" s="27">
        <v>-7.2778002741560885E-3</v>
      </c>
      <c r="G177" s="29">
        <f t="shared" si="3"/>
        <v>7.2778002741560885E-3</v>
      </c>
      <c r="I177" s="25">
        <v>6.8914130413317157E-3</v>
      </c>
    </row>
    <row r="178" spans="2:9">
      <c r="B178" s="26">
        <f>Estimation_1516!F179</f>
        <v>-1.4016401973535883E-2</v>
      </c>
      <c r="D178" s="26">
        <v>-1.570712920535788E-2</v>
      </c>
      <c r="F178" s="28">
        <v>-7.340191349199947E-3</v>
      </c>
      <c r="G178" s="30">
        <f t="shared" si="3"/>
        <v>7.340191349199947E-3</v>
      </c>
      <c r="I178" s="26">
        <v>6.9364439966569484E-3</v>
      </c>
    </row>
    <row r="179" spans="2:9">
      <c r="B179" s="25">
        <f>Estimation_1516!F180</f>
        <v>-1.4215657654013445E-2</v>
      </c>
      <c r="D179" s="25">
        <v>-1.5666116744399237E-2</v>
      </c>
      <c r="F179" s="27">
        <v>-7.3603544062924185E-3</v>
      </c>
      <c r="G179" s="29">
        <f t="shared" si="3"/>
        <v>7.3603544062924185E-3</v>
      </c>
      <c r="I179" s="25">
        <v>6.9611233219113505E-3</v>
      </c>
    </row>
    <row r="180" spans="2:9">
      <c r="B180" s="26">
        <f>Estimation_1516!F181</f>
        <v>-1.3489994833484769E-2</v>
      </c>
      <c r="D180" s="26">
        <v>-1.5586453822425283E-2</v>
      </c>
      <c r="F180" s="28">
        <v>-7.3712255536031437E-3</v>
      </c>
      <c r="G180" s="30">
        <f t="shared" si="3"/>
        <v>7.3712255536031437E-3</v>
      </c>
      <c r="I180" s="26">
        <v>7.0340266573799817E-3</v>
      </c>
    </row>
    <row r="181" spans="2:9">
      <c r="B181" s="25">
        <f>Estimation_1516!F182</f>
        <v>6.4905188446637051E-3</v>
      </c>
      <c r="D181" s="25">
        <v>-1.5568079990102788E-2</v>
      </c>
      <c r="F181" s="27">
        <v>-7.4370264277509833E-3</v>
      </c>
      <c r="G181" s="29">
        <f t="shared" si="3"/>
        <v>7.4370264277509833E-3</v>
      </c>
      <c r="I181" s="25">
        <v>7.0362263555080436E-3</v>
      </c>
    </row>
    <row r="182" spans="2:9">
      <c r="B182" s="26">
        <f>Estimation_1516!F183</f>
        <v>-7.6074214179577436E-3</v>
      </c>
      <c r="D182" s="26">
        <v>-1.5515752109878092E-2</v>
      </c>
      <c r="F182" s="28">
        <v>-7.4976921058008128E-3</v>
      </c>
      <c r="G182" s="30">
        <f t="shared" si="3"/>
        <v>7.4976921058008128E-3</v>
      </c>
      <c r="I182" s="26">
        <v>7.0567772996556971E-3</v>
      </c>
    </row>
    <row r="183" spans="2:9">
      <c r="B183" s="25">
        <f>Estimation_1516!F184</f>
        <v>1.5524244503492171E-2</v>
      </c>
      <c r="D183" s="25">
        <v>-1.5467292293307599E-2</v>
      </c>
      <c r="F183" s="27">
        <v>-7.5338269035526949E-3</v>
      </c>
      <c r="G183" s="29">
        <f t="shared" si="3"/>
        <v>7.5338269035526949E-3</v>
      </c>
      <c r="I183" s="25">
        <v>7.1766740907233577E-3</v>
      </c>
    </row>
    <row r="184" spans="2:9">
      <c r="B184" s="26">
        <f>Estimation_1516!F185</f>
        <v>-3.6415189636235135E-2</v>
      </c>
      <c r="D184" s="26">
        <v>-1.5275514303944419E-2</v>
      </c>
      <c r="F184" s="28">
        <v>-7.5537837388499774E-3</v>
      </c>
      <c r="G184" s="30">
        <f t="shared" si="3"/>
        <v>7.5537837388499774E-3</v>
      </c>
      <c r="I184" s="26">
        <v>7.2297390163153759E-3</v>
      </c>
    </row>
    <row r="185" spans="2:9">
      <c r="B185" s="25">
        <f>Estimation_1516!F186</f>
        <v>3.2279530544406902E-3</v>
      </c>
      <c r="D185" s="25">
        <v>-1.5227234190429019E-2</v>
      </c>
      <c r="F185" s="27">
        <v>-7.6074214179577436E-3</v>
      </c>
      <c r="G185" s="29">
        <f t="shared" si="3"/>
        <v>7.6074214179577436E-3</v>
      </c>
      <c r="I185" s="25">
        <v>7.2322147385169991E-3</v>
      </c>
    </row>
    <row r="186" spans="2:9">
      <c r="B186" s="26">
        <f>Estimation_1516!F187</f>
        <v>-4.161219606275611E-2</v>
      </c>
      <c r="D186" s="26">
        <v>-1.5177357105334228E-2</v>
      </c>
      <c r="F186" s="28">
        <v>-7.6153237863421106E-3</v>
      </c>
      <c r="G186" s="30">
        <f t="shared" si="3"/>
        <v>7.6153237863421106E-3</v>
      </c>
      <c r="I186" s="26">
        <v>7.2474588863206827E-3</v>
      </c>
    </row>
    <row r="187" spans="2:9">
      <c r="B187" s="25">
        <f>Estimation_1516!F188</f>
        <v>-1.4130994420473778E-2</v>
      </c>
      <c r="D187" s="25">
        <v>-1.5176915822014692E-2</v>
      </c>
      <c r="F187" s="27">
        <v>-7.633624855071095E-3</v>
      </c>
      <c r="G187" s="29">
        <f t="shared" si="3"/>
        <v>7.633624855071095E-3</v>
      </c>
      <c r="I187" s="25">
        <v>7.2987105290294235E-3</v>
      </c>
    </row>
    <row r="188" spans="2:9">
      <c r="B188" s="26">
        <f>Estimation_1516!F189</f>
        <v>1.2548715609344271E-2</v>
      </c>
      <c r="D188" s="26">
        <v>-1.5071207253788467E-2</v>
      </c>
      <c r="F188" s="28">
        <v>-7.6544933605321901E-3</v>
      </c>
      <c r="G188" s="30">
        <f t="shared" si="3"/>
        <v>7.6544933605321901E-3</v>
      </c>
      <c r="I188" s="26">
        <v>7.3200814865058512E-3</v>
      </c>
    </row>
    <row r="189" spans="2:9">
      <c r="B189" s="25">
        <f>Estimation_1516!F190</f>
        <v>3.4244591273730807E-2</v>
      </c>
      <c r="D189" s="25">
        <v>-1.4986043984057161E-2</v>
      </c>
      <c r="F189" s="27">
        <v>-7.6923456231557255E-3</v>
      </c>
      <c r="G189" s="29">
        <f t="shared" si="3"/>
        <v>7.6923456231557255E-3</v>
      </c>
      <c r="I189" s="25">
        <v>7.4349784875179905E-3</v>
      </c>
    </row>
    <row r="190" spans="2:9">
      <c r="B190" s="26">
        <f>Estimation_1516!F191</f>
        <v>-3.5432945543109461E-2</v>
      </c>
      <c r="D190" s="26">
        <v>-1.4973541790162593E-2</v>
      </c>
      <c r="F190" s="28">
        <v>-7.8575095909383004E-3</v>
      </c>
      <c r="G190" s="30">
        <f t="shared" si="3"/>
        <v>7.8575095909383004E-3</v>
      </c>
      <c r="I190" s="26">
        <v>7.4552577327251799E-3</v>
      </c>
    </row>
    <row r="191" spans="2:9">
      <c r="B191" s="25">
        <f>Estimation_1516!F192</f>
        <v>-4.602941256067037E-2</v>
      </c>
      <c r="D191" s="25">
        <v>-1.4929776897524477E-2</v>
      </c>
      <c r="F191" s="27">
        <v>-7.8765707910452305E-3</v>
      </c>
      <c r="G191" s="29">
        <f t="shared" si="3"/>
        <v>7.8765707910452305E-3</v>
      </c>
      <c r="I191" s="25">
        <v>7.5005866754434183E-3</v>
      </c>
    </row>
    <row r="192" spans="2:9">
      <c r="B192" s="26">
        <f>Estimation_1516!F193</f>
        <v>2.4596443900292135E-2</v>
      </c>
      <c r="D192" s="26">
        <v>-1.490081819718893E-2</v>
      </c>
      <c r="F192" s="28">
        <v>-7.8818142022533677E-3</v>
      </c>
      <c r="G192" s="30">
        <f t="shared" si="3"/>
        <v>7.8818142022533677E-3</v>
      </c>
      <c r="I192" s="26">
        <v>7.5545625525403849E-3</v>
      </c>
    </row>
    <row r="193" spans="2:9">
      <c r="B193" s="25">
        <f>Estimation_1516!F194</f>
        <v>-6.7039357221903295E-3</v>
      </c>
      <c r="D193" s="25">
        <v>-1.4876669025443484E-2</v>
      </c>
      <c r="F193" s="27">
        <v>-8.0871358331794652E-3</v>
      </c>
      <c r="G193" s="29">
        <f t="shared" si="3"/>
        <v>8.0871358331794652E-3</v>
      </c>
      <c r="I193" s="25">
        <v>7.6816020179506965E-3</v>
      </c>
    </row>
    <row r="194" spans="2:9">
      <c r="B194" s="26">
        <f>Estimation_1516!F195</f>
        <v>9.9382219456537902E-3</v>
      </c>
      <c r="D194" s="26">
        <v>-1.4682448180063179E-2</v>
      </c>
      <c r="F194" s="28">
        <v>-8.1512122307063114E-3</v>
      </c>
      <c r="G194" s="30">
        <f t="shared" si="3"/>
        <v>8.1512122307063114E-3</v>
      </c>
      <c r="I194" s="26">
        <v>7.6855240848304161E-3</v>
      </c>
    </row>
    <row r="195" spans="2:9">
      <c r="B195" s="25">
        <f>Estimation_1516!F196</f>
        <v>3.0410770388341422E-2</v>
      </c>
      <c r="D195" s="25">
        <v>-1.4589006972109981E-2</v>
      </c>
      <c r="F195" s="27">
        <v>-8.1517930643014037E-3</v>
      </c>
      <c r="G195" s="29">
        <f t="shared" si="3"/>
        <v>8.1517930643014037E-3</v>
      </c>
      <c r="I195" s="25">
        <v>7.7066172775095707E-3</v>
      </c>
    </row>
    <row r="196" spans="2:9">
      <c r="B196" s="26">
        <f>Estimation_1516!F197</f>
        <v>3.9160474003839894E-2</v>
      </c>
      <c r="D196" s="26">
        <v>-1.4544673912411739E-2</v>
      </c>
      <c r="F196" s="28">
        <v>-8.1874462366621562E-3</v>
      </c>
      <c r="G196" s="30">
        <f t="shared" ref="G196:G259" si="4">-1*F196</f>
        <v>8.1874462366621562E-3</v>
      </c>
      <c r="I196" s="26">
        <v>7.715037132953708E-3</v>
      </c>
    </row>
    <row r="197" spans="2:9">
      <c r="B197" s="25">
        <f>Estimation_1516!F198</f>
        <v>4.2387034266653877E-2</v>
      </c>
      <c r="D197" s="25">
        <v>-1.4334458949087362E-2</v>
      </c>
      <c r="F197" s="27">
        <v>-8.1880129939505292E-3</v>
      </c>
      <c r="G197" s="29">
        <f t="shared" si="4"/>
        <v>8.1880129939505292E-3</v>
      </c>
      <c r="I197" s="25">
        <v>7.7410661016004776E-3</v>
      </c>
    </row>
    <row r="198" spans="2:9">
      <c r="B198" s="26">
        <f>Estimation_1516!F199</f>
        <v>1.2195273093818425E-2</v>
      </c>
      <c r="D198" s="26">
        <v>-1.430018033400283E-2</v>
      </c>
      <c r="F198" s="28">
        <v>-8.191731247447322E-3</v>
      </c>
      <c r="G198" s="30">
        <f t="shared" si="4"/>
        <v>8.191731247447322E-3</v>
      </c>
      <c r="I198" s="26">
        <v>7.8165223804328096E-3</v>
      </c>
    </row>
    <row r="199" spans="2:9">
      <c r="B199" s="25">
        <f>Estimation_1516!F200</f>
        <v>1.1343616852054718E-2</v>
      </c>
      <c r="D199" s="25">
        <v>-1.4244187159672902E-2</v>
      </c>
      <c r="F199" s="27">
        <v>-8.2512887106834156E-3</v>
      </c>
      <c r="G199" s="29">
        <f t="shared" si="4"/>
        <v>8.2512887106834156E-3</v>
      </c>
      <c r="I199" s="25">
        <v>7.8335773903693163E-3</v>
      </c>
    </row>
    <row r="200" spans="2:9">
      <c r="B200" s="26">
        <f>Estimation_1516!F201</f>
        <v>-2.263709531356228E-2</v>
      </c>
      <c r="D200" s="26">
        <v>-1.4236193786179525E-2</v>
      </c>
      <c r="F200" s="28">
        <v>-8.2889758189550571E-3</v>
      </c>
      <c r="G200" s="30">
        <f t="shared" si="4"/>
        <v>8.2889758189550571E-3</v>
      </c>
      <c r="I200" s="26">
        <v>7.8940853761856663E-3</v>
      </c>
    </row>
    <row r="201" spans="2:9">
      <c r="B201" s="25">
        <f>Estimation_1516!F202</f>
        <v>-1.5991618273476938E-2</v>
      </c>
      <c r="D201" s="25">
        <v>-1.4215657654013445E-2</v>
      </c>
      <c r="F201" s="27">
        <v>-8.2930675707608339E-3</v>
      </c>
      <c r="G201" s="29">
        <f t="shared" si="4"/>
        <v>8.2930675707608339E-3</v>
      </c>
      <c r="I201" s="25">
        <v>7.9187881524137096E-3</v>
      </c>
    </row>
    <row r="202" spans="2:9">
      <c r="B202" s="26">
        <f>Estimation_1516!F203</f>
        <v>-9.2013899103306433E-3</v>
      </c>
      <c r="D202" s="26">
        <v>-1.4191128519532907E-2</v>
      </c>
      <c r="F202" s="28">
        <v>-8.318526875090871E-3</v>
      </c>
      <c r="G202" s="30">
        <f t="shared" si="4"/>
        <v>8.318526875090871E-3</v>
      </c>
      <c r="I202" s="26">
        <v>7.9425125055852981E-3</v>
      </c>
    </row>
    <row r="203" spans="2:9">
      <c r="B203" s="25">
        <f>Estimation_1516!F204</f>
        <v>1.8470636946871703E-3</v>
      </c>
      <c r="D203" s="25">
        <v>-1.4130994420473778E-2</v>
      </c>
      <c r="F203" s="27">
        <v>-8.3284241064818521E-3</v>
      </c>
      <c r="G203" s="29">
        <f t="shared" si="4"/>
        <v>8.3284241064818521E-3</v>
      </c>
      <c r="I203" s="25">
        <v>8.1067831243780766E-3</v>
      </c>
    </row>
    <row r="204" spans="2:9">
      <c r="B204" s="26">
        <f>Estimation_1516!F205</f>
        <v>1.8466563705026768E-2</v>
      </c>
      <c r="D204" s="26">
        <v>-1.4130583616110646E-2</v>
      </c>
      <c r="F204" s="28">
        <v>-8.4041621159783378E-3</v>
      </c>
      <c r="G204" s="30">
        <f t="shared" si="4"/>
        <v>8.4041621159783378E-3</v>
      </c>
      <c r="I204" s="26">
        <v>8.1354174699969327E-3</v>
      </c>
    </row>
    <row r="205" spans="2:9">
      <c r="B205" s="25">
        <f>Estimation_1516!F206</f>
        <v>-1.9947417984243487E-3</v>
      </c>
      <c r="D205" s="25">
        <v>-1.4110351211373098E-2</v>
      </c>
      <c r="F205" s="27">
        <v>-8.4360210100430932E-3</v>
      </c>
      <c r="G205" s="29">
        <f t="shared" si="4"/>
        <v>8.4360210100430932E-3</v>
      </c>
      <c r="I205" s="25">
        <v>8.2638655368103362E-3</v>
      </c>
    </row>
    <row r="206" spans="2:9">
      <c r="B206" s="26">
        <f>Estimation_1516!F207</f>
        <v>-2.0539874854073801E-2</v>
      </c>
      <c r="D206" s="26">
        <v>-1.404583969017853E-2</v>
      </c>
      <c r="F206" s="28">
        <v>-8.4376818973359476E-3</v>
      </c>
      <c r="G206" s="30">
        <f t="shared" si="4"/>
        <v>8.4376818973359476E-3</v>
      </c>
      <c r="I206" s="26">
        <v>8.3385562550292638E-3</v>
      </c>
    </row>
    <row r="207" spans="2:9">
      <c r="B207" s="25">
        <f>Estimation_1516!F208</f>
        <v>-2.0402492470985695E-3</v>
      </c>
      <c r="D207" s="25">
        <v>-1.4016401973535883E-2</v>
      </c>
      <c r="F207" s="27">
        <v>-8.5339862588647494E-3</v>
      </c>
      <c r="G207" s="29">
        <f t="shared" si="4"/>
        <v>8.5339862588647494E-3</v>
      </c>
      <c r="I207" s="25">
        <v>8.574091461243525E-3</v>
      </c>
    </row>
    <row r="208" spans="2:9">
      <c r="B208" s="26">
        <f>Estimation_1516!F209</f>
        <v>1.529278997522851E-2</v>
      </c>
      <c r="D208" s="26">
        <v>-1.3882684785189472E-2</v>
      </c>
      <c r="F208" s="28">
        <v>-8.5434095043123177E-3</v>
      </c>
      <c r="G208" s="30">
        <f t="shared" si="4"/>
        <v>8.5434095043123177E-3</v>
      </c>
      <c r="I208" s="26">
        <v>8.6004136722094612E-3</v>
      </c>
    </row>
    <row r="209" spans="2:9">
      <c r="B209" s="25">
        <f>Estimation_1516!F210</f>
        <v>3.0433608327284988E-2</v>
      </c>
      <c r="D209" s="25">
        <v>-1.3838095596289544E-2</v>
      </c>
      <c r="F209" s="27">
        <v>-8.6903091919771965E-3</v>
      </c>
      <c r="G209" s="29">
        <f t="shared" si="4"/>
        <v>8.6903091919771965E-3</v>
      </c>
      <c r="I209" s="25">
        <v>8.6119047727788774E-3</v>
      </c>
    </row>
    <row r="210" spans="2:9">
      <c r="B210" s="26">
        <f>Estimation_1516!F211</f>
        <v>-5.5135755503852987E-3</v>
      </c>
      <c r="D210" s="26">
        <v>-1.3778861100169026E-2</v>
      </c>
      <c r="F210" s="28">
        <v>-8.7146521024436645E-3</v>
      </c>
      <c r="G210" s="30">
        <f t="shared" si="4"/>
        <v>8.7146521024436645E-3</v>
      </c>
      <c r="I210" s="26">
        <v>8.6388294875330025E-3</v>
      </c>
    </row>
    <row r="211" spans="2:9">
      <c r="B211" s="25">
        <f>Estimation_1516!F212</f>
        <v>-5.0062682781443057E-3</v>
      </c>
      <c r="D211" s="25">
        <v>-1.3721448457475685E-2</v>
      </c>
      <c r="F211" s="27">
        <v>-8.7250764596288801E-3</v>
      </c>
      <c r="G211" s="29">
        <f t="shared" si="4"/>
        <v>8.7250764596288801E-3</v>
      </c>
      <c r="I211" s="25">
        <v>8.6851336282288659E-3</v>
      </c>
    </row>
    <row r="212" spans="2:9">
      <c r="B212" s="26">
        <f>Estimation_1516!F213</f>
        <v>3.9356043643040397E-3</v>
      </c>
      <c r="D212" s="26">
        <v>-1.3617478281222112E-2</v>
      </c>
      <c r="F212" s="28">
        <v>-8.7259034654592147E-3</v>
      </c>
      <c r="G212" s="30">
        <f t="shared" si="4"/>
        <v>8.7259034654592147E-3</v>
      </c>
      <c r="I212" s="26">
        <v>8.7310950509745071E-3</v>
      </c>
    </row>
    <row r="213" spans="2:9">
      <c r="B213" s="25">
        <f>Estimation_1516!F214</f>
        <v>-1.6743572361286884E-2</v>
      </c>
      <c r="D213" s="25">
        <v>-1.3602515209281813E-2</v>
      </c>
      <c r="F213" s="27">
        <v>-8.7437280488178726E-3</v>
      </c>
      <c r="G213" s="29">
        <f t="shared" si="4"/>
        <v>8.7437280488178726E-3</v>
      </c>
      <c r="I213" s="25">
        <v>8.7829924703056225E-3</v>
      </c>
    </row>
    <row r="214" spans="2:9">
      <c r="B214" s="26">
        <f>Estimation_1516!F215</f>
        <v>1.2987195526811112E-2</v>
      </c>
      <c r="D214" s="26">
        <v>-1.3566791448771017E-2</v>
      </c>
      <c r="F214" s="28">
        <v>-8.7445903887513748E-3</v>
      </c>
      <c r="G214" s="30">
        <f t="shared" si="4"/>
        <v>8.7445903887513748E-3</v>
      </c>
      <c r="I214" s="26">
        <v>8.8836829432327978E-3</v>
      </c>
    </row>
    <row r="215" spans="2:9">
      <c r="B215" s="25">
        <f>Estimation_1516!F216</f>
        <v>-9.0009608589760558E-3</v>
      </c>
      <c r="D215" s="25">
        <v>-1.3544225107757149E-2</v>
      </c>
      <c r="F215" s="27">
        <v>-8.7896555634099961E-3</v>
      </c>
      <c r="G215" s="29">
        <f t="shared" si="4"/>
        <v>8.7896555634099961E-3</v>
      </c>
      <c r="I215" s="25">
        <v>8.9233191742409713E-3</v>
      </c>
    </row>
    <row r="216" spans="2:9">
      <c r="B216" s="26">
        <f>Estimation_1516!F217</f>
        <v>-9.8129081080410435E-3</v>
      </c>
      <c r="D216" s="26">
        <v>-1.3489994833484769E-2</v>
      </c>
      <c r="F216" s="28">
        <v>-8.8684511716056822E-3</v>
      </c>
      <c r="G216" s="30">
        <f t="shared" si="4"/>
        <v>8.8684511716056822E-3</v>
      </c>
      <c r="I216" s="26">
        <v>8.9461477138661084E-3</v>
      </c>
    </row>
    <row r="217" spans="2:9">
      <c r="B217" s="25">
        <f>Estimation_1516!F218</f>
        <v>6.0082110643770916E-3</v>
      </c>
      <c r="D217" s="25">
        <v>-1.3240729851756155E-2</v>
      </c>
      <c r="F217" s="27">
        <v>-8.9036037482682663E-3</v>
      </c>
      <c r="G217" s="29">
        <f t="shared" si="4"/>
        <v>8.9036037482682663E-3</v>
      </c>
      <c r="I217" s="25">
        <v>8.9490141562814825E-3</v>
      </c>
    </row>
    <row r="218" spans="2:9">
      <c r="B218" s="26">
        <f>Estimation_1516!F219</f>
        <v>5.0267173623907584E-2</v>
      </c>
      <c r="D218" s="26">
        <v>-1.3231745209619705E-2</v>
      </c>
      <c r="F218" s="28">
        <v>-8.9371336923715801E-3</v>
      </c>
      <c r="G218" s="30">
        <f t="shared" si="4"/>
        <v>8.9371336923715801E-3</v>
      </c>
      <c r="I218" s="26">
        <v>9.2182581635599191E-3</v>
      </c>
    </row>
    <row r="219" spans="2:9">
      <c r="B219" s="25">
        <f>Estimation_1516!F220</f>
        <v>2.4553663174051277E-2</v>
      </c>
      <c r="D219" s="25">
        <v>-1.3161458254397188E-2</v>
      </c>
      <c r="F219" s="27">
        <v>-8.9406049279614659E-3</v>
      </c>
      <c r="G219" s="29">
        <f t="shared" si="4"/>
        <v>8.9406049279614659E-3</v>
      </c>
      <c r="I219" s="25">
        <v>9.2690153822248336E-3</v>
      </c>
    </row>
    <row r="220" spans="2:9">
      <c r="B220" s="26">
        <f>Estimation_1516!F221</f>
        <v>-2.1279209580501939E-2</v>
      </c>
      <c r="D220" s="26">
        <v>-1.3153757558740542E-2</v>
      </c>
      <c r="F220" s="28">
        <v>-9.0009608589760558E-3</v>
      </c>
      <c r="G220" s="30">
        <f t="shared" si="4"/>
        <v>9.0009608589760558E-3</v>
      </c>
      <c r="I220" s="26">
        <v>9.2838863100076583E-3</v>
      </c>
    </row>
    <row r="221" spans="2:9">
      <c r="B221" s="25">
        <f>Estimation_1516!F222</f>
        <v>-8.2930675707608339E-3</v>
      </c>
      <c r="D221" s="25">
        <v>-1.3150036587345752E-2</v>
      </c>
      <c r="F221" s="27">
        <v>-9.009069942365968E-3</v>
      </c>
      <c r="G221" s="29">
        <f t="shared" si="4"/>
        <v>9.009069942365968E-3</v>
      </c>
      <c r="I221" s="25">
        <v>9.2892110927837862E-3</v>
      </c>
    </row>
    <row r="222" spans="2:9">
      <c r="B222" s="26">
        <f>Estimation_1516!F223</f>
        <v>1.6688559357016516E-2</v>
      </c>
      <c r="D222" s="26">
        <v>-1.3139940861133308E-2</v>
      </c>
      <c r="F222" s="28">
        <v>-9.1209145104885845E-3</v>
      </c>
      <c r="G222" s="30">
        <f t="shared" si="4"/>
        <v>9.1209145104885845E-3</v>
      </c>
      <c r="I222" s="26">
        <v>9.3240768751232436E-3</v>
      </c>
    </row>
    <row r="223" spans="2:9">
      <c r="B223" s="25">
        <f>Estimation_1516!F224</f>
        <v>-2.7152554382297425E-2</v>
      </c>
      <c r="D223" s="25">
        <v>-1.3042430413179337E-2</v>
      </c>
      <c r="F223" s="27">
        <v>-9.2013899103306433E-3</v>
      </c>
      <c r="G223" s="29">
        <f t="shared" si="4"/>
        <v>9.2013899103306433E-3</v>
      </c>
      <c r="I223" s="25">
        <v>9.4312517523355028E-3</v>
      </c>
    </row>
    <row r="224" spans="2:9">
      <c r="B224" s="26">
        <f>Estimation_1516!F225</f>
        <v>-7.0373267205762037E-3</v>
      </c>
      <c r="D224" s="26">
        <v>-1.2747461748410042E-2</v>
      </c>
      <c r="F224" s="28">
        <v>-9.2037152300524037E-3</v>
      </c>
      <c r="G224" s="30">
        <f t="shared" si="4"/>
        <v>9.2037152300524037E-3</v>
      </c>
      <c r="I224" s="26">
        <v>9.4395981167199466E-3</v>
      </c>
    </row>
    <row r="225" spans="2:9">
      <c r="B225" s="25">
        <f>Estimation_1516!F226</f>
        <v>-1.0471299867295255E-2</v>
      </c>
      <c r="D225" s="25">
        <v>-1.2719961999560294E-2</v>
      </c>
      <c r="F225" s="27">
        <v>-9.2265762952402058E-3</v>
      </c>
      <c r="G225" s="29">
        <f t="shared" si="4"/>
        <v>9.2265762952402058E-3</v>
      </c>
      <c r="I225" s="25">
        <v>9.5024470963962545E-3</v>
      </c>
    </row>
    <row r="226" spans="2:9">
      <c r="B226" s="26">
        <f>Estimation_1516!F227</f>
        <v>1.6631664328739245E-2</v>
      </c>
      <c r="D226" s="26">
        <v>-1.2648633849760289E-2</v>
      </c>
      <c r="F226" s="28">
        <v>-9.2360698692555906E-3</v>
      </c>
      <c r="G226" s="30">
        <f t="shared" si="4"/>
        <v>9.2360698692555906E-3</v>
      </c>
      <c r="I226" s="26">
        <v>9.5196316114822405E-3</v>
      </c>
    </row>
    <row r="227" spans="2:9">
      <c r="B227" s="25">
        <f>Estimation_1516!F228</f>
        <v>-2.2837076240544846E-3</v>
      </c>
      <c r="D227" s="25">
        <v>-1.2638938527374055E-2</v>
      </c>
      <c r="F227" s="27">
        <v>-9.2601343110005722E-3</v>
      </c>
      <c r="G227" s="29">
        <f t="shared" si="4"/>
        <v>9.2601343110005722E-3</v>
      </c>
      <c r="I227" s="25">
        <v>9.6065194927518038E-3</v>
      </c>
    </row>
    <row r="228" spans="2:9">
      <c r="B228" s="26">
        <f>Estimation_1516!F229</f>
        <v>1.3624664908467662E-2</v>
      </c>
      <c r="D228" s="26">
        <v>-1.2563238044599452E-2</v>
      </c>
      <c r="F228" s="28">
        <v>-9.275614240364256E-3</v>
      </c>
      <c r="G228" s="30">
        <f t="shared" si="4"/>
        <v>9.275614240364256E-3</v>
      </c>
      <c r="I228" s="26">
        <v>9.6619109117368901E-3</v>
      </c>
    </row>
    <row r="229" spans="2:9">
      <c r="B229" s="25">
        <f>Estimation_1516!F230</f>
        <v>-2.8865080396172239E-2</v>
      </c>
      <c r="D229" s="25">
        <v>-1.2541010430593325E-2</v>
      </c>
      <c r="F229" s="27">
        <v>-9.2969873591706009E-3</v>
      </c>
      <c r="G229" s="29">
        <f t="shared" si="4"/>
        <v>9.2969873591706009E-3</v>
      </c>
      <c r="I229" s="25">
        <v>9.778189981635264E-3</v>
      </c>
    </row>
    <row r="230" spans="2:9">
      <c r="B230" s="26">
        <f>Estimation_1516!F231</f>
        <v>2.8530689824064807E-3</v>
      </c>
      <c r="D230" s="26">
        <v>-1.2482825056016059E-2</v>
      </c>
      <c r="F230" s="28">
        <v>-9.3677500036001594E-3</v>
      </c>
      <c r="G230" s="30">
        <f t="shared" si="4"/>
        <v>9.3677500036001594E-3</v>
      </c>
      <c r="I230" s="26">
        <v>9.7834463090710286E-3</v>
      </c>
    </row>
    <row r="231" spans="2:9">
      <c r="B231" s="25">
        <f>Estimation_1516!F232</f>
        <v>-8.4041621159783378E-3</v>
      </c>
      <c r="D231" s="25">
        <v>-1.2420406372113113E-2</v>
      </c>
      <c r="F231" s="27">
        <v>-9.4456554437474978E-3</v>
      </c>
      <c r="G231" s="29">
        <f t="shared" si="4"/>
        <v>9.4456554437474978E-3</v>
      </c>
      <c r="I231" s="25">
        <v>9.8940736451985367E-3</v>
      </c>
    </row>
    <row r="232" spans="2:9">
      <c r="B232" s="26">
        <f>Estimation_1516!F233</f>
        <v>2.1524671987650126E-3</v>
      </c>
      <c r="D232" s="26">
        <v>-1.2378252572036723E-2</v>
      </c>
      <c r="F232" s="28">
        <v>-9.4515954931811141E-3</v>
      </c>
      <c r="G232" s="30">
        <f t="shared" si="4"/>
        <v>9.4515954931811141E-3</v>
      </c>
      <c r="I232" s="26">
        <v>9.9234012337268782E-3</v>
      </c>
    </row>
    <row r="233" spans="2:9">
      <c r="B233" s="25">
        <f>Estimation_1516!F234</f>
        <v>2.4425993126882581E-2</v>
      </c>
      <c r="D233" s="25">
        <v>-1.2363306355716528E-2</v>
      </c>
      <c r="F233" s="27">
        <v>-9.5055827473364135E-3</v>
      </c>
      <c r="G233" s="29">
        <f t="shared" si="4"/>
        <v>9.5055827473364135E-3</v>
      </c>
      <c r="I233" s="25">
        <v>9.9271794002204691E-3</v>
      </c>
    </row>
    <row r="234" spans="2:9">
      <c r="B234" s="26">
        <f>Estimation_1516!F235</f>
        <v>-1.0016778243471344E-2</v>
      </c>
      <c r="D234" s="26">
        <v>-1.2273439216826651E-2</v>
      </c>
      <c r="F234" s="28">
        <v>-9.5087879690271878E-3</v>
      </c>
      <c r="G234" s="30">
        <f t="shared" si="4"/>
        <v>9.5087879690271878E-3</v>
      </c>
      <c r="I234" s="26">
        <v>9.9382219456537902E-3</v>
      </c>
    </row>
    <row r="235" spans="2:9">
      <c r="B235" s="25">
        <f>Estimation_1516!F236</f>
        <v>1.3682023641767167E-2</v>
      </c>
      <c r="D235" s="25">
        <v>-1.2262376572200206E-2</v>
      </c>
      <c r="F235" s="27">
        <v>-9.526550053017337E-3</v>
      </c>
      <c r="G235" s="29">
        <f t="shared" si="4"/>
        <v>9.526550053017337E-3</v>
      </c>
      <c r="I235" s="25">
        <v>1.0172409891556952E-2</v>
      </c>
    </row>
    <row r="236" spans="2:9">
      <c r="B236" s="26">
        <f>Estimation_1516!F237</f>
        <v>2.6098318423709499E-3</v>
      </c>
      <c r="D236" s="26">
        <v>-1.2240785771382453E-2</v>
      </c>
      <c r="F236" s="28">
        <v>-9.5457680832552669E-3</v>
      </c>
      <c r="G236" s="30">
        <f t="shared" si="4"/>
        <v>9.5457680832552669E-3</v>
      </c>
      <c r="I236" s="26">
        <v>1.0212476828740437E-2</v>
      </c>
    </row>
    <row r="237" spans="2:9">
      <c r="B237" s="25">
        <f>Estimation_1516!F238</f>
        <v>-2.1781995901364499E-2</v>
      </c>
      <c r="D237" s="25">
        <v>-1.2112297611202043E-2</v>
      </c>
      <c r="F237" s="27">
        <v>-9.61876189660648E-3</v>
      </c>
      <c r="G237" s="29">
        <f t="shared" si="4"/>
        <v>9.61876189660648E-3</v>
      </c>
      <c r="I237" s="25">
        <v>1.0440064996683422E-2</v>
      </c>
    </row>
    <row r="238" spans="2:9">
      <c r="B238" s="26">
        <f>Estimation_1516!F239</f>
        <v>-4.449593529884944E-3</v>
      </c>
      <c r="D238" s="26">
        <v>-1.2045715637591542E-2</v>
      </c>
      <c r="F238" s="28">
        <v>-9.6471933780029138E-3</v>
      </c>
      <c r="G238" s="30">
        <f t="shared" si="4"/>
        <v>9.6471933780029138E-3</v>
      </c>
      <c r="I238" s="26">
        <v>1.0545839893253276E-2</v>
      </c>
    </row>
    <row r="239" spans="2:9">
      <c r="B239" s="25">
        <f>Estimation_1516!F240</f>
        <v>-2.858888389538523E-2</v>
      </c>
      <c r="D239" s="25">
        <v>-1.1968933125601997E-2</v>
      </c>
      <c r="F239" s="27">
        <v>-9.6839264326799637E-3</v>
      </c>
      <c r="G239" s="29">
        <f t="shared" si="4"/>
        <v>9.6839264326799637E-3</v>
      </c>
      <c r="I239" s="25">
        <v>1.0575526247086388E-2</v>
      </c>
    </row>
    <row r="240" spans="2:9">
      <c r="B240" s="26">
        <f>Estimation_1516!F241</f>
        <v>9.1734709671330913E-4</v>
      </c>
      <c r="D240" s="26">
        <v>-1.1960275462971504E-2</v>
      </c>
      <c r="F240" s="28">
        <v>-9.6857655890438925E-3</v>
      </c>
      <c r="G240" s="30">
        <f t="shared" si="4"/>
        <v>9.6857655890438925E-3</v>
      </c>
      <c r="I240" s="26">
        <v>1.0577445466852266E-2</v>
      </c>
    </row>
    <row r="241" spans="2:9">
      <c r="B241" s="25">
        <f>Estimation_1516!F242</f>
        <v>-4.5586060178649079E-2</v>
      </c>
      <c r="D241" s="25">
        <v>-1.1834457647002909E-2</v>
      </c>
      <c r="F241" s="27">
        <v>-9.7290551981190371E-3</v>
      </c>
      <c r="G241" s="29">
        <f t="shared" si="4"/>
        <v>9.7290551981190371E-3</v>
      </c>
      <c r="I241" s="25">
        <v>1.0719857632196645E-2</v>
      </c>
    </row>
    <row r="242" spans="2:9">
      <c r="B242" s="26">
        <f>Estimation_1516!F243</f>
        <v>0</v>
      </c>
      <c r="D242" s="26">
        <v>-1.1810496655495795E-2</v>
      </c>
      <c r="F242" s="28">
        <v>-9.8129081080410435E-3</v>
      </c>
      <c r="G242" s="30">
        <f t="shared" si="4"/>
        <v>9.8129081080410435E-3</v>
      </c>
      <c r="I242" s="26">
        <v>1.0733555643108851E-2</v>
      </c>
    </row>
    <row r="243" spans="2:9">
      <c r="B243" s="25">
        <f>Estimation_1516!F244</f>
        <v>-2.3695029727454468E-2</v>
      </c>
      <c r="D243" s="25">
        <v>-1.1776387323825183E-2</v>
      </c>
      <c r="F243" s="27">
        <v>-9.8465898367589479E-3</v>
      </c>
      <c r="G243" s="29">
        <f t="shared" si="4"/>
        <v>9.8465898367589479E-3</v>
      </c>
      <c r="I243" s="25">
        <v>1.0869672236903891E-2</v>
      </c>
    </row>
    <row r="244" spans="2:9">
      <c r="B244" s="26">
        <f>Estimation_1516!F245</f>
        <v>-1.7046993582393779E-2</v>
      </c>
      <c r="D244" s="26">
        <v>-1.1676529661835629E-2</v>
      </c>
      <c r="F244" s="28">
        <v>-9.8915930958064762E-3</v>
      </c>
      <c r="G244" s="30">
        <f t="shared" si="4"/>
        <v>9.8915930958064762E-3</v>
      </c>
      <c r="I244" s="26">
        <v>1.0874516646576285E-2</v>
      </c>
    </row>
    <row r="245" spans="2:9">
      <c r="B245" s="25">
        <f>Estimation_1516!F246</f>
        <v>-3.5405529220142111E-2</v>
      </c>
      <c r="D245" s="25">
        <v>-1.1675209298867915E-2</v>
      </c>
      <c r="F245" s="27">
        <v>-9.9078624693567825E-3</v>
      </c>
      <c r="G245" s="29">
        <f t="shared" si="4"/>
        <v>9.9078624693567825E-3</v>
      </c>
      <c r="I245" s="25">
        <v>1.1017797740446846E-2</v>
      </c>
    </row>
    <row r="246" spans="2:9">
      <c r="B246" s="26">
        <f>Estimation_1516!F247</f>
        <v>4.1782593477839053E-2</v>
      </c>
      <c r="D246" s="26">
        <v>-1.1653584935679953E-2</v>
      </c>
      <c r="F246" s="28">
        <v>-9.9535257464505346E-3</v>
      </c>
      <c r="G246" s="30">
        <f t="shared" si="4"/>
        <v>9.9535257464505346E-3</v>
      </c>
      <c r="I246" s="26">
        <v>1.1068652809190064E-2</v>
      </c>
    </row>
    <row r="247" spans="2:9">
      <c r="B247" s="25">
        <f>Estimation_1516!F248</f>
        <v>2.7772285257879423E-3</v>
      </c>
      <c r="D247" s="25">
        <v>-1.1582246687648103E-2</v>
      </c>
      <c r="F247" s="27">
        <v>-9.9845897476368312E-3</v>
      </c>
      <c r="G247" s="29">
        <f t="shared" si="4"/>
        <v>9.9845897476368312E-3</v>
      </c>
      <c r="I247" s="25">
        <v>1.1116840106339393E-2</v>
      </c>
    </row>
    <row r="248" spans="2:9">
      <c r="B248" s="26">
        <f>Estimation_1516!F249</f>
        <v>3.9807216732912418E-2</v>
      </c>
      <c r="D248" s="26">
        <v>-1.1463007614873219E-2</v>
      </c>
      <c r="F248" s="28">
        <v>-1.0016778243471232E-2</v>
      </c>
      <c r="G248" s="30">
        <f t="shared" si="4"/>
        <v>1.0016778243471232E-2</v>
      </c>
      <c r="I248" s="26">
        <v>1.1142176553241803E-2</v>
      </c>
    </row>
    <row r="249" spans="2:9">
      <c r="B249" s="25">
        <f>Estimation_1516!F250</f>
        <v>-1.6700647298175646E-2</v>
      </c>
      <c r="D249" s="25">
        <v>-1.1428695823622857E-2</v>
      </c>
      <c r="F249" s="27">
        <v>-1.0016778243471344E-2</v>
      </c>
      <c r="G249" s="29">
        <f t="shared" si="4"/>
        <v>1.0016778243471344E-2</v>
      </c>
      <c r="I249" s="25">
        <v>1.1199063028039044E-2</v>
      </c>
    </row>
    <row r="250" spans="2:9">
      <c r="B250" s="26">
        <f>Estimation_1516!F251</f>
        <v>-2.4692612590371522E-2</v>
      </c>
      <c r="D250" s="26">
        <v>-1.1341279415507364E-2</v>
      </c>
      <c r="F250" s="28">
        <v>-1.0069612776134175E-2</v>
      </c>
      <c r="G250" s="30">
        <f t="shared" si="4"/>
        <v>1.0069612776134175E-2</v>
      </c>
      <c r="I250" s="26">
        <v>1.1214496515615681E-2</v>
      </c>
    </row>
    <row r="251" spans="2:9">
      <c r="B251" s="25">
        <f>Estimation_1516!F252</f>
        <v>1.8284201494888803E-2</v>
      </c>
      <c r="D251" s="25">
        <v>-1.113268342009968E-2</v>
      </c>
      <c r="F251" s="27">
        <v>-1.0195201685028465E-2</v>
      </c>
      <c r="G251" s="29">
        <f t="shared" si="4"/>
        <v>1.0195201685028465E-2</v>
      </c>
      <c r="I251" s="25">
        <v>1.1326704241762709E-2</v>
      </c>
    </row>
    <row r="252" spans="2:9">
      <c r="B252" s="26">
        <f>Estimation_1516!F253</f>
        <v>2.3870238259144728E-2</v>
      </c>
      <c r="D252" s="26">
        <v>-1.1105142670938839E-2</v>
      </c>
      <c r="F252" s="28">
        <v>-1.0200166899562912E-2</v>
      </c>
      <c r="G252" s="30">
        <f t="shared" si="4"/>
        <v>1.0200166899562912E-2</v>
      </c>
      <c r="I252" s="26">
        <v>1.1343616852054718E-2</v>
      </c>
    </row>
    <row r="253" spans="2:9">
      <c r="B253" s="25">
        <f>Estimation_1516!F254</f>
        <v>6.446742084683774E-3</v>
      </c>
      <c r="D253" s="25">
        <v>-1.1033360772021919E-2</v>
      </c>
      <c r="F253" s="27">
        <v>-1.0258283472420401E-2</v>
      </c>
      <c r="G253" s="29">
        <f t="shared" si="4"/>
        <v>1.0258283472420401E-2</v>
      </c>
      <c r="I253" s="25">
        <v>1.1346873059403403E-2</v>
      </c>
    </row>
    <row r="254" spans="2:9">
      <c r="B254" s="26">
        <f>Estimation_1516!F255</f>
        <v>-9.6857655890438925E-3</v>
      </c>
      <c r="D254" s="26">
        <v>-1.1011935448613168E-2</v>
      </c>
      <c r="F254" s="28">
        <v>-1.0262691945127274E-2</v>
      </c>
      <c r="G254" s="30">
        <f t="shared" si="4"/>
        <v>1.0262691945127274E-2</v>
      </c>
      <c r="I254" s="26">
        <v>1.1374793193954125E-2</v>
      </c>
    </row>
    <row r="255" spans="2:9">
      <c r="B255" s="25">
        <f>Estimation_1516!F256</f>
        <v>4.7596472529879133E-3</v>
      </c>
      <c r="D255" s="25">
        <v>-1.0987982429464941E-2</v>
      </c>
      <c r="F255" s="27">
        <v>-1.0287042530143148E-2</v>
      </c>
      <c r="G255" s="29">
        <f t="shared" si="4"/>
        <v>1.0287042530143148E-2</v>
      </c>
      <c r="I255" s="25">
        <v>1.151257498833424E-2</v>
      </c>
    </row>
    <row r="256" spans="2:9">
      <c r="B256" s="26">
        <f>Estimation_1516!F257</f>
        <v>-1.1653584935679953E-2</v>
      </c>
      <c r="D256" s="26">
        <v>-1.0880860180775652E-2</v>
      </c>
      <c r="F256" s="28">
        <v>-1.030582807446272E-2</v>
      </c>
      <c r="G256" s="30">
        <f t="shared" si="4"/>
        <v>1.030582807446272E-2</v>
      </c>
      <c r="I256" s="26">
        <v>1.1515179058149612E-2</v>
      </c>
    </row>
    <row r="257" spans="2:9">
      <c r="B257" s="25">
        <f>Estimation_1516!F258</f>
        <v>2.4949633899968475E-3</v>
      </c>
      <c r="D257" s="25">
        <v>-1.0825545504922447E-2</v>
      </c>
      <c r="F257" s="27">
        <v>-1.0316460135110932E-2</v>
      </c>
      <c r="G257" s="29">
        <f t="shared" si="4"/>
        <v>1.0316460135110932E-2</v>
      </c>
      <c r="I257" s="25">
        <v>1.1623900300931965E-2</v>
      </c>
    </row>
    <row r="258" spans="2:9">
      <c r="B258" s="26">
        <f>Estimation_1516!F259</f>
        <v>-4.5689742555103538E-2</v>
      </c>
      <c r="D258" s="26">
        <v>-1.0662948168253264E-2</v>
      </c>
      <c r="F258" s="28">
        <v>-1.0415210947646863E-2</v>
      </c>
      <c r="G258" s="30">
        <f t="shared" si="4"/>
        <v>1.0415210947646863E-2</v>
      </c>
      <c r="I258" s="26">
        <v>1.163649494080864E-2</v>
      </c>
    </row>
    <row r="259" spans="2:9">
      <c r="B259" s="25">
        <f>Estimation_1516!F260</f>
        <v>5.6022555486697516E-3</v>
      </c>
      <c r="D259" s="25">
        <v>-1.0645303695818609E-2</v>
      </c>
      <c r="F259" s="27">
        <v>-1.0429600560987094E-2</v>
      </c>
      <c r="G259" s="29">
        <f t="shared" si="4"/>
        <v>1.0429600560987094E-2</v>
      </c>
      <c r="I259" s="25">
        <v>1.1763067320361783E-2</v>
      </c>
    </row>
    <row r="260" spans="2:9">
      <c r="B260" s="26">
        <f>Estimation_1516!F261</f>
        <v>-3.2444045952018004E-2</v>
      </c>
      <c r="D260" s="26">
        <v>-1.0631022241109424E-2</v>
      </c>
      <c r="F260" s="28">
        <v>-1.0453056852089481E-2</v>
      </c>
      <c r="G260" s="30">
        <f t="shared" ref="G260:G323" si="5">-1*F260</f>
        <v>1.0453056852089481E-2</v>
      </c>
      <c r="I260" s="26">
        <v>1.1883942677140116E-2</v>
      </c>
    </row>
    <row r="261" spans="2:9">
      <c r="B261" s="25">
        <f>Estimation_1516!F262</f>
        <v>-3.3745211735482818E-2</v>
      </c>
      <c r="D261" s="25">
        <v>-1.0625507741767235E-2</v>
      </c>
      <c r="F261" s="27">
        <v>-1.0471299867295255E-2</v>
      </c>
      <c r="G261" s="29">
        <f t="shared" si="5"/>
        <v>1.0471299867295255E-2</v>
      </c>
      <c r="I261" s="25">
        <v>1.1897246439794777E-2</v>
      </c>
    </row>
    <row r="262" spans="2:9">
      <c r="B262" s="26">
        <f>Estimation_1516!F263</f>
        <v>-2.1765755273867208E-2</v>
      </c>
      <c r="D262" s="26">
        <v>-1.0474346562469015E-2</v>
      </c>
      <c r="F262" s="28">
        <v>-1.0474346562469015E-2</v>
      </c>
      <c r="G262" s="30">
        <f t="shared" si="5"/>
        <v>1.0474346562469015E-2</v>
      </c>
      <c r="I262" s="26">
        <v>1.2016165942486398E-2</v>
      </c>
    </row>
    <row r="263" spans="2:9">
      <c r="B263" s="25">
        <f>Estimation_1516!F264</f>
        <v>-1.6031967399986545E-2</v>
      </c>
      <c r="D263" s="25">
        <v>-1.0471299867295255E-2</v>
      </c>
      <c r="F263" s="27">
        <v>-1.0625507741767235E-2</v>
      </c>
      <c r="G263" s="29">
        <f t="shared" si="5"/>
        <v>1.0625507741767235E-2</v>
      </c>
      <c r="I263" s="25">
        <v>1.2054773277120895E-2</v>
      </c>
    </row>
    <row r="264" spans="2:9">
      <c r="B264" s="26">
        <f>Estimation_1516!F265</f>
        <v>1.1883942677140116E-2</v>
      </c>
      <c r="D264" s="26">
        <v>-1.0453056852089481E-2</v>
      </c>
      <c r="F264" s="28">
        <v>-1.0631022241109424E-2</v>
      </c>
      <c r="G264" s="30">
        <f t="shared" si="5"/>
        <v>1.0631022241109424E-2</v>
      </c>
      <c r="I264" s="26">
        <v>1.2055601102236132E-2</v>
      </c>
    </row>
    <row r="265" spans="2:9">
      <c r="B265" s="25">
        <f>Estimation_1516!F266</f>
        <v>1.3117623218977263E-3</v>
      </c>
      <c r="D265" s="25">
        <v>-1.0429600560987094E-2</v>
      </c>
      <c r="F265" s="27">
        <v>-1.0645303695818609E-2</v>
      </c>
      <c r="G265" s="29">
        <f t="shared" si="5"/>
        <v>1.0645303695818609E-2</v>
      </c>
      <c r="I265" s="25">
        <v>1.2105497084900302E-2</v>
      </c>
    </row>
    <row r="266" spans="2:9">
      <c r="B266" s="26">
        <f>Estimation_1516!F267</f>
        <v>-2.5222576024372192E-2</v>
      </c>
      <c r="D266" s="26">
        <v>-1.0415210947646863E-2</v>
      </c>
      <c r="F266" s="28">
        <v>-1.0662948168253264E-2</v>
      </c>
      <c r="G266" s="30">
        <f t="shared" si="5"/>
        <v>1.0662948168253264E-2</v>
      </c>
      <c r="I266" s="26">
        <v>1.2178336604999345E-2</v>
      </c>
    </row>
    <row r="267" spans="2:9">
      <c r="B267" s="25">
        <f>Estimation_1516!F268</f>
        <v>-4.6552025365853865E-2</v>
      </c>
      <c r="D267" s="25">
        <v>-1.0316460135110932E-2</v>
      </c>
      <c r="F267" s="27">
        <v>-1.0825545504922447E-2</v>
      </c>
      <c r="G267" s="29">
        <f t="shared" si="5"/>
        <v>1.0825545504922447E-2</v>
      </c>
      <c r="I267" s="25">
        <v>1.2195273093818425E-2</v>
      </c>
    </row>
    <row r="268" spans="2:9">
      <c r="B268" s="26">
        <f>Estimation_1516!F269</f>
        <v>-5.8733804904133824E-2</v>
      </c>
      <c r="D268" s="26">
        <v>-1.030582807446272E-2</v>
      </c>
      <c r="F268" s="28">
        <v>-1.0880860180775652E-2</v>
      </c>
      <c r="G268" s="30">
        <f t="shared" si="5"/>
        <v>1.0880860180775652E-2</v>
      </c>
      <c r="I268" s="26">
        <v>1.2336316817606321E-2</v>
      </c>
    </row>
    <row r="269" spans="2:9">
      <c r="B269" s="25">
        <f>Estimation_1516!F270</f>
        <v>3.5700612835693167E-2</v>
      </c>
      <c r="D269" s="25">
        <v>-1.0287042530143148E-2</v>
      </c>
      <c r="F269" s="27">
        <v>-1.0987982429464941E-2</v>
      </c>
      <c r="G269" s="29">
        <f t="shared" si="5"/>
        <v>1.0987982429464941E-2</v>
      </c>
      <c r="I269" s="25">
        <v>1.2379145544920556E-2</v>
      </c>
    </row>
    <row r="270" spans="2:9">
      <c r="B270" s="26">
        <f>Estimation_1516!F271</f>
        <v>-4.3698655970660083E-2</v>
      </c>
      <c r="D270" s="26">
        <v>-1.0262691945127274E-2</v>
      </c>
      <c r="F270" s="28">
        <v>-1.1011935448613168E-2</v>
      </c>
      <c r="G270" s="30">
        <f t="shared" si="5"/>
        <v>1.1011935448613168E-2</v>
      </c>
      <c r="I270" s="26">
        <v>1.2412408826217114E-2</v>
      </c>
    </row>
    <row r="271" spans="2:9">
      <c r="B271" s="25">
        <f>Estimation_1516!F272</f>
        <v>4.2977762030993523E-2</v>
      </c>
      <c r="D271" s="25">
        <v>-1.0258283472420401E-2</v>
      </c>
      <c r="F271" s="27">
        <v>-1.1033360772021919E-2</v>
      </c>
      <c r="G271" s="29">
        <f t="shared" si="5"/>
        <v>1.1033360772021919E-2</v>
      </c>
      <c r="I271" s="25">
        <v>1.2491487894029272E-2</v>
      </c>
    </row>
    <row r="272" spans="2:9">
      <c r="B272" s="26">
        <f>Estimation_1516!F273</f>
        <v>5.0391445536405823E-2</v>
      </c>
      <c r="D272" s="26">
        <v>-1.0200166899562912E-2</v>
      </c>
      <c r="F272" s="28">
        <v>-1.1105142670938839E-2</v>
      </c>
      <c r="G272" s="30">
        <f t="shared" si="5"/>
        <v>1.1105142670938839E-2</v>
      </c>
      <c r="I272" s="26">
        <v>1.250656998542595E-2</v>
      </c>
    </row>
    <row r="273" spans="2:9">
      <c r="B273" s="25">
        <f>Estimation_1516!F274</f>
        <v>-2.6637359528298769E-2</v>
      </c>
      <c r="D273" s="25">
        <v>-1.0195201685028465E-2</v>
      </c>
      <c r="F273" s="27">
        <v>-1.113268342009968E-2</v>
      </c>
      <c r="G273" s="29">
        <f t="shared" si="5"/>
        <v>1.113268342009968E-2</v>
      </c>
      <c r="I273" s="25">
        <v>1.2514384025728516E-2</v>
      </c>
    </row>
    <row r="274" spans="2:9">
      <c r="B274" s="26">
        <f>Estimation_1516!F275</f>
        <v>2.4807114222144998E-2</v>
      </c>
      <c r="D274" s="26">
        <v>-1.0069612776134175E-2</v>
      </c>
      <c r="F274" s="28">
        <v>-1.1341279415507364E-2</v>
      </c>
      <c r="G274" s="30">
        <f t="shared" si="5"/>
        <v>1.1341279415507364E-2</v>
      </c>
      <c r="I274" s="26">
        <v>1.2548715609344271E-2</v>
      </c>
    </row>
    <row r="275" spans="2:9">
      <c r="B275" s="25">
        <f>Estimation_1516!F276</f>
        <v>-1.3602515209281813E-2</v>
      </c>
      <c r="D275" s="25">
        <v>-1.0016778243471344E-2</v>
      </c>
      <c r="F275" s="27">
        <v>-1.1428695823622857E-2</v>
      </c>
      <c r="G275" s="29">
        <f t="shared" si="5"/>
        <v>1.1428695823622857E-2</v>
      </c>
      <c r="I275" s="25">
        <v>1.2735714700054848E-2</v>
      </c>
    </row>
    <row r="276" spans="2:9">
      <c r="B276" s="26">
        <f>Estimation_1516!F277</f>
        <v>2.9504713102630514E-2</v>
      </c>
      <c r="D276" s="26">
        <v>-1.0016778243471232E-2</v>
      </c>
      <c r="F276" s="28">
        <v>-1.1463007614873219E-2</v>
      </c>
      <c r="G276" s="30">
        <f t="shared" si="5"/>
        <v>1.1463007614873219E-2</v>
      </c>
      <c r="I276" s="26">
        <v>1.2779726646399021E-2</v>
      </c>
    </row>
    <row r="277" spans="2:9">
      <c r="B277" s="25">
        <f>Estimation_1516!F278</f>
        <v>1.7426714472176169E-2</v>
      </c>
      <c r="D277" s="25">
        <v>-9.9845897476368312E-3</v>
      </c>
      <c r="F277" s="27">
        <v>-1.1582246687648103E-2</v>
      </c>
      <c r="G277" s="29">
        <f t="shared" si="5"/>
        <v>1.1582246687648103E-2</v>
      </c>
      <c r="I277" s="25">
        <v>1.2842352911227079E-2</v>
      </c>
    </row>
    <row r="278" spans="2:9">
      <c r="B278" s="26">
        <f>Estimation_1516!F279</f>
        <v>-1.0016778243471232E-2</v>
      </c>
      <c r="D278" s="26">
        <v>-9.9535257464505346E-3</v>
      </c>
      <c r="F278" s="28">
        <v>-1.1653584935679953E-2</v>
      </c>
      <c r="G278" s="30">
        <f t="shared" si="5"/>
        <v>1.1653584935679953E-2</v>
      </c>
      <c r="I278" s="26">
        <v>1.2987195526811112E-2</v>
      </c>
    </row>
    <row r="279" spans="2:9">
      <c r="B279" s="25">
        <f>Estimation_1516!F280</f>
        <v>-6.0400933190068631E-2</v>
      </c>
      <c r="D279" s="25">
        <v>-9.9078624693567825E-3</v>
      </c>
      <c r="F279" s="27">
        <v>-1.1675209298867915E-2</v>
      </c>
      <c r="G279" s="29">
        <f t="shared" si="5"/>
        <v>1.1675209298867915E-2</v>
      </c>
      <c r="I279" s="25">
        <v>1.3037994338130019E-2</v>
      </c>
    </row>
    <row r="280" spans="2:9">
      <c r="B280" s="26">
        <f>Estimation_1516!F281</f>
        <v>-4.4462564564881991E-2</v>
      </c>
      <c r="D280" s="26">
        <v>-9.8915930958064762E-3</v>
      </c>
      <c r="F280" s="28">
        <v>-1.1676529661835629E-2</v>
      </c>
      <c r="G280" s="30">
        <f t="shared" si="5"/>
        <v>1.1676529661835629E-2</v>
      </c>
      <c r="I280" s="26">
        <v>1.3070263929173747E-2</v>
      </c>
    </row>
    <row r="281" spans="2:9">
      <c r="B281" s="25">
        <f>Estimation_1516!F282</f>
        <v>3.3470817100915824E-2</v>
      </c>
      <c r="D281" s="25">
        <v>-9.8465898367589479E-3</v>
      </c>
      <c r="F281" s="27">
        <v>-1.1776387323825183E-2</v>
      </c>
      <c r="G281" s="29">
        <f t="shared" si="5"/>
        <v>1.1776387323825183E-2</v>
      </c>
      <c r="I281" s="25">
        <v>1.3196672454169816E-2</v>
      </c>
    </row>
    <row r="282" spans="2:9">
      <c r="B282" s="26">
        <f>Estimation_1516!F283</f>
        <v>2.7256101273328961E-2</v>
      </c>
      <c r="D282" s="26">
        <v>-9.8129081080410435E-3</v>
      </c>
      <c r="F282" s="28">
        <v>-1.1810496655495795E-2</v>
      </c>
      <c r="G282" s="30">
        <f t="shared" si="5"/>
        <v>1.1810496655495795E-2</v>
      </c>
      <c r="I282" s="26">
        <v>1.3250828222087663E-2</v>
      </c>
    </row>
    <row r="283" spans="2:9">
      <c r="B283" s="25">
        <f>Estimation_1516!F284</f>
        <v>-4.6419816907332823E-2</v>
      </c>
      <c r="D283" s="25">
        <v>-9.7290551981190371E-3</v>
      </c>
      <c r="F283" s="27">
        <v>-1.1834457647002909E-2</v>
      </c>
      <c r="G283" s="29">
        <f t="shared" si="5"/>
        <v>1.1834457647002909E-2</v>
      </c>
      <c r="I283" s="25">
        <v>1.338790481758634E-2</v>
      </c>
    </row>
    <row r="284" spans="2:9">
      <c r="B284" s="26">
        <f>Estimation_1516!F285</f>
        <v>-5.6164828860699331E-2</v>
      </c>
      <c r="D284" s="26">
        <v>-9.6857655890438925E-3</v>
      </c>
      <c r="F284" s="28">
        <v>-1.1960275462971504E-2</v>
      </c>
      <c r="G284" s="30">
        <f t="shared" si="5"/>
        <v>1.1960275462971504E-2</v>
      </c>
      <c r="I284" s="26">
        <v>1.3411279729025703E-2</v>
      </c>
    </row>
    <row r="285" spans="2:9">
      <c r="B285" s="25">
        <f>Estimation_1516!F286</f>
        <v>6.0563662933182667E-2</v>
      </c>
      <c r="D285" s="25">
        <v>-9.6839264326799637E-3</v>
      </c>
      <c r="F285" s="27">
        <v>-1.1968933125601997E-2</v>
      </c>
      <c r="G285" s="29">
        <f t="shared" si="5"/>
        <v>1.1968933125601997E-2</v>
      </c>
      <c r="I285" s="25">
        <v>1.3439724443858214E-2</v>
      </c>
    </row>
    <row r="286" spans="2:9">
      <c r="B286" s="26">
        <f>Estimation_1516!F287</f>
        <v>5.4105722049921319E-2</v>
      </c>
      <c r="D286" s="26">
        <v>-9.6471933780029138E-3</v>
      </c>
      <c r="F286" s="28">
        <v>-1.2045715637591542E-2</v>
      </c>
      <c r="G286" s="30">
        <f t="shared" si="5"/>
        <v>1.2045715637591542E-2</v>
      </c>
      <c r="I286" s="26">
        <v>1.3479563828240235E-2</v>
      </c>
    </row>
    <row r="287" spans="2:9">
      <c r="B287" s="25">
        <f>Estimation_1516!F288</f>
        <v>1.831133791595704E-2</v>
      </c>
      <c r="D287" s="25">
        <v>-9.61876189660648E-3</v>
      </c>
      <c r="F287" s="27">
        <v>-1.2112297611202043E-2</v>
      </c>
      <c r="G287" s="29">
        <f t="shared" si="5"/>
        <v>1.2112297611202043E-2</v>
      </c>
      <c r="I287" s="25">
        <v>1.3531227037970425E-2</v>
      </c>
    </row>
    <row r="288" spans="2:9">
      <c r="B288" s="26">
        <f>Estimation_1516!F289</f>
        <v>5.3649328280617428E-2</v>
      </c>
      <c r="D288" s="26">
        <v>-9.5457680832552669E-3</v>
      </c>
      <c r="F288" s="28">
        <v>-1.2240785771382453E-2</v>
      </c>
      <c r="G288" s="30">
        <f t="shared" si="5"/>
        <v>1.2240785771382453E-2</v>
      </c>
      <c r="I288" s="26">
        <v>1.3537988224701921E-2</v>
      </c>
    </row>
    <row r="289" spans="2:9">
      <c r="B289" s="25">
        <f>Estimation_1516!F290</f>
        <v>1.2178336604999345E-2</v>
      </c>
      <c r="D289" s="25">
        <v>-9.526550053017337E-3</v>
      </c>
      <c r="F289" s="27">
        <v>-1.2262376572200206E-2</v>
      </c>
      <c r="G289" s="29">
        <f t="shared" si="5"/>
        <v>1.2262376572200206E-2</v>
      </c>
      <c r="I289" s="25">
        <v>1.3624664908467662E-2</v>
      </c>
    </row>
    <row r="290" spans="2:9">
      <c r="B290" s="26">
        <f>Estimation_1516!F291</f>
        <v>4.872374854722963E-3</v>
      </c>
      <c r="D290" s="26">
        <v>-9.5087879690271878E-3</v>
      </c>
      <c r="F290" s="28">
        <v>-1.2273439216826651E-2</v>
      </c>
      <c r="G290" s="30">
        <f t="shared" si="5"/>
        <v>1.2273439216826651E-2</v>
      </c>
      <c r="I290" s="26">
        <v>1.3666709402522912E-2</v>
      </c>
    </row>
    <row r="291" spans="2:9">
      <c r="B291" s="25">
        <f>Estimation_1516!F292</f>
        <v>-2.1359205845446382E-2</v>
      </c>
      <c r="D291" s="25">
        <v>-9.5055827473364135E-3</v>
      </c>
      <c r="F291" s="27">
        <v>-1.2363306355716528E-2</v>
      </c>
      <c r="G291" s="29">
        <f t="shared" si="5"/>
        <v>1.2363306355716528E-2</v>
      </c>
      <c r="I291" s="25">
        <v>1.3682023641767167E-2</v>
      </c>
    </row>
    <row r="292" spans="2:9">
      <c r="B292" s="26">
        <f>Estimation_1516!F293</f>
        <v>-2.0061728217437423E-2</v>
      </c>
      <c r="D292" s="26">
        <v>-9.4515954931811141E-3</v>
      </c>
      <c r="F292" s="28">
        <v>-1.2378252572036723E-2</v>
      </c>
      <c r="G292" s="30">
        <f t="shared" si="5"/>
        <v>1.2378252572036723E-2</v>
      </c>
      <c r="I292" s="26">
        <v>1.3696848252563856E-2</v>
      </c>
    </row>
    <row r="293" spans="2:9">
      <c r="B293" s="25">
        <f>Estimation_1516!F294</f>
        <v>4.2899130932194669E-2</v>
      </c>
      <c r="D293" s="25">
        <v>-9.4456554437474978E-3</v>
      </c>
      <c r="F293" s="27">
        <v>-1.2420406372113113E-2</v>
      </c>
      <c r="G293" s="29">
        <f t="shared" si="5"/>
        <v>1.2420406372113113E-2</v>
      </c>
      <c r="I293" s="25">
        <v>1.3795484502553051E-2</v>
      </c>
    </row>
    <row r="294" spans="2:9">
      <c r="B294" s="26">
        <f>Estimation_1516!F295</f>
        <v>-2.0465433947666613E-2</v>
      </c>
      <c r="D294" s="26">
        <v>-9.3677500036001594E-3</v>
      </c>
      <c r="F294" s="28">
        <v>-1.2482825056016059E-2</v>
      </c>
      <c r="G294" s="30">
        <f t="shared" si="5"/>
        <v>1.2482825056016059E-2</v>
      </c>
      <c r="I294" s="26">
        <v>1.3797286995716657E-2</v>
      </c>
    </row>
    <row r="295" spans="2:9">
      <c r="B295" s="25">
        <f>Estimation_1516!F296</f>
        <v>-2.6627500725316548E-2</v>
      </c>
      <c r="D295" s="25">
        <v>-9.2969873591706009E-3</v>
      </c>
      <c r="F295" s="27">
        <v>-1.2541010430593325E-2</v>
      </c>
      <c r="G295" s="29">
        <f t="shared" si="5"/>
        <v>1.2541010430593325E-2</v>
      </c>
      <c r="I295" s="25">
        <v>1.3926815440775012E-2</v>
      </c>
    </row>
    <row r="296" spans="2:9">
      <c r="B296" s="26">
        <f>Estimation_1516!F297</f>
        <v>2.8134011286796979E-2</v>
      </c>
      <c r="D296" s="26">
        <v>-9.275614240364256E-3</v>
      </c>
      <c r="F296" s="28">
        <v>-1.2563238044599452E-2</v>
      </c>
      <c r="G296" s="30">
        <f t="shared" si="5"/>
        <v>1.2563238044599452E-2</v>
      </c>
      <c r="I296" s="26">
        <v>1.3934839985471495E-2</v>
      </c>
    </row>
    <row r="297" spans="2:9">
      <c r="B297" s="25">
        <f>Estimation_1516!F298</f>
        <v>4.6021357601298718E-2</v>
      </c>
      <c r="D297" s="25">
        <v>-9.2601343110005722E-3</v>
      </c>
      <c r="F297" s="27">
        <v>-1.2638938527374055E-2</v>
      </c>
      <c r="G297" s="29">
        <f t="shared" si="5"/>
        <v>1.2638938527374055E-2</v>
      </c>
      <c r="I297" s="25">
        <v>1.4147299617618424E-2</v>
      </c>
    </row>
    <row r="298" spans="2:9">
      <c r="B298" s="26">
        <f>Estimation_1516!F299</f>
        <v>1.3666709402522912E-2</v>
      </c>
      <c r="D298" s="26">
        <v>-9.2360698692555906E-3</v>
      </c>
      <c r="F298" s="28">
        <v>-1.2648633849760289E-2</v>
      </c>
      <c r="G298" s="30">
        <f t="shared" si="5"/>
        <v>1.2648633849760289E-2</v>
      </c>
      <c r="I298" s="26">
        <v>1.430055014219655E-2</v>
      </c>
    </row>
    <row r="299" spans="2:9">
      <c r="B299" s="25">
        <f>Estimation_1516!F300</f>
        <v>2.4811196696287438E-2</v>
      </c>
      <c r="D299" s="25">
        <v>-9.2265762952402058E-3</v>
      </c>
      <c r="F299" s="27">
        <v>-1.2719961999560294E-2</v>
      </c>
      <c r="G299" s="29">
        <f t="shared" si="5"/>
        <v>1.2719961999560294E-2</v>
      </c>
      <c r="I299" s="25">
        <v>1.4332126735676015E-2</v>
      </c>
    </row>
    <row r="300" spans="2:9">
      <c r="B300" s="26">
        <f>Estimation_1516!F301</f>
        <v>1.6658885986638765E-2</v>
      </c>
      <c r="D300" s="26">
        <v>-9.2037152300524037E-3</v>
      </c>
      <c r="F300" s="28">
        <v>-1.2747461748410042E-2</v>
      </c>
      <c r="G300" s="30">
        <f t="shared" si="5"/>
        <v>1.2747461748410042E-2</v>
      </c>
      <c r="I300" s="26">
        <v>1.437749410675466E-2</v>
      </c>
    </row>
    <row r="301" spans="2:9">
      <c r="B301" s="25">
        <f>Estimation_1516!F302</f>
        <v>1.1017797740446846E-2</v>
      </c>
      <c r="D301" s="25">
        <v>-9.2013899103306433E-3</v>
      </c>
      <c r="F301" s="27">
        <v>-1.3042430413179337E-2</v>
      </c>
      <c r="G301" s="29">
        <f t="shared" si="5"/>
        <v>1.3042430413179337E-2</v>
      </c>
      <c r="I301" s="25">
        <v>1.4421676070986491E-2</v>
      </c>
    </row>
    <row r="302" spans="2:9">
      <c r="B302" s="26">
        <f>Estimation_1516!F303</f>
        <v>-6.3639208125575632E-3</v>
      </c>
      <c r="D302" s="26">
        <v>-9.1209145104885845E-3</v>
      </c>
      <c r="F302" s="28">
        <v>-1.3139940861133308E-2</v>
      </c>
      <c r="G302" s="30">
        <f t="shared" si="5"/>
        <v>1.3139940861133308E-2</v>
      </c>
      <c r="I302" s="26">
        <v>1.4519001310330655E-2</v>
      </c>
    </row>
    <row r="303" spans="2:9">
      <c r="B303" s="25">
        <f>Estimation_1516!F304</f>
        <v>-3.1043750236314602E-2</v>
      </c>
      <c r="D303" s="25">
        <v>-9.009069942365968E-3</v>
      </c>
      <c r="F303" s="27">
        <v>-1.3150036587345752E-2</v>
      </c>
      <c r="G303" s="29">
        <f t="shared" si="5"/>
        <v>1.3150036587345752E-2</v>
      </c>
      <c r="I303" s="25">
        <v>1.453690044909795E-2</v>
      </c>
    </row>
    <row r="304" spans="2:9">
      <c r="B304" s="26">
        <f>Estimation_1516!F305</f>
        <v>-1.6296507922988892E-2</v>
      </c>
      <c r="D304" s="26">
        <v>-9.0009608589760558E-3</v>
      </c>
      <c r="F304" s="28">
        <v>-1.3153757558740542E-2</v>
      </c>
      <c r="G304" s="30">
        <f t="shared" si="5"/>
        <v>1.3153757558740542E-2</v>
      </c>
      <c r="I304" s="26">
        <v>1.4564778294029532E-2</v>
      </c>
    </row>
    <row r="305" spans="2:9">
      <c r="B305" s="25">
        <f>Estimation_1516!F306</f>
        <v>-6.1037829380176873E-3</v>
      </c>
      <c r="D305" s="25">
        <v>-8.9406049279614659E-3</v>
      </c>
      <c r="F305" s="27">
        <v>-1.3161458254397188E-2</v>
      </c>
      <c r="G305" s="29">
        <f t="shared" si="5"/>
        <v>1.3161458254397188E-2</v>
      </c>
      <c r="I305" s="25">
        <v>1.4623803195762303E-2</v>
      </c>
    </row>
    <row r="306" spans="2:9">
      <c r="B306" s="26">
        <f>Estimation_1516!F307</f>
        <v>-2.4794658613216392E-2</v>
      </c>
      <c r="D306" s="26">
        <v>-8.9371336923715801E-3</v>
      </c>
      <c r="F306" s="28">
        <v>-1.3231745209619705E-2</v>
      </c>
      <c r="G306" s="30">
        <f t="shared" si="5"/>
        <v>1.3231745209619705E-2</v>
      </c>
      <c r="I306" s="26">
        <v>1.4730217240403409E-2</v>
      </c>
    </row>
    <row r="307" spans="2:9">
      <c r="B307" s="25">
        <f>Estimation_1516!F308</f>
        <v>6.1461091961400878E-2</v>
      </c>
      <c r="D307" s="25">
        <v>-8.9036037482682663E-3</v>
      </c>
      <c r="F307" s="27">
        <v>-1.3240729851756155E-2</v>
      </c>
      <c r="G307" s="29">
        <f t="shared" si="5"/>
        <v>1.3240729851756155E-2</v>
      </c>
      <c r="I307" s="25">
        <v>1.4734411346792584E-2</v>
      </c>
    </row>
    <row r="308" spans="2:9">
      <c r="B308" s="26">
        <f>Estimation_1516!F309</f>
        <v>-1.1675209298867915E-2</v>
      </c>
      <c r="D308" s="26">
        <v>-8.8684511716056822E-3</v>
      </c>
      <c r="F308" s="28">
        <v>-1.3489994833484769E-2</v>
      </c>
      <c r="G308" s="30">
        <f t="shared" si="5"/>
        <v>1.3489994833484769E-2</v>
      </c>
      <c r="I308" s="26">
        <v>1.476100128868355E-2</v>
      </c>
    </row>
    <row r="309" spans="2:9">
      <c r="B309" s="25">
        <f>Estimation_1516!F310</f>
        <v>-2.4379166496801441E-2</v>
      </c>
      <c r="D309" s="25">
        <v>-8.7896555634099961E-3</v>
      </c>
      <c r="F309" s="27">
        <v>-1.3544225107757149E-2</v>
      </c>
      <c r="G309" s="29">
        <f t="shared" si="5"/>
        <v>1.3544225107757149E-2</v>
      </c>
      <c r="I309" s="25">
        <v>1.4762685451133449E-2</v>
      </c>
    </row>
    <row r="310" spans="2:9">
      <c r="B310" s="26">
        <f>Estimation_1516!F311</f>
        <v>-8.191731247447322E-3</v>
      </c>
      <c r="D310" s="26">
        <v>-8.7445903887513748E-3</v>
      </c>
      <c r="F310" s="28">
        <v>-1.3566791448771017E-2</v>
      </c>
      <c r="G310" s="30">
        <f t="shared" si="5"/>
        <v>1.3566791448771017E-2</v>
      </c>
      <c r="I310" s="26">
        <v>1.4978329436855705E-2</v>
      </c>
    </row>
    <row r="311" spans="2:9">
      <c r="B311" s="25">
        <f>Estimation_1516!F312</f>
        <v>-2.3089949361305016E-2</v>
      </c>
      <c r="D311" s="25">
        <v>-8.7437280488178726E-3</v>
      </c>
      <c r="F311" s="27">
        <v>-1.3602515209281813E-2</v>
      </c>
      <c r="G311" s="29">
        <f t="shared" si="5"/>
        <v>1.3602515209281813E-2</v>
      </c>
      <c r="I311" s="25">
        <v>1.5165970541566903E-2</v>
      </c>
    </row>
    <row r="312" spans="2:9">
      <c r="B312" s="26">
        <f>Estimation_1516!F313</f>
        <v>-2.9504763237499462E-3</v>
      </c>
      <c r="D312" s="26">
        <v>-8.7259034654592147E-3</v>
      </c>
      <c r="F312" s="28">
        <v>-1.3617478281222112E-2</v>
      </c>
      <c r="G312" s="30">
        <f t="shared" si="5"/>
        <v>1.3617478281222112E-2</v>
      </c>
      <c r="I312" s="26">
        <v>1.5194324209985456E-2</v>
      </c>
    </row>
    <row r="313" spans="2:9">
      <c r="B313" s="25">
        <f>Estimation_1516!F314</f>
        <v>-4.6541230614693249E-3</v>
      </c>
      <c r="D313" s="25">
        <v>-8.7250764596288801E-3</v>
      </c>
      <c r="F313" s="27">
        <v>-1.3721448457475685E-2</v>
      </c>
      <c r="G313" s="29">
        <f t="shared" si="5"/>
        <v>1.3721448457475685E-2</v>
      </c>
      <c r="I313" s="25">
        <v>1.5210703943665263E-2</v>
      </c>
    </row>
    <row r="314" spans="2:9">
      <c r="B314" s="26">
        <f>Estimation_1516!F315</f>
        <v>-7.8765707910452305E-3</v>
      </c>
      <c r="D314" s="26">
        <v>-8.7146521024436645E-3</v>
      </c>
      <c r="F314" s="28">
        <v>-1.3778861100169026E-2</v>
      </c>
      <c r="G314" s="30">
        <f t="shared" si="5"/>
        <v>1.3778861100169026E-2</v>
      </c>
      <c r="I314" s="26">
        <v>1.529278997522851E-2</v>
      </c>
    </row>
    <row r="315" spans="2:9">
      <c r="B315" s="25">
        <f>Estimation_1516!F316</f>
        <v>-2.2696316283489979E-2</v>
      </c>
      <c r="D315" s="25">
        <v>-8.6903091919771965E-3</v>
      </c>
      <c r="F315" s="27">
        <v>-1.3838095596289544E-2</v>
      </c>
      <c r="G315" s="29">
        <f t="shared" si="5"/>
        <v>1.3838095596289544E-2</v>
      </c>
      <c r="I315" s="25">
        <v>1.5519879662114822E-2</v>
      </c>
    </row>
    <row r="316" spans="2:9">
      <c r="B316" s="26">
        <f>Estimation_1516!F317</f>
        <v>-3.289185397173143E-2</v>
      </c>
      <c r="D316" s="26">
        <v>-8.5434095043123177E-3</v>
      </c>
      <c r="F316" s="28">
        <v>-1.3882684785189472E-2</v>
      </c>
      <c r="G316" s="30">
        <f t="shared" si="5"/>
        <v>1.3882684785189472E-2</v>
      </c>
      <c r="I316" s="26">
        <v>1.5524244503492171E-2</v>
      </c>
    </row>
    <row r="317" spans="2:9">
      <c r="B317" s="25">
        <f>Estimation_1516!F318</f>
        <v>-1.113268342009968E-2</v>
      </c>
      <c r="D317" s="25">
        <v>-8.5339862588647494E-3</v>
      </c>
      <c r="F317" s="27">
        <v>-1.4016401973535883E-2</v>
      </c>
      <c r="G317" s="29">
        <f t="shared" si="5"/>
        <v>1.4016401973535883E-2</v>
      </c>
      <c r="I317" s="25">
        <v>1.5541928794088875E-2</v>
      </c>
    </row>
    <row r="318" spans="2:9">
      <c r="B318" s="26">
        <f>Estimation_1516!F319</f>
        <v>-2.7453689171926718E-3</v>
      </c>
      <c r="D318" s="26">
        <v>-8.4376818973359476E-3</v>
      </c>
      <c r="F318" s="28">
        <v>-1.404583969017853E-2</v>
      </c>
      <c r="G318" s="30">
        <f t="shared" si="5"/>
        <v>1.404583969017853E-2</v>
      </c>
      <c r="I318" s="26">
        <v>1.5664730244334596E-2</v>
      </c>
    </row>
    <row r="319" spans="2:9">
      <c r="B319" s="25">
        <f>Estimation_1516!F320</f>
        <v>-8.7437280488178726E-3</v>
      </c>
      <c r="D319" s="25">
        <v>-8.4360210100430932E-3</v>
      </c>
      <c r="F319" s="27">
        <v>-1.4110351211373098E-2</v>
      </c>
      <c r="G319" s="29">
        <f t="shared" si="5"/>
        <v>1.4110351211373098E-2</v>
      </c>
      <c r="I319" s="25">
        <v>1.5736555538985966E-2</v>
      </c>
    </row>
    <row r="320" spans="2:9">
      <c r="B320" s="26">
        <f>Estimation_1516!F321</f>
        <v>-2.311337118807871E-4</v>
      </c>
      <c r="D320" s="26">
        <v>-8.4041621159783378E-3</v>
      </c>
      <c r="F320" s="28">
        <v>-1.4130583616110646E-2</v>
      </c>
      <c r="G320" s="30">
        <f t="shared" si="5"/>
        <v>1.4130583616110646E-2</v>
      </c>
      <c r="I320" s="26">
        <v>1.5833301624006875E-2</v>
      </c>
    </row>
    <row r="321" spans="2:9">
      <c r="B321" s="25">
        <f>Estimation_1516!F322</f>
        <v>-9.2506944617271828E-4</v>
      </c>
      <c r="D321" s="25">
        <v>-8.3284241064818521E-3</v>
      </c>
      <c r="F321" s="27">
        <v>-1.4130994420473778E-2</v>
      </c>
      <c r="G321" s="29">
        <f t="shared" si="5"/>
        <v>1.4130994420473778E-2</v>
      </c>
      <c r="I321" s="25">
        <v>1.5908703316594688E-2</v>
      </c>
    </row>
    <row r="322" spans="2:9">
      <c r="B322" s="26">
        <f>Estimation_1516!F323</f>
        <v>-3.0778889141759795E-2</v>
      </c>
      <c r="D322" s="26">
        <v>-8.318526875090871E-3</v>
      </c>
      <c r="F322" s="28">
        <v>-1.4191128519532907E-2</v>
      </c>
      <c r="G322" s="30">
        <f t="shared" si="5"/>
        <v>1.4191128519532907E-2</v>
      </c>
      <c r="I322" s="26">
        <v>1.597686413694123E-2</v>
      </c>
    </row>
    <row r="323" spans="2:9">
      <c r="B323" s="25">
        <f>Estimation_1516!F324</f>
        <v>1.1623900300931965E-2</v>
      </c>
      <c r="D323" s="25">
        <v>-8.2930675707608339E-3</v>
      </c>
      <c r="F323" s="27">
        <v>-1.4215657654013445E-2</v>
      </c>
      <c r="G323" s="29">
        <f t="shared" si="5"/>
        <v>1.4215657654013445E-2</v>
      </c>
      <c r="I323" s="25">
        <v>1.6144521860694566E-2</v>
      </c>
    </row>
    <row r="324" spans="2:9">
      <c r="B324" s="26">
        <f>Estimation_1516!F325</f>
        <v>-1.8327301031027962E-2</v>
      </c>
      <c r="D324" s="26">
        <v>-8.2889758189550571E-3</v>
      </c>
      <c r="F324" s="28">
        <v>-1.4236193786179525E-2</v>
      </c>
      <c r="G324" s="30">
        <f t="shared" ref="G324:G387" si="6">-1*F324</f>
        <v>1.4236193786179525E-2</v>
      </c>
      <c r="I324" s="26">
        <v>1.6252347342300424E-2</v>
      </c>
    </row>
    <row r="325" spans="2:9">
      <c r="B325" s="25">
        <f>Estimation_1516!F326</f>
        <v>2.9817637321904834E-2</v>
      </c>
      <c r="D325" s="25">
        <v>-8.2512887106834156E-3</v>
      </c>
      <c r="F325" s="27">
        <v>-1.4244187159672902E-2</v>
      </c>
      <c r="G325" s="29">
        <f t="shared" si="6"/>
        <v>1.4244187159672902E-2</v>
      </c>
      <c r="I325" s="25">
        <v>1.6255126532060883E-2</v>
      </c>
    </row>
    <row r="326" spans="2:9">
      <c r="B326" s="26">
        <f>Estimation_1516!F327</f>
        <v>1.9624316719832582E-2</v>
      </c>
      <c r="D326" s="26">
        <v>-8.191731247447322E-3</v>
      </c>
      <c r="F326" s="28">
        <v>-1.430018033400283E-2</v>
      </c>
      <c r="G326" s="30">
        <f t="shared" si="6"/>
        <v>1.430018033400283E-2</v>
      </c>
      <c r="I326" s="26">
        <v>1.6307874513521083E-2</v>
      </c>
    </row>
    <row r="327" spans="2:9">
      <c r="B327" s="25">
        <f>Estimation_1516!F328</f>
        <v>1.430055014219655E-2</v>
      </c>
      <c r="D327" s="25">
        <v>-8.1880129939505292E-3</v>
      </c>
      <c r="F327" s="27">
        <v>-1.4334458949087362E-2</v>
      </c>
      <c r="G327" s="29">
        <f t="shared" si="6"/>
        <v>1.4334458949087362E-2</v>
      </c>
      <c r="I327" s="25">
        <v>1.6356822654125719E-2</v>
      </c>
    </row>
    <row r="328" spans="2:9">
      <c r="B328" s="26">
        <f>Estimation_1516!F329</f>
        <v>7.5507552508145101E-2</v>
      </c>
      <c r="D328" s="26">
        <v>-8.1874462366621562E-3</v>
      </c>
      <c r="F328" s="28">
        <v>-1.4544673912411739E-2</v>
      </c>
      <c r="G328" s="30">
        <f t="shared" si="6"/>
        <v>1.4544673912411739E-2</v>
      </c>
      <c r="I328" s="26">
        <v>1.6390888959015963E-2</v>
      </c>
    </row>
    <row r="329" spans="2:9">
      <c r="B329" s="25">
        <f>Estimation_1516!F330</f>
        <v>-2.9300983709476523E-3</v>
      </c>
      <c r="D329" s="25">
        <v>-8.1517930643014037E-3</v>
      </c>
      <c r="F329" s="27">
        <v>-1.4589006972109981E-2</v>
      </c>
      <c r="G329" s="29">
        <f t="shared" si="6"/>
        <v>1.4589006972109981E-2</v>
      </c>
      <c r="I329" s="25">
        <v>1.6453753278942648E-2</v>
      </c>
    </row>
    <row r="330" spans="2:9">
      <c r="B330" s="26">
        <f>Estimation_1516!F331</f>
        <v>-1.9257816604414647E-2</v>
      </c>
      <c r="D330" s="26">
        <v>-8.1512122307063114E-3</v>
      </c>
      <c r="F330" s="28">
        <v>-1.4682448180063179E-2</v>
      </c>
      <c r="G330" s="30">
        <f t="shared" si="6"/>
        <v>1.4682448180063179E-2</v>
      </c>
      <c r="I330" s="26">
        <v>1.6543847934701077E-2</v>
      </c>
    </row>
    <row r="331" spans="2:9">
      <c r="B331" s="25">
        <f>Estimation_1516!F332</f>
        <v>-1.7108644036294301E-3</v>
      </c>
      <c r="D331" s="25">
        <v>-8.0871358331794652E-3</v>
      </c>
      <c r="F331" s="27">
        <v>-1.4876669025443484E-2</v>
      </c>
      <c r="G331" s="29">
        <f t="shared" si="6"/>
        <v>1.4876669025443484E-2</v>
      </c>
      <c r="I331" s="25">
        <v>1.6631664328739245E-2</v>
      </c>
    </row>
    <row r="332" spans="2:9">
      <c r="B332" s="26">
        <f>Estimation_1516!F333</f>
        <v>1.1068652809190064E-2</v>
      </c>
      <c r="D332" s="26">
        <v>-7.8818142022533677E-3</v>
      </c>
      <c r="F332" s="28">
        <v>-1.490081819718893E-2</v>
      </c>
      <c r="G332" s="30">
        <f t="shared" si="6"/>
        <v>1.490081819718893E-2</v>
      </c>
      <c r="I332" s="26">
        <v>1.6658885986638765E-2</v>
      </c>
    </row>
    <row r="333" spans="2:9">
      <c r="B333" s="25">
        <f>Estimation_1516!F334</f>
        <v>3.0643356489289817E-2</v>
      </c>
      <c r="D333" s="25">
        <v>-7.8765707910452305E-3</v>
      </c>
      <c r="F333" s="27">
        <v>-1.4929776897524477E-2</v>
      </c>
      <c r="G333" s="29">
        <f t="shared" si="6"/>
        <v>1.4929776897524477E-2</v>
      </c>
      <c r="I333" s="25">
        <v>1.6688559357016516E-2</v>
      </c>
    </row>
    <row r="334" spans="2:9">
      <c r="B334" s="26">
        <f>Estimation_1516!F335</f>
        <v>-3.0842010672086175E-3</v>
      </c>
      <c r="D334" s="26">
        <v>-7.8575095909383004E-3</v>
      </c>
      <c r="F334" s="28">
        <v>-1.4973541790162593E-2</v>
      </c>
      <c r="G334" s="30">
        <f t="shared" si="6"/>
        <v>1.4973541790162593E-2</v>
      </c>
      <c r="I334" s="26">
        <v>1.6798731833713932E-2</v>
      </c>
    </row>
    <row r="335" spans="2:9">
      <c r="B335" s="25">
        <f>Estimation_1516!F336</f>
        <v>8.6119047727788774E-3</v>
      </c>
      <c r="D335" s="25">
        <v>-7.6923456231557255E-3</v>
      </c>
      <c r="F335" s="27">
        <v>-1.4986043984057161E-2</v>
      </c>
      <c r="G335" s="29">
        <f t="shared" si="6"/>
        <v>1.4986043984057161E-2</v>
      </c>
      <c r="I335" s="25">
        <v>1.6902726486855126E-2</v>
      </c>
    </row>
    <row r="336" spans="2:9">
      <c r="B336" s="26">
        <f>Estimation_1516!F337</f>
        <v>-3.3211852793382152E-2</v>
      </c>
      <c r="D336" s="26">
        <v>-7.6544933605321901E-3</v>
      </c>
      <c r="F336" s="28">
        <v>-1.5071207253788467E-2</v>
      </c>
      <c r="G336" s="30">
        <f t="shared" si="6"/>
        <v>1.5071207253788467E-2</v>
      </c>
      <c r="I336" s="26">
        <v>1.6992455136197692E-2</v>
      </c>
    </row>
    <row r="337" spans="2:9">
      <c r="B337" s="25">
        <f>Estimation_1516!F338</f>
        <v>3.219050657039272E-2</v>
      </c>
      <c r="D337" s="25">
        <v>-7.633624855071095E-3</v>
      </c>
      <c r="F337" s="27">
        <v>-1.5176915822014692E-2</v>
      </c>
      <c r="G337" s="29">
        <f t="shared" si="6"/>
        <v>1.5176915822014692E-2</v>
      </c>
      <c r="I337" s="25">
        <v>1.7179273419522155E-2</v>
      </c>
    </row>
    <row r="338" spans="2:9">
      <c r="B338" s="26">
        <f>Estimation_1516!F339</f>
        <v>-9.4456554437474978E-3</v>
      </c>
      <c r="D338" s="26">
        <v>-7.6153237863421106E-3</v>
      </c>
      <c r="F338" s="28">
        <v>-1.5177357105334228E-2</v>
      </c>
      <c r="G338" s="30">
        <f t="shared" si="6"/>
        <v>1.5177357105334228E-2</v>
      </c>
      <c r="I338" s="26">
        <v>1.7426714472176169E-2</v>
      </c>
    </row>
    <row r="339" spans="2:9">
      <c r="B339" s="25">
        <f>Estimation_1516!F340</f>
        <v>1.250656998542595E-2</v>
      </c>
      <c r="D339" s="25">
        <v>-7.6074214179577436E-3</v>
      </c>
      <c r="F339" s="27">
        <v>-1.5227234190429019E-2</v>
      </c>
      <c r="G339" s="29">
        <f t="shared" si="6"/>
        <v>1.5227234190429019E-2</v>
      </c>
      <c r="I339" s="25">
        <v>1.743044315112403E-2</v>
      </c>
    </row>
    <row r="340" spans="2:9">
      <c r="B340" s="26">
        <f>Estimation_1516!F341</f>
        <v>-1.871519920058131E-2</v>
      </c>
      <c r="D340" s="26">
        <v>-7.5537837388499774E-3</v>
      </c>
      <c r="F340" s="28">
        <v>-1.5275514303944419E-2</v>
      </c>
      <c r="G340" s="30">
        <f t="shared" si="6"/>
        <v>1.5275514303944419E-2</v>
      </c>
      <c r="I340" s="26">
        <v>1.7515577734057635E-2</v>
      </c>
    </row>
    <row r="341" spans="2:9">
      <c r="B341" s="25">
        <f>Estimation_1516!F342</f>
        <v>-1.907214888336763E-2</v>
      </c>
      <c r="D341" s="25">
        <v>-7.5338269035526949E-3</v>
      </c>
      <c r="F341" s="27">
        <v>-1.5467292293307599E-2</v>
      </c>
      <c r="G341" s="29">
        <f t="shared" si="6"/>
        <v>1.5467292293307599E-2</v>
      </c>
      <c r="I341" s="25">
        <v>1.7659842368459442E-2</v>
      </c>
    </row>
    <row r="342" spans="2:9">
      <c r="B342" s="26">
        <f>Estimation_1516!F343</f>
        <v>-3.9711735081349384E-2</v>
      </c>
      <c r="D342" s="26">
        <v>-7.4976921058008128E-3</v>
      </c>
      <c r="F342" s="28">
        <v>-1.5515752109878092E-2</v>
      </c>
      <c r="G342" s="30">
        <f t="shared" si="6"/>
        <v>1.5515752109878092E-2</v>
      </c>
      <c r="I342" s="26">
        <v>1.7699577099400857E-2</v>
      </c>
    </row>
    <row r="343" spans="2:9">
      <c r="B343" s="25">
        <f>Estimation_1516!F344</f>
        <v>-3.1308460579096691E-2</v>
      </c>
      <c r="D343" s="25">
        <v>-7.4370264277509833E-3</v>
      </c>
      <c r="F343" s="27">
        <v>-1.5568079990102788E-2</v>
      </c>
      <c r="G343" s="29">
        <f t="shared" si="6"/>
        <v>1.5568079990102788E-2</v>
      </c>
      <c r="I343" s="25">
        <v>1.7710386566332021E-2</v>
      </c>
    </row>
    <row r="344" spans="2:9">
      <c r="B344" s="26">
        <f>Estimation_1516!F345</f>
        <v>-1.5568079990102788E-2</v>
      </c>
      <c r="D344" s="26">
        <v>-7.3712255536031437E-3</v>
      </c>
      <c r="F344" s="28">
        <v>-1.5586453822425283E-2</v>
      </c>
      <c r="G344" s="30">
        <f t="shared" si="6"/>
        <v>1.5586453822425283E-2</v>
      </c>
      <c r="I344" s="26">
        <v>1.7760703661967591E-2</v>
      </c>
    </row>
    <row r="345" spans="2:9">
      <c r="B345" s="25">
        <f>Estimation_1516!F346</f>
        <v>6.2104857464621022E-3</v>
      </c>
      <c r="D345" s="25">
        <v>-7.3603544062924185E-3</v>
      </c>
      <c r="F345" s="27">
        <v>-1.5666116744399237E-2</v>
      </c>
      <c r="G345" s="29">
        <f t="shared" si="6"/>
        <v>1.5666116744399237E-2</v>
      </c>
      <c r="I345" s="25">
        <v>1.7773599083964069E-2</v>
      </c>
    </row>
    <row r="346" spans="2:9">
      <c r="B346" s="26">
        <f>Estimation_1516!F347</f>
        <v>5.716261135067219E-3</v>
      </c>
      <c r="D346" s="26">
        <v>-7.340191349199947E-3</v>
      </c>
      <c r="F346" s="28">
        <v>-1.570712920535788E-2</v>
      </c>
      <c r="G346" s="30">
        <f t="shared" si="6"/>
        <v>1.570712920535788E-2</v>
      </c>
      <c r="I346" s="26">
        <v>1.7864319556827501E-2</v>
      </c>
    </row>
    <row r="347" spans="2:9">
      <c r="B347" s="25">
        <f>Estimation_1516!F348</f>
        <v>-7.1585637658257734E-2</v>
      </c>
      <c r="D347" s="25">
        <v>-7.2778002741560885E-3</v>
      </c>
      <c r="F347" s="27">
        <v>-1.5813640352453064E-2</v>
      </c>
      <c r="G347" s="29">
        <f t="shared" si="6"/>
        <v>1.5813640352453064E-2</v>
      </c>
      <c r="I347" s="25">
        <v>1.814387130673854E-2</v>
      </c>
    </row>
    <row r="348" spans="2:9">
      <c r="B348" s="26">
        <f>Estimation_1516!F349</f>
        <v>2.8490579849806137E-2</v>
      </c>
      <c r="D348" s="26">
        <v>-7.2089326458573411E-3</v>
      </c>
      <c r="F348" s="28">
        <v>-1.5860760722542919E-2</v>
      </c>
      <c r="G348" s="30">
        <f t="shared" si="6"/>
        <v>1.5860760722542919E-2</v>
      </c>
      <c r="I348" s="26">
        <v>1.8154140373813764E-2</v>
      </c>
    </row>
    <row r="349" spans="2:9">
      <c r="B349" s="25">
        <f>Estimation_1516!F350</f>
        <v>-1.6077130927668264E-2</v>
      </c>
      <c r="D349" s="25">
        <v>-7.2034702100631249E-3</v>
      </c>
      <c r="F349" s="27">
        <v>-1.5872101885474589E-2</v>
      </c>
      <c r="G349" s="29">
        <f t="shared" si="6"/>
        <v>1.5872101885474589E-2</v>
      </c>
      <c r="I349" s="25">
        <v>1.8234202744847244E-2</v>
      </c>
    </row>
    <row r="350" spans="2:9">
      <c r="B350" s="26">
        <f>Estimation_1516!F351</f>
        <v>2.2720097230774946E-2</v>
      </c>
      <c r="D350" s="26">
        <v>-7.1942756340270851E-3</v>
      </c>
      <c r="F350" s="28">
        <v>-1.5885472278721745E-2</v>
      </c>
      <c r="G350" s="30">
        <f t="shared" si="6"/>
        <v>1.5885472278721745E-2</v>
      </c>
      <c r="I350" s="26">
        <v>1.8284201494888803E-2</v>
      </c>
    </row>
    <row r="351" spans="2:9">
      <c r="B351" s="25">
        <f>Estimation_1516!F352</f>
        <v>-5.2157538819677602E-3</v>
      </c>
      <c r="D351" s="25">
        <v>-7.1837478020282137E-3</v>
      </c>
      <c r="F351" s="27">
        <v>-1.5960670416797291E-2</v>
      </c>
      <c r="G351" s="29">
        <f t="shared" si="6"/>
        <v>1.5960670416797291E-2</v>
      </c>
      <c r="I351" s="25">
        <v>1.831133791595704E-2</v>
      </c>
    </row>
    <row r="352" spans="2:9">
      <c r="B352" s="26">
        <f>Estimation_1516!F353</f>
        <v>1.3926815440775012E-2</v>
      </c>
      <c r="D352" s="26">
        <v>-7.168489478612516E-3</v>
      </c>
      <c r="F352" s="28">
        <v>-1.5991618273476938E-2</v>
      </c>
      <c r="G352" s="30">
        <f t="shared" si="6"/>
        <v>1.5991618273476938E-2</v>
      </c>
      <c r="I352" s="26">
        <v>1.8351944933464426E-2</v>
      </c>
    </row>
    <row r="353" spans="2:9">
      <c r="B353" s="25">
        <f>Estimation_1516!F354</f>
        <v>1.9729083689384148E-2</v>
      </c>
      <c r="D353" s="25">
        <v>-7.1631774735696086E-3</v>
      </c>
      <c r="F353" s="27">
        <v>-1.6031967399986545E-2</v>
      </c>
      <c r="G353" s="29">
        <f t="shared" si="6"/>
        <v>1.6031967399986545E-2</v>
      </c>
      <c r="I353" s="25">
        <v>1.8376332163514024E-2</v>
      </c>
    </row>
    <row r="354" spans="2:9">
      <c r="B354" s="26">
        <f>Estimation_1516!F355</f>
        <v>-3.2228388853138977E-3</v>
      </c>
      <c r="D354" s="26">
        <v>-7.0611788943451739E-3</v>
      </c>
      <c r="F354" s="28">
        <v>-1.6077130927668264E-2</v>
      </c>
      <c r="G354" s="30">
        <f t="shared" si="6"/>
        <v>1.6077130927668264E-2</v>
      </c>
      <c r="I354" s="26">
        <v>1.8466563705026768E-2</v>
      </c>
    </row>
    <row r="355" spans="2:9">
      <c r="B355" s="25">
        <f>Estimation_1516!F356</f>
        <v>1.4421676070986491E-2</v>
      </c>
      <c r="D355" s="25">
        <v>-7.041204661105362E-3</v>
      </c>
      <c r="F355" s="27">
        <v>-1.6087106983832422E-2</v>
      </c>
      <c r="G355" s="29">
        <f t="shared" si="6"/>
        <v>1.6087106983832422E-2</v>
      </c>
      <c r="I355" s="25">
        <v>1.8485332413002691E-2</v>
      </c>
    </row>
    <row r="356" spans="2:9">
      <c r="B356" s="26">
        <f>Estimation_1516!F357</f>
        <v>0</v>
      </c>
      <c r="D356" s="26">
        <v>-7.0373267205762037E-3</v>
      </c>
      <c r="F356" s="28">
        <v>-1.6296507922988892E-2</v>
      </c>
      <c r="G356" s="30">
        <f t="shared" si="6"/>
        <v>1.6296507922988892E-2</v>
      </c>
      <c r="I356" s="26">
        <v>1.8490735749930376E-2</v>
      </c>
    </row>
    <row r="357" spans="2:9">
      <c r="B357" s="25">
        <f>Estimation_1516!F358</f>
        <v>3.9439220747289394E-2</v>
      </c>
      <c r="D357" s="25">
        <v>-6.9969814860813984E-3</v>
      </c>
      <c r="F357" s="27">
        <v>-1.6523094645832827E-2</v>
      </c>
      <c r="G357" s="29">
        <f t="shared" si="6"/>
        <v>1.6523094645832827E-2</v>
      </c>
      <c r="I357" s="25">
        <v>1.8659890690585445E-2</v>
      </c>
    </row>
    <row r="358" spans="2:9">
      <c r="B358" s="26">
        <f>Estimation_1516!F359</f>
        <v>3.7100856375044906E-2</v>
      </c>
      <c r="D358" s="26">
        <v>-6.9789857126056542E-3</v>
      </c>
      <c r="F358" s="28">
        <v>-1.654069413275645E-2</v>
      </c>
      <c r="G358" s="30">
        <f t="shared" si="6"/>
        <v>1.654069413275645E-2</v>
      </c>
      <c r="I358" s="26">
        <v>1.8740214063076129E-2</v>
      </c>
    </row>
    <row r="359" spans="2:9">
      <c r="B359" s="25">
        <f>Estimation_1516!F360</f>
        <v>4.2096401379389297E-4</v>
      </c>
      <c r="D359" s="25">
        <v>-6.958128209466838E-3</v>
      </c>
      <c r="F359" s="27">
        <v>-1.6618812129966656E-2</v>
      </c>
      <c r="G359" s="29">
        <f t="shared" si="6"/>
        <v>1.6618812129966656E-2</v>
      </c>
      <c r="I359" s="25">
        <v>1.875943217288658E-2</v>
      </c>
    </row>
    <row r="360" spans="2:9">
      <c r="B360" s="26">
        <f>Estimation_1516!F361</f>
        <v>-6.341681602837107E-2</v>
      </c>
      <c r="D360" s="26">
        <v>-6.9449854321001498E-3</v>
      </c>
      <c r="F360" s="28">
        <v>-1.6700647298175646E-2</v>
      </c>
      <c r="G360" s="30">
        <f t="shared" si="6"/>
        <v>1.6700647298175646E-2</v>
      </c>
      <c r="I360" s="26">
        <v>1.8782566962182907E-2</v>
      </c>
    </row>
    <row r="361" spans="2:9">
      <c r="B361" s="25">
        <f>Estimation_1516!F362</f>
        <v>-1.3544225107757149E-2</v>
      </c>
      <c r="D361" s="25">
        <v>-6.938912282272244E-3</v>
      </c>
      <c r="F361" s="27">
        <v>-1.6743572361286884E-2</v>
      </c>
      <c r="G361" s="29">
        <f t="shared" si="6"/>
        <v>1.6743572361286884E-2</v>
      </c>
      <c r="I361" s="25">
        <v>1.922793793873499E-2</v>
      </c>
    </row>
    <row r="362" spans="2:9">
      <c r="B362" s="26">
        <f>Estimation_1516!F363</f>
        <v>-1.4191128519532907E-2</v>
      </c>
      <c r="D362" s="26">
        <v>-6.9341535889989635E-3</v>
      </c>
      <c r="F362" s="28">
        <v>-1.6794287851725813E-2</v>
      </c>
      <c r="G362" s="30">
        <f t="shared" si="6"/>
        <v>1.6794287851725813E-2</v>
      </c>
      <c r="I362" s="26">
        <v>1.9300961037047138E-2</v>
      </c>
    </row>
    <row r="363" spans="2:9">
      <c r="B363" s="25">
        <f>Estimation_1516!F364</f>
        <v>-9.7290551981190371E-3</v>
      </c>
      <c r="D363" s="25">
        <v>-6.9204428445737952E-3</v>
      </c>
      <c r="F363" s="27">
        <v>-1.6798731833713953E-2</v>
      </c>
      <c r="G363" s="29">
        <f t="shared" si="6"/>
        <v>1.6798731833713953E-2</v>
      </c>
      <c r="I363" s="25">
        <v>1.937106575599979E-2</v>
      </c>
    </row>
    <row r="364" spans="2:9">
      <c r="B364" s="26">
        <f>Estimation_1516!F365</f>
        <v>1.1631965950356356E-3</v>
      </c>
      <c r="D364" s="26">
        <v>-6.9092520356866952E-3</v>
      </c>
      <c r="F364" s="28">
        <v>-1.680711831638106E-2</v>
      </c>
      <c r="G364" s="30">
        <f t="shared" si="6"/>
        <v>1.680711831638106E-2</v>
      </c>
      <c r="I364" s="26">
        <v>1.9405092009688117E-2</v>
      </c>
    </row>
    <row r="365" spans="2:9">
      <c r="B365" s="25">
        <f>Estimation_1516!F366</f>
        <v>-1.9012425753678869E-2</v>
      </c>
      <c r="D365" s="25">
        <v>-6.8789406101607414E-3</v>
      </c>
      <c r="F365" s="27">
        <v>-1.6966565892196025E-2</v>
      </c>
      <c r="G365" s="29">
        <f t="shared" si="6"/>
        <v>1.6966565892196025E-2</v>
      </c>
      <c r="I365" s="25">
        <v>1.9454815164731978E-2</v>
      </c>
    </row>
    <row r="366" spans="2:9">
      <c r="B366" s="26">
        <f>Estimation_1516!F367</f>
        <v>-8.3284241064818521E-3</v>
      </c>
      <c r="D366" s="26">
        <v>-6.8789406101607414E-3</v>
      </c>
      <c r="F366" s="28">
        <v>-1.7046993582393779E-2</v>
      </c>
      <c r="G366" s="30">
        <f t="shared" si="6"/>
        <v>1.7046993582393779E-2</v>
      </c>
      <c r="I366" s="26">
        <v>1.9623987869983418E-2</v>
      </c>
    </row>
    <row r="367" spans="2:9">
      <c r="B367" s="25">
        <f>Estimation_1516!F368</f>
        <v>3.151719003712556E-2</v>
      </c>
      <c r="D367" s="25">
        <v>-6.7648123414403936E-3</v>
      </c>
      <c r="F367" s="27">
        <v>-1.7089169633477071E-2</v>
      </c>
      <c r="G367" s="29">
        <f t="shared" si="6"/>
        <v>1.7089169633477071E-2</v>
      </c>
      <c r="I367" s="25">
        <v>1.9624316719832582E-2</v>
      </c>
    </row>
    <row r="368" spans="2:9">
      <c r="B368" s="26">
        <f>Estimation_1516!F369</f>
        <v>-7.2034702100631249E-3</v>
      </c>
      <c r="D368" s="26">
        <v>-6.7443541972751972E-3</v>
      </c>
      <c r="F368" s="28">
        <v>-1.7178336535084403E-2</v>
      </c>
      <c r="G368" s="30">
        <f t="shared" si="6"/>
        <v>1.7178336535084403E-2</v>
      </c>
      <c r="I368" s="26">
        <v>1.9729083689384148E-2</v>
      </c>
    </row>
    <row r="369" spans="2:9">
      <c r="B369" s="25">
        <f>Estimation_1516!F370</f>
        <v>-1.8832948333092125E-2</v>
      </c>
      <c r="D369" s="25">
        <v>-6.7397053769132778E-3</v>
      </c>
      <c r="F369" s="27">
        <v>-1.7205261716127362E-2</v>
      </c>
      <c r="G369" s="29">
        <f t="shared" si="6"/>
        <v>1.7205261716127362E-2</v>
      </c>
      <c r="I369" s="25">
        <v>1.9731581862595049E-2</v>
      </c>
    </row>
    <row r="370" spans="2:9">
      <c r="B370" s="26">
        <f>Estimation_1516!F371</f>
        <v>-3.7530127789237269E-2</v>
      </c>
      <c r="D370" s="26">
        <v>-6.7039357221903295E-3</v>
      </c>
      <c r="F370" s="28">
        <v>-1.7236302872325512E-2</v>
      </c>
      <c r="G370" s="30">
        <f t="shared" si="6"/>
        <v>1.7236302872325512E-2</v>
      </c>
      <c r="I370" s="26">
        <v>1.9799765251048106E-2</v>
      </c>
    </row>
    <row r="371" spans="2:9">
      <c r="B371" s="25">
        <f>Estimation_1516!F372</f>
        <v>-3.7455679095325406E-2</v>
      </c>
      <c r="D371" s="25">
        <v>-6.580826607653625E-3</v>
      </c>
      <c r="F371" s="27">
        <v>-1.7432556777568067E-2</v>
      </c>
      <c r="G371" s="29">
        <f t="shared" si="6"/>
        <v>1.7432556777568067E-2</v>
      </c>
      <c r="I371" s="25">
        <v>2.0026790349874243E-2</v>
      </c>
    </row>
    <row r="372" spans="2:9">
      <c r="B372" s="26">
        <f>Estimation_1516!F373</f>
        <v>-2.5685677237196829E-2</v>
      </c>
      <c r="D372" s="26">
        <v>-6.4911875958277472E-3</v>
      </c>
      <c r="F372" s="28">
        <v>-1.7450485038669705E-2</v>
      </c>
      <c r="G372" s="30">
        <f t="shared" si="6"/>
        <v>1.7450485038669705E-2</v>
      </c>
      <c r="I372" s="26">
        <v>2.0315674011292705E-2</v>
      </c>
    </row>
    <row r="373" spans="2:9">
      <c r="B373" s="25">
        <f>Estimation_1516!F374</f>
        <v>2.8867622723909247E-3</v>
      </c>
      <c r="D373" s="25">
        <v>-6.4500347654822925E-3</v>
      </c>
      <c r="F373" s="27">
        <v>-1.750664033821064E-2</v>
      </c>
      <c r="G373" s="29">
        <f t="shared" si="6"/>
        <v>1.750664033821064E-2</v>
      </c>
      <c r="I373" s="25">
        <v>2.0433198557292778E-2</v>
      </c>
    </row>
    <row r="374" spans="2:9">
      <c r="B374" s="26">
        <f>Estimation_1516!F375</f>
        <v>-2.1454935001259487E-2</v>
      </c>
      <c r="D374" s="26">
        <v>-6.371702972692783E-3</v>
      </c>
      <c r="F374" s="28">
        <v>-1.7570483512238971E-2</v>
      </c>
      <c r="G374" s="30">
        <f t="shared" si="6"/>
        <v>1.7570483512238971E-2</v>
      </c>
      <c r="I374" s="26">
        <v>2.0676132838427435E-2</v>
      </c>
    </row>
    <row r="375" spans="2:9">
      <c r="B375" s="25">
        <f>Estimation_1516!F376</f>
        <v>4.6300933587790326E-2</v>
      </c>
      <c r="D375" s="25">
        <v>-6.3639208125575632E-3</v>
      </c>
      <c r="F375" s="27">
        <v>-1.7621601349819559E-2</v>
      </c>
      <c r="G375" s="29">
        <f t="shared" si="6"/>
        <v>1.7621601349819559E-2</v>
      </c>
      <c r="I375" s="25">
        <v>2.0700820606296948E-2</v>
      </c>
    </row>
    <row r="376" spans="2:9">
      <c r="B376" s="26">
        <f>Estimation_1516!F377</f>
        <v>3.5901935394805372E-2</v>
      </c>
      <c r="D376" s="26">
        <v>-6.22442632065785E-3</v>
      </c>
      <c r="F376" s="28">
        <v>-1.7669947323449411E-2</v>
      </c>
      <c r="G376" s="30">
        <f t="shared" si="6"/>
        <v>1.7669947323449411E-2</v>
      </c>
      <c r="I376" s="26">
        <v>2.0724425943575462E-2</v>
      </c>
    </row>
    <row r="377" spans="2:9">
      <c r="B377" s="25">
        <f>Estimation_1516!F378</f>
        <v>4.4291410988994539E-3</v>
      </c>
      <c r="D377" s="25">
        <v>-6.1792163659580082E-3</v>
      </c>
      <c r="F377" s="27">
        <v>-1.808919325526925E-2</v>
      </c>
      <c r="G377" s="29">
        <f t="shared" si="6"/>
        <v>1.808919325526925E-2</v>
      </c>
      <c r="I377" s="25">
        <v>2.1053409197832482E-2</v>
      </c>
    </row>
    <row r="378" spans="2:9">
      <c r="B378" s="26">
        <f>Estimation_1516!F379</f>
        <v>-5.6629475478278809E-3</v>
      </c>
      <c r="D378" s="26">
        <v>-6.1511617499537393E-3</v>
      </c>
      <c r="F378" s="28">
        <v>-1.8118261101543878E-2</v>
      </c>
      <c r="G378" s="30">
        <f t="shared" si="6"/>
        <v>1.8118261101543878E-2</v>
      </c>
      <c r="I378" s="26">
        <v>2.1107826524322439E-2</v>
      </c>
    </row>
    <row r="379" spans="2:9">
      <c r="B379" s="25">
        <f>Estimation_1516!F380</f>
        <v>2.4391453124159263E-2</v>
      </c>
      <c r="D379" s="25">
        <v>-6.1037829380176873E-3</v>
      </c>
      <c r="F379" s="27">
        <v>-1.8327301031027962E-2</v>
      </c>
      <c r="G379" s="29">
        <f t="shared" si="6"/>
        <v>1.8327301031027962E-2</v>
      </c>
      <c r="I379" s="25">
        <v>2.1279100631442453E-2</v>
      </c>
    </row>
    <row r="380" spans="2:9">
      <c r="B380" s="26">
        <f>Estimation_1516!F381</f>
        <v>-0.18792760279247789</v>
      </c>
      <c r="D380" s="26">
        <v>-6.0774397655078945E-3</v>
      </c>
      <c r="F380" s="28">
        <v>-1.8469166769037215E-2</v>
      </c>
      <c r="G380" s="30">
        <f t="shared" si="6"/>
        <v>1.8469166769037215E-2</v>
      </c>
      <c r="I380" s="26">
        <v>2.1335601430204094E-2</v>
      </c>
    </row>
    <row r="381" spans="2:9">
      <c r="B381" s="25">
        <f>Estimation_1516!F382</f>
        <v>-5.0390746540967146E-2</v>
      </c>
      <c r="D381" s="25">
        <v>-5.982071677547429E-3</v>
      </c>
      <c r="F381" s="27">
        <v>-1.8542328858772581E-2</v>
      </c>
      <c r="G381" s="29">
        <f t="shared" si="6"/>
        <v>1.8542328858772581E-2</v>
      </c>
      <c r="I381" s="25">
        <v>2.1385743743850695E-2</v>
      </c>
    </row>
    <row r="382" spans="2:9">
      <c r="B382" s="26">
        <f>Estimation_1516!F383</f>
        <v>2.3274437320027489E-2</v>
      </c>
      <c r="D382" s="26">
        <v>-5.9729822344497347E-3</v>
      </c>
      <c r="F382" s="28">
        <v>-1.865943350427722E-2</v>
      </c>
      <c r="G382" s="30">
        <f t="shared" si="6"/>
        <v>1.865943350427722E-2</v>
      </c>
      <c r="I382" s="26">
        <v>2.1506205220963682E-2</v>
      </c>
    </row>
    <row r="383" spans="2:9">
      <c r="B383" s="25">
        <f>Estimation_1516!F384</f>
        <v>8.9233191742409713E-3</v>
      </c>
      <c r="D383" s="25">
        <v>-5.9650794684750165E-3</v>
      </c>
      <c r="F383" s="27">
        <v>-1.871519920058131E-2</v>
      </c>
      <c r="G383" s="29">
        <f t="shared" si="6"/>
        <v>1.871519920058131E-2</v>
      </c>
      <c r="I383" s="25">
        <v>2.1512631233462164E-2</v>
      </c>
    </row>
    <row r="384" spans="2:9">
      <c r="B384" s="26">
        <f>Estimation_1516!F385</f>
        <v>9.4312517523355028E-3</v>
      </c>
      <c r="D384" s="26">
        <v>-5.9600006138146745E-3</v>
      </c>
      <c r="F384" s="28">
        <v>-1.8737326666971039E-2</v>
      </c>
      <c r="G384" s="30">
        <f t="shared" si="6"/>
        <v>1.8737326666971039E-2</v>
      </c>
      <c r="I384" s="26">
        <v>2.1722128164793061E-2</v>
      </c>
    </row>
    <row r="385" spans="2:9">
      <c r="B385" s="25">
        <f>Estimation_1516!F386</f>
        <v>-6.1792163659580082E-3</v>
      </c>
      <c r="D385" s="25">
        <v>-5.9576135559648961E-3</v>
      </c>
      <c r="F385" s="27">
        <v>-1.8742664349171999E-2</v>
      </c>
      <c r="G385" s="29">
        <f t="shared" si="6"/>
        <v>1.8742664349171999E-2</v>
      </c>
      <c r="I385" s="25">
        <v>2.2289678623840209E-2</v>
      </c>
    </row>
    <row r="386" spans="2:9">
      <c r="B386" s="26">
        <f>Estimation_1516!F387</f>
        <v>-1.5467292293307599E-2</v>
      </c>
      <c r="D386" s="26">
        <v>-5.8952630868182856E-3</v>
      </c>
      <c r="F386" s="28">
        <v>-1.8810348683141378E-2</v>
      </c>
      <c r="G386" s="30">
        <f t="shared" si="6"/>
        <v>1.8810348683141378E-2</v>
      </c>
      <c r="I386" s="26">
        <v>2.2720097230774946E-2</v>
      </c>
    </row>
    <row r="387" spans="2:9">
      <c r="B387" s="25">
        <f>Estimation_1516!F388</f>
        <v>-5.2619428900360712E-2</v>
      </c>
      <c r="D387" s="25">
        <v>-5.800174446878084E-3</v>
      </c>
      <c r="F387" s="27">
        <v>-1.8832948333092125E-2</v>
      </c>
      <c r="G387" s="29">
        <f t="shared" si="6"/>
        <v>1.8832948333092125E-2</v>
      </c>
      <c r="I387" s="25">
        <v>2.2751756983416027E-2</v>
      </c>
    </row>
    <row r="388" spans="2:9">
      <c r="B388" s="26">
        <f>Estimation_1516!F389</f>
        <v>-2.8197959256234764E-2</v>
      </c>
      <c r="D388" s="26">
        <v>-5.7358106707323464E-3</v>
      </c>
      <c r="F388" s="28">
        <v>-1.9012425753678869E-2</v>
      </c>
      <c r="G388" s="30">
        <f t="shared" ref="G388:G451" si="7">-1*F388</f>
        <v>1.9012425753678869E-2</v>
      </c>
      <c r="I388" s="26">
        <v>2.2827380740290688E-2</v>
      </c>
    </row>
    <row r="389" spans="2:9">
      <c r="B389" s="25">
        <f>Estimation_1516!F390</f>
        <v>2.3129845778982798E-2</v>
      </c>
      <c r="D389" s="25">
        <v>-5.7211839281998958E-3</v>
      </c>
      <c r="F389" s="27">
        <v>-1.907214888336763E-2</v>
      </c>
      <c r="G389" s="29">
        <f t="shared" si="7"/>
        <v>1.907214888336763E-2</v>
      </c>
      <c r="I389" s="25">
        <v>2.3129845778982798E-2</v>
      </c>
    </row>
    <row r="390" spans="2:9">
      <c r="B390" s="26">
        <f>Estimation_1516!F391</f>
        <v>4.956108682058763E-2</v>
      </c>
      <c r="D390" s="26">
        <v>-5.7005197122997221E-3</v>
      </c>
      <c r="F390" s="28">
        <v>-1.9100672523433389E-2</v>
      </c>
      <c r="G390" s="30">
        <f t="shared" si="7"/>
        <v>1.9100672523433389E-2</v>
      </c>
      <c r="I390" s="26">
        <v>2.317860775915645E-2</v>
      </c>
    </row>
    <row r="391" spans="2:9">
      <c r="B391" s="25">
        <f>Estimation_1516!F392</f>
        <v>9.9234012337268782E-3</v>
      </c>
      <c r="D391" s="25">
        <v>-5.6629475478278809E-3</v>
      </c>
      <c r="F391" s="27">
        <v>-1.9257816604414647E-2</v>
      </c>
      <c r="G391" s="29">
        <f t="shared" si="7"/>
        <v>1.9257816604414647E-2</v>
      </c>
      <c r="I391" s="25">
        <v>2.3230228320640714E-2</v>
      </c>
    </row>
    <row r="392" spans="2:9">
      <c r="B392" s="26">
        <f>Estimation_1516!F393</f>
        <v>2.5115812719269846E-2</v>
      </c>
      <c r="D392" s="26">
        <v>-5.6321476878698797E-3</v>
      </c>
      <c r="F392" s="28">
        <v>-1.9450460365416533E-2</v>
      </c>
      <c r="G392" s="30">
        <f t="shared" si="7"/>
        <v>1.9450460365416533E-2</v>
      </c>
      <c r="I392" s="26">
        <v>2.3274437320027489E-2</v>
      </c>
    </row>
    <row r="393" spans="2:9">
      <c r="B393" s="25">
        <f>Estimation_1516!F394</f>
        <v>-3.4434984327362556E-2</v>
      </c>
      <c r="D393" s="25">
        <v>-5.558205863656053E-3</v>
      </c>
      <c r="F393" s="27">
        <v>-1.9490871888038733E-2</v>
      </c>
      <c r="G393" s="29">
        <f t="shared" si="7"/>
        <v>1.9490871888038733E-2</v>
      </c>
      <c r="I393" s="25">
        <v>2.3480267608842448E-2</v>
      </c>
    </row>
    <row r="394" spans="2:9">
      <c r="B394" s="26">
        <f>Estimation_1516!F395</f>
        <v>4.8344220451646255E-2</v>
      </c>
      <c r="D394" s="26">
        <v>-5.5573859931593479E-3</v>
      </c>
      <c r="F394" s="28">
        <v>-1.9599602221885913E-2</v>
      </c>
      <c r="G394" s="30">
        <f t="shared" si="7"/>
        <v>1.9599602221885913E-2</v>
      </c>
      <c r="I394" s="26">
        <v>2.3692095290381486E-2</v>
      </c>
    </row>
    <row r="395" spans="2:9">
      <c r="B395" s="25">
        <f>Estimation_1516!F396</f>
        <v>-4.9040917556566295E-3</v>
      </c>
      <c r="D395" s="25">
        <v>-5.5135755503852987E-3</v>
      </c>
      <c r="F395" s="27">
        <v>-1.9685144210938782E-2</v>
      </c>
      <c r="G395" s="29">
        <f t="shared" si="7"/>
        <v>1.9685144210938782E-2</v>
      </c>
      <c r="I395" s="25">
        <v>2.3857990453893953E-2</v>
      </c>
    </row>
    <row r="396" spans="2:9">
      <c r="B396" s="26">
        <f>Estimation_1516!F397</f>
        <v>-9.2969873591706009E-3</v>
      </c>
      <c r="D396" s="26">
        <v>-5.3302726504398613E-3</v>
      </c>
      <c r="F396" s="28">
        <v>-1.9763489118839635E-2</v>
      </c>
      <c r="G396" s="30">
        <f t="shared" si="7"/>
        <v>1.9763489118839635E-2</v>
      </c>
      <c r="I396" s="26">
        <v>2.3870238259144728E-2</v>
      </c>
    </row>
    <row r="397" spans="2:9">
      <c r="B397" s="25">
        <f>Estimation_1516!F398</f>
        <v>3.2055979657684623E-3</v>
      </c>
      <c r="D397" s="25">
        <v>-5.2157538819677602E-3</v>
      </c>
      <c r="F397" s="27">
        <v>-1.9900211340515186E-2</v>
      </c>
      <c r="G397" s="29">
        <f t="shared" si="7"/>
        <v>1.9900211340515186E-2</v>
      </c>
      <c r="I397" s="25">
        <v>2.3986860683273693E-2</v>
      </c>
    </row>
    <row r="398" spans="2:9">
      <c r="B398" s="26">
        <f>Estimation_1516!F399</f>
        <v>7.2474588863206827E-3</v>
      </c>
      <c r="D398" s="26">
        <v>-5.1864553351799094E-3</v>
      </c>
      <c r="F398" s="28">
        <v>-1.9956316383459287E-2</v>
      </c>
      <c r="G398" s="30">
        <f t="shared" si="7"/>
        <v>1.9956316383459287E-2</v>
      </c>
      <c r="I398" s="26">
        <v>2.3996788628198141E-2</v>
      </c>
    </row>
    <row r="399" spans="2:9">
      <c r="B399" s="25">
        <f>Estimation_1516!F400</f>
        <v>0</v>
      </c>
      <c r="D399" s="25">
        <v>-5.1198622427568157E-3</v>
      </c>
      <c r="F399" s="27">
        <v>-1.9986389762506419E-2</v>
      </c>
      <c r="G399" s="29">
        <f t="shared" si="7"/>
        <v>1.9986389762506419E-2</v>
      </c>
      <c r="I399" s="25">
        <v>2.4295865907920773E-2</v>
      </c>
    </row>
    <row r="400" spans="2:9">
      <c r="B400" s="26">
        <f>Estimation_1516!F401</f>
        <v>-2.023999534384311E-3</v>
      </c>
      <c r="D400" s="26">
        <v>-5.1043497704143176E-3</v>
      </c>
      <c r="F400" s="28">
        <v>-2.0061728217437423E-2</v>
      </c>
      <c r="G400" s="30">
        <f t="shared" si="7"/>
        <v>2.0061728217437423E-2</v>
      </c>
      <c r="I400" s="26">
        <v>2.4372639404441693E-2</v>
      </c>
    </row>
    <row r="401" spans="2:9">
      <c r="B401" s="25">
        <f>Estimation_1516!F402</f>
        <v>-1.0474346562469015E-2</v>
      </c>
      <c r="D401" s="25">
        <v>-5.0815616273252907E-3</v>
      </c>
      <c r="F401" s="27">
        <v>-2.016936725442962E-2</v>
      </c>
      <c r="G401" s="29">
        <f t="shared" si="7"/>
        <v>2.016936725442962E-2</v>
      </c>
      <c r="I401" s="25">
        <v>2.4391453124159263E-2</v>
      </c>
    </row>
    <row r="402" spans="2:9">
      <c r="B402" s="26">
        <f>Estimation_1516!F403</f>
        <v>-1.0880860180775652E-2</v>
      </c>
      <c r="D402" s="26">
        <v>-5.0206309513522139E-3</v>
      </c>
      <c r="F402" s="28">
        <v>-2.0465433947666613E-2</v>
      </c>
      <c r="G402" s="30">
        <f t="shared" si="7"/>
        <v>2.0465433947666613E-2</v>
      </c>
      <c r="I402" s="26">
        <v>2.4425993126882581E-2</v>
      </c>
    </row>
    <row r="403" spans="2:9">
      <c r="B403" s="25">
        <f>Estimation_1516!F404</f>
        <v>4.3963123421115989E-2</v>
      </c>
      <c r="D403" s="25">
        <v>-5.0062682781443057E-3</v>
      </c>
      <c r="F403" s="27">
        <v>-2.0539874854073801E-2</v>
      </c>
      <c r="G403" s="29">
        <f t="shared" si="7"/>
        <v>2.0539874854073801E-2</v>
      </c>
      <c r="I403" s="25">
        <v>2.4494655942230829E-2</v>
      </c>
    </row>
    <row r="404" spans="2:9">
      <c r="B404" s="26">
        <f>Estimation_1516!F405</f>
        <v>-3.1328902183316056E-2</v>
      </c>
      <c r="D404" s="26">
        <v>-4.9932886539906475E-3</v>
      </c>
      <c r="F404" s="28">
        <v>-2.0654511719002643E-2</v>
      </c>
      <c r="G404" s="30">
        <f t="shared" si="7"/>
        <v>2.0654511719002643E-2</v>
      </c>
      <c r="I404" s="26">
        <v>2.4553663174051277E-2</v>
      </c>
    </row>
    <row r="405" spans="2:9">
      <c r="B405" s="25">
        <f>Estimation_1516!F406</f>
        <v>7.3169053927111316E-2</v>
      </c>
      <c r="D405" s="25">
        <v>-4.9875415110391622E-3</v>
      </c>
      <c r="F405" s="27">
        <v>-2.0704673361691166E-2</v>
      </c>
      <c r="G405" s="29">
        <f t="shared" si="7"/>
        <v>2.0704673361691166E-2</v>
      </c>
      <c r="I405" s="25">
        <v>2.4596443900292135E-2</v>
      </c>
    </row>
    <row r="406" spans="2:9">
      <c r="B406" s="26">
        <f>Estimation_1516!F407</f>
        <v>-1.1463007614873219E-2</v>
      </c>
      <c r="D406" s="26">
        <v>-4.9529571288486427E-3</v>
      </c>
      <c r="F406" s="28">
        <v>-2.0717872503747143E-2</v>
      </c>
      <c r="G406" s="30">
        <f t="shared" si="7"/>
        <v>2.0717872503747143E-2</v>
      </c>
      <c r="I406" s="26">
        <v>2.4807114222144998E-2</v>
      </c>
    </row>
    <row r="407" spans="2:9">
      <c r="B407" s="25">
        <f>Estimation_1516!F408</f>
        <v>-6.258234255642485E-2</v>
      </c>
      <c r="D407" s="25">
        <v>-4.951619390193303E-3</v>
      </c>
      <c r="F407" s="27">
        <v>-2.0747632194248543E-2</v>
      </c>
      <c r="G407" s="29">
        <f t="shared" si="7"/>
        <v>2.0747632194248543E-2</v>
      </c>
      <c r="I407" s="25">
        <v>2.4811196696287438E-2</v>
      </c>
    </row>
    <row r="408" spans="2:9">
      <c r="B408" s="26">
        <f>Estimation_1516!F409</f>
        <v>-4.099566502932553E-3</v>
      </c>
      <c r="D408" s="26">
        <v>-4.9334091179557768E-3</v>
      </c>
      <c r="F408" s="28">
        <v>-2.0869970315527248E-2</v>
      </c>
      <c r="G408" s="30">
        <f t="shared" si="7"/>
        <v>2.0869970315527248E-2</v>
      </c>
      <c r="I408" s="26">
        <v>2.4878901342438767E-2</v>
      </c>
    </row>
    <row r="409" spans="2:9">
      <c r="B409" s="25">
        <f>Estimation_1516!F410</f>
        <v>1.4564778294029532E-2</v>
      </c>
      <c r="D409" s="25">
        <v>-4.9140148024289293E-3</v>
      </c>
      <c r="F409" s="27">
        <v>-2.0884018158213266E-2</v>
      </c>
      <c r="G409" s="29">
        <f t="shared" si="7"/>
        <v>2.0884018158213266E-2</v>
      </c>
      <c r="I409" s="25">
        <v>2.4969141629551089E-2</v>
      </c>
    </row>
    <row r="410" spans="2:9">
      <c r="B410" s="26">
        <f>Estimation_1516!F411</f>
        <v>3.7183224904371301E-2</v>
      </c>
      <c r="D410" s="26">
        <v>-4.9040917556566295E-3</v>
      </c>
      <c r="F410" s="28">
        <v>-2.0888962245944845E-2</v>
      </c>
      <c r="G410" s="30">
        <f t="shared" si="7"/>
        <v>2.0888962245944845E-2</v>
      </c>
      <c r="I410" s="26">
        <v>2.5096789086274454E-2</v>
      </c>
    </row>
    <row r="411" spans="2:9">
      <c r="B411" s="25">
        <f>Estimation_1516!F412</f>
        <v>8.6004136722094612E-3</v>
      </c>
      <c r="D411" s="25">
        <v>-4.8929761228158376E-3</v>
      </c>
      <c r="F411" s="27">
        <v>-2.0940262971821135E-2</v>
      </c>
      <c r="G411" s="29">
        <f t="shared" si="7"/>
        <v>2.0940262971821135E-2</v>
      </c>
      <c r="I411" s="25">
        <v>2.5115812719269846E-2</v>
      </c>
    </row>
    <row r="412" spans="2:9">
      <c r="B412" s="26">
        <f>Estimation_1516!F413</f>
        <v>2.5096789086274454E-2</v>
      </c>
      <c r="D412" s="26">
        <v>-4.8598832085109287E-3</v>
      </c>
      <c r="F412" s="28">
        <v>-2.1046319387662018E-2</v>
      </c>
      <c r="G412" s="30">
        <f t="shared" si="7"/>
        <v>2.1046319387662018E-2</v>
      </c>
      <c r="I412" s="26">
        <v>2.5345231917157839E-2</v>
      </c>
    </row>
    <row r="413" spans="2:9">
      <c r="B413" s="25">
        <f>Estimation_1516!F414</f>
        <v>2.6845465951472518E-2</v>
      </c>
      <c r="D413" s="25">
        <v>-4.8598832085109287E-3</v>
      </c>
      <c r="F413" s="27">
        <v>-2.1279209580501939E-2</v>
      </c>
      <c r="G413" s="29">
        <f t="shared" si="7"/>
        <v>2.1279209580501939E-2</v>
      </c>
      <c r="I413" s="25">
        <v>2.5491973144526784E-2</v>
      </c>
    </row>
    <row r="414" spans="2:9">
      <c r="B414" s="26">
        <f>Estimation_1516!F415</f>
        <v>-2.3631361922828906E-3</v>
      </c>
      <c r="D414" s="26">
        <v>-4.8126596844155706E-3</v>
      </c>
      <c r="F414" s="28">
        <v>-2.1345127935733961E-2</v>
      </c>
      <c r="G414" s="30">
        <f t="shared" si="7"/>
        <v>2.1345127935733961E-2</v>
      </c>
      <c r="I414" s="26">
        <v>2.5507759547212665E-2</v>
      </c>
    </row>
    <row r="415" spans="2:9">
      <c r="B415" s="25">
        <f>Estimation_1516!F416</f>
        <v>-5.800174446878084E-3</v>
      </c>
      <c r="D415" s="25">
        <v>-4.6914028282275064E-3</v>
      </c>
      <c r="F415" s="27">
        <v>-2.1359205845446382E-2</v>
      </c>
      <c r="G415" s="29">
        <f t="shared" si="7"/>
        <v>2.1359205845446382E-2</v>
      </c>
      <c r="I415" s="25">
        <v>2.5620261842484261E-2</v>
      </c>
    </row>
    <row r="416" spans="2:9">
      <c r="B416" s="26">
        <f>Estimation_1516!F417</f>
        <v>-2.6476054650547941E-3</v>
      </c>
      <c r="D416" s="26">
        <v>-4.6699960339566717E-3</v>
      </c>
      <c r="F416" s="28">
        <v>-2.1365073309983867E-2</v>
      </c>
      <c r="G416" s="30">
        <f t="shared" si="7"/>
        <v>2.1365073309983867E-2</v>
      </c>
      <c r="I416" s="26">
        <v>2.5704659586014915E-2</v>
      </c>
    </row>
    <row r="417" spans="2:9">
      <c r="B417" s="25">
        <f>Estimation_1516!F418</f>
        <v>-7.1837478020282137E-3</v>
      </c>
      <c r="D417" s="25">
        <v>-4.6541230614693249E-3</v>
      </c>
      <c r="F417" s="27">
        <v>-2.1454935001259487E-2</v>
      </c>
      <c r="G417" s="29">
        <f t="shared" si="7"/>
        <v>2.1454935001259487E-2</v>
      </c>
      <c r="I417" s="25">
        <v>2.5861621014799756E-2</v>
      </c>
    </row>
    <row r="418" spans="2:9">
      <c r="B418" s="26">
        <f>Estimation_1516!F419</f>
        <v>-1.9685144210938782E-2</v>
      </c>
      <c r="D418" s="26">
        <v>-4.6104277147824974E-3</v>
      </c>
      <c r="F418" s="28">
        <v>-2.1765755273867208E-2</v>
      </c>
      <c r="G418" s="30">
        <f t="shared" si="7"/>
        <v>2.1765755273867208E-2</v>
      </c>
      <c r="I418" s="26">
        <v>2.5947165894395718E-2</v>
      </c>
    </row>
    <row r="419" spans="2:9">
      <c r="B419" s="25">
        <f>Estimation_1516!F420</f>
        <v>-7.6544933605321901E-3</v>
      </c>
      <c r="D419" s="25">
        <v>-4.6061804148972534E-3</v>
      </c>
      <c r="F419" s="27">
        <v>-2.1781995901364499E-2</v>
      </c>
      <c r="G419" s="29">
        <f t="shared" si="7"/>
        <v>2.1781995901364499E-2</v>
      </c>
      <c r="I419" s="25">
        <v>2.6057534319289598E-2</v>
      </c>
    </row>
    <row r="420" spans="2:9">
      <c r="B420" s="26">
        <f>Estimation_1516!F421</f>
        <v>-1.4929776897524477E-2</v>
      </c>
      <c r="D420" s="26">
        <v>-4.5404691699187953E-3</v>
      </c>
      <c r="F420" s="28">
        <v>-2.2165588988372075E-2</v>
      </c>
      <c r="G420" s="30">
        <f t="shared" si="7"/>
        <v>2.2165588988372075E-2</v>
      </c>
      <c r="I420" s="26">
        <v>2.608980291313874E-2</v>
      </c>
    </row>
    <row r="421" spans="2:9">
      <c r="B421" s="25">
        <f>Estimation_1516!F422</f>
        <v>2.0676132838427435E-2</v>
      </c>
      <c r="D421" s="25">
        <v>-4.4523671058052609E-3</v>
      </c>
      <c r="F421" s="27">
        <v>-2.233290155414714E-2</v>
      </c>
      <c r="G421" s="29">
        <f t="shared" si="7"/>
        <v>2.233290155414714E-2</v>
      </c>
      <c r="I421" s="25">
        <v>2.6393086703519364E-2</v>
      </c>
    </row>
    <row r="422" spans="2:9">
      <c r="B422" s="26">
        <f>Estimation_1516!F423</f>
        <v>1.9454815164731978E-2</v>
      </c>
      <c r="D422" s="26">
        <v>-4.449593529884944E-3</v>
      </c>
      <c r="F422" s="28">
        <v>-2.2422464055832283E-2</v>
      </c>
      <c r="G422" s="30">
        <f t="shared" si="7"/>
        <v>2.2422464055832283E-2</v>
      </c>
      <c r="I422" s="26">
        <v>2.6662940395470767E-2</v>
      </c>
    </row>
    <row r="423" spans="2:9">
      <c r="B423" s="25">
        <f>Estimation_1516!F424</f>
        <v>1.5664730244334596E-2</v>
      </c>
      <c r="D423" s="25">
        <v>-4.4225280451246326E-3</v>
      </c>
      <c r="F423" s="27">
        <v>-2.263709531356228E-2</v>
      </c>
      <c r="G423" s="29">
        <f t="shared" si="7"/>
        <v>2.263709531356228E-2</v>
      </c>
      <c r="I423" s="25">
        <v>2.6696167954411123E-2</v>
      </c>
    </row>
    <row r="424" spans="2:9">
      <c r="B424" s="26">
        <f>Estimation_1516!F425</f>
        <v>-6.0774397655078945E-3</v>
      </c>
      <c r="D424" s="26">
        <v>-4.3384015985981298E-3</v>
      </c>
      <c r="F424" s="28">
        <v>-2.2696316283489979E-2</v>
      </c>
      <c r="G424" s="30">
        <f t="shared" si="7"/>
        <v>2.2696316283489979E-2</v>
      </c>
      <c r="I424" s="26">
        <v>2.6845465951472518E-2</v>
      </c>
    </row>
    <row r="425" spans="2:9">
      <c r="B425" s="25">
        <f>Estimation_1516!F426</f>
        <v>1.0545839893253276E-2</v>
      </c>
      <c r="D425" s="25">
        <v>-4.3371471775479698E-3</v>
      </c>
      <c r="F425" s="27">
        <v>-2.2997071294455235E-2</v>
      </c>
      <c r="G425" s="29">
        <f t="shared" si="7"/>
        <v>2.2997071294455235E-2</v>
      </c>
      <c r="I425" s="25">
        <v>2.6846208431909158E-2</v>
      </c>
    </row>
    <row r="426" spans="2:9">
      <c r="B426" s="26">
        <f>Estimation_1516!F427</f>
        <v>-1.1341279415507364E-2</v>
      </c>
      <c r="D426" s="26">
        <v>-4.2378930497712275E-3</v>
      </c>
      <c r="F426" s="28">
        <v>-2.3025887665482206E-2</v>
      </c>
      <c r="G426" s="30">
        <f t="shared" si="7"/>
        <v>2.3025887665482206E-2</v>
      </c>
      <c r="I426" s="26">
        <v>2.7003502966248264E-2</v>
      </c>
    </row>
    <row r="427" spans="2:9">
      <c r="B427" s="25">
        <f>Estimation_1516!F428</f>
        <v>2.6696167954411123E-2</v>
      </c>
      <c r="D427" s="25">
        <v>-4.1966488450735804E-3</v>
      </c>
      <c r="F427" s="27">
        <v>-2.3089949361305016E-2</v>
      </c>
      <c r="G427" s="29">
        <f t="shared" si="7"/>
        <v>2.3089949361305016E-2</v>
      </c>
      <c r="I427" s="25">
        <v>2.7028672387919419E-2</v>
      </c>
    </row>
    <row r="428" spans="2:9">
      <c r="B428" s="26">
        <f>Estimation_1516!F429</f>
        <v>2.3986860683273693E-2</v>
      </c>
      <c r="D428" s="26">
        <v>-4.1493835468114776E-3</v>
      </c>
      <c r="F428" s="28">
        <v>-2.3113265736257826E-2</v>
      </c>
      <c r="G428" s="30">
        <f t="shared" si="7"/>
        <v>2.3113265736257826E-2</v>
      </c>
      <c r="I428" s="26">
        <v>2.7256101273328961E-2</v>
      </c>
    </row>
    <row r="429" spans="2:9">
      <c r="B429" s="25">
        <f>Estimation_1516!F430</f>
        <v>6.2837959689926639E-3</v>
      </c>
      <c r="D429" s="25">
        <v>-4.1465159618485773E-3</v>
      </c>
      <c r="F429" s="27">
        <v>-2.3173942565135948E-2</v>
      </c>
      <c r="G429" s="29">
        <f t="shared" si="7"/>
        <v>2.3173942565135948E-2</v>
      </c>
      <c r="I429" s="25">
        <v>2.7328572160507009E-2</v>
      </c>
    </row>
    <row r="430" spans="2:9">
      <c r="B430" s="26">
        <f>Estimation_1516!F431</f>
        <v>1.3439724443858214E-2</v>
      </c>
      <c r="D430" s="26">
        <v>-4.1444701123146202E-3</v>
      </c>
      <c r="F430" s="28">
        <v>-2.3695029727454468E-2</v>
      </c>
      <c r="G430" s="30">
        <f t="shared" si="7"/>
        <v>2.3695029727454468E-2</v>
      </c>
      <c r="I430" s="26">
        <v>2.7346288537039392E-2</v>
      </c>
    </row>
    <row r="431" spans="2:9">
      <c r="B431" s="25">
        <f>Estimation_1516!F432</f>
        <v>-1.7205261716127362E-2</v>
      </c>
      <c r="D431" s="25">
        <v>-4.099566502932553E-3</v>
      </c>
      <c r="F431" s="27">
        <v>-2.4379166496801441E-2</v>
      </c>
      <c r="G431" s="29">
        <f t="shared" si="7"/>
        <v>2.4379166496801441E-2</v>
      </c>
      <c r="I431" s="25">
        <v>2.7393372716047398E-2</v>
      </c>
    </row>
    <row r="432" spans="2:9">
      <c r="B432" s="26">
        <f>Estimation_1516!F433</f>
        <v>-3.2749745860295686E-3</v>
      </c>
      <c r="D432" s="26">
        <v>-4.0926634845877058E-3</v>
      </c>
      <c r="F432" s="28">
        <v>-2.4467169029211845E-2</v>
      </c>
      <c r="G432" s="30">
        <f t="shared" si="7"/>
        <v>2.4467169029211845E-2</v>
      </c>
      <c r="I432" s="26">
        <v>2.7808390775205052E-2</v>
      </c>
    </row>
    <row r="433" spans="2:9">
      <c r="B433" s="25">
        <f>Estimation_1516!F434</f>
        <v>3.2749745860296644E-3</v>
      </c>
      <c r="D433" s="25">
        <v>-3.9829355640776821E-3</v>
      </c>
      <c r="F433" s="27">
        <v>-2.4472856518725574E-2</v>
      </c>
      <c r="G433" s="29">
        <f t="shared" si="7"/>
        <v>2.4472856518725574E-2</v>
      </c>
      <c r="I433" s="25">
        <v>2.8134011286796979E-2</v>
      </c>
    </row>
    <row r="434" spans="2:9">
      <c r="B434" s="26">
        <f>Estimation_1516!F435</f>
        <v>2.3857990453893953E-2</v>
      </c>
      <c r="D434" s="26">
        <v>-3.9732759513603898E-3</v>
      </c>
      <c r="F434" s="28">
        <v>-2.4692612590371522E-2</v>
      </c>
      <c r="G434" s="30">
        <f t="shared" si="7"/>
        <v>2.4692612590371522E-2</v>
      </c>
      <c r="I434" s="26">
        <v>2.8253576272069227E-2</v>
      </c>
    </row>
    <row r="435" spans="2:9">
      <c r="B435" s="25">
        <f>Estimation_1516!F436</f>
        <v>3.4322171472087096E-3</v>
      </c>
      <c r="D435" s="25">
        <v>-3.9551798429280543E-3</v>
      </c>
      <c r="F435" s="27">
        <v>-2.4794658613216392E-2</v>
      </c>
      <c r="G435" s="29">
        <f t="shared" si="7"/>
        <v>2.4794658613216392E-2</v>
      </c>
      <c r="I435" s="25">
        <v>2.8320208707435277E-2</v>
      </c>
    </row>
    <row r="436" spans="2:9">
      <c r="B436" s="26">
        <f>Estimation_1516!F437</f>
        <v>-3.0060641308619091E-2</v>
      </c>
      <c r="D436" s="26">
        <v>-3.8712500852807578E-3</v>
      </c>
      <c r="F436" s="28">
        <v>-2.5073637552115849E-2</v>
      </c>
      <c r="G436" s="30">
        <f t="shared" si="7"/>
        <v>2.5073637552115849E-2</v>
      </c>
      <c r="I436" s="26">
        <v>2.8490579849806137E-2</v>
      </c>
    </row>
    <row r="437" spans="2:9">
      <c r="B437" s="25">
        <f>Estimation_1516!F438</f>
        <v>-9.1209145104885845E-3</v>
      </c>
      <c r="D437" s="25">
        <v>-3.8089238241222957E-3</v>
      </c>
      <c r="F437" s="27">
        <v>-2.5221736461793102E-2</v>
      </c>
      <c r="G437" s="29">
        <f t="shared" si="7"/>
        <v>2.5221736461793102E-2</v>
      </c>
      <c r="I437" s="25">
        <v>2.8521350750998254E-2</v>
      </c>
    </row>
    <row r="438" spans="2:9">
      <c r="B438" s="26">
        <f>Estimation_1516!F439</f>
        <v>1.7800386136842168E-3</v>
      </c>
      <c r="D438" s="26">
        <v>-3.7904677329371776E-3</v>
      </c>
      <c r="F438" s="28">
        <v>-2.5222576024372192E-2</v>
      </c>
      <c r="G438" s="30">
        <f t="shared" si="7"/>
        <v>2.5222576024372192E-2</v>
      </c>
      <c r="I438" s="26">
        <v>2.8568570350343245E-2</v>
      </c>
    </row>
    <row r="439" spans="2:9">
      <c r="B439" s="25">
        <f>Estimation_1516!F440</f>
        <v>1.1116840106339393E-2</v>
      </c>
      <c r="D439" s="25">
        <v>-3.7269228299015569E-3</v>
      </c>
      <c r="F439" s="27">
        <v>-2.5250718125291512E-2</v>
      </c>
      <c r="G439" s="29">
        <f t="shared" si="7"/>
        <v>2.5250718125291512E-2</v>
      </c>
      <c r="I439" s="25">
        <v>2.8669240111887068E-2</v>
      </c>
    </row>
    <row r="440" spans="2:9">
      <c r="B440" s="26">
        <f>Estimation_1516!F441</f>
        <v>9.5024470963962545E-3</v>
      </c>
      <c r="D440" s="26">
        <v>-3.6818179368896635E-3</v>
      </c>
      <c r="F440" s="28">
        <v>-2.5287076104572023E-2</v>
      </c>
      <c r="G440" s="30">
        <f t="shared" si="7"/>
        <v>2.5287076104572023E-2</v>
      </c>
      <c r="I440" s="26">
        <v>2.8733022127376402E-2</v>
      </c>
    </row>
    <row r="441" spans="2:9">
      <c r="B441" s="25">
        <f>Estimation_1516!F442</f>
        <v>5.7079197035940481E-3</v>
      </c>
      <c r="D441" s="25">
        <v>-3.6734053663089248E-3</v>
      </c>
      <c r="F441" s="27">
        <v>-2.5391119079956954E-2</v>
      </c>
      <c r="G441" s="29">
        <f t="shared" si="7"/>
        <v>2.5391119079956954E-2</v>
      </c>
      <c r="I441" s="25">
        <v>2.8785792702515876E-2</v>
      </c>
    </row>
    <row r="442" spans="2:9">
      <c r="B442" s="26">
        <f>Estimation_1516!F443</f>
        <v>-1.9490871888038733E-2</v>
      </c>
      <c r="D442" s="26">
        <v>-3.636968796575879E-3</v>
      </c>
      <c r="F442" s="28">
        <v>-2.5685677237196829E-2</v>
      </c>
      <c r="G442" s="30">
        <f t="shared" si="7"/>
        <v>2.5685677237196829E-2</v>
      </c>
      <c r="I442" s="26">
        <v>2.9183565741710046E-2</v>
      </c>
    </row>
    <row r="443" spans="2:9">
      <c r="B443" s="25">
        <f>Estimation_1516!F444</f>
        <v>3.9822251946415442E-2</v>
      </c>
      <c r="D443" s="25">
        <v>-3.6360528329209391E-3</v>
      </c>
      <c r="F443" s="27">
        <v>-2.580788395587259E-2</v>
      </c>
      <c r="G443" s="29">
        <f t="shared" si="7"/>
        <v>2.580788395587259E-2</v>
      </c>
      <c r="I443" s="25">
        <v>2.9504713102630514E-2</v>
      </c>
    </row>
    <row r="444" spans="2:9">
      <c r="B444" s="26">
        <f>Estimation_1516!F445</f>
        <v>4.596596940551206E-3</v>
      </c>
      <c r="D444" s="26">
        <v>-3.4594629096594202E-3</v>
      </c>
      <c r="F444" s="28">
        <v>-2.6428863095806734E-2</v>
      </c>
      <c r="G444" s="30">
        <f t="shared" si="7"/>
        <v>2.6428863095806734E-2</v>
      </c>
      <c r="I444" s="26">
        <v>2.968710332158794E-2</v>
      </c>
    </row>
    <row r="445" spans="2:9">
      <c r="B445" s="25">
        <f>Estimation_1516!F446</f>
        <v>1.2061272720161218E-3</v>
      </c>
      <c r="D445" s="25">
        <v>-3.4497662500747347E-3</v>
      </c>
      <c r="F445" s="27">
        <v>-2.6627500725316548E-2</v>
      </c>
      <c r="G445" s="29">
        <f t="shared" si="7"/>
        <v>2.6627500725316548E-2</v>
      </c>
      <c r="I445" s="25">
        <v>2.9817637321904834E-2</v>
      </c>
    </row>
    <row r="446" spans="2:9">
      <c r="B446" s="26">
        <f>Estimation_1516!F447</f>
        <v>-2.0704673361691166E-2</v>
      </c>
      <c r="D446" s="26">
        <v>-3.3909832425583681E-3</v>
      </c>
      <c r="F446" s="28">
        <v>-2.6637359528298769E-2</v>
      </c>
      <c r="G446" s="30">
        <f t="shared" si="7"/>
        <v>2.6637359528298769E-2</v>
      </c>
      <c r="I446" s="26">
        <v>2.9820838690344426E-2</v>
      </c>
    </row>
    <row r="447" spans="2:9">
      <c r="B447" s="25">
        <f>Estimation_1516!F448</f>
        <v>-7.1631774735696086E-3</v>
      </c>
      <c r="D447" s="25">
        <v>-3.3112613036559201E-3</v>
      </c>
      <c r="F447" s="27">
        <v>-2.6696538159628889E-2</v>
      </c>
      <c r="G447" s="29">
        <f t="shared" si="7"/>
        <v>2.6696538159628889E-2</v>
      </c>
      <c r="I447" s="25">
        <v>3.001668356727542E-2</v>
      </c>
    </row>
    <row r="448" spans="2:9">
      <c r="B448" s="26">
        <f>Estimation_1516!F449</f>
        <v>8.6388294875330025E-3</v>
      </c>
      <c r="D448" s="26">
        <v>-3.279229041192786E-3</v>
      </c>
      <c r="F448" s="28">
        <v>-2.6913132979224201E-2</v>
      </c>
      <c r="G448" s="30">
        <f t="shared" si="7"/>
        <v>2.6913132979224201E-2</v>
      </c>
      <c r="I448" s="26">
        <v>3.0225194681989309E-2</v>
      </c>
    </row>
    <row r="449" spans="2:9">
      <c r="B449" s="25">
        <f>Estimation_1516!F450</f>
        <v>7.8335773903693163E-3</v>
      </c>
      <c r="D449" s="25">
        <v>-3.2749745860295686E-3</v>
      </c>
      <c r="F449" s="27">
        <v>-2.7152554382297425E-2</v>
      </c>
      <c r="G449" s="29">
        <f t="shared" si="7"/>
        <v>2.7152554382297425E-2</v>
      </c>
      <c r="I449" s="25">
        <v>3.0229001961317076E-2</v>
      </c>
    </row>
    <row r="450" spans="2:9">
      <c r="B450" s="26">
        <f>Estimation_1516!F451</f>
        <v>1.163649494080864E-2</v>
      </c>
      <c r="D450" s="26">
        <v>-3.2557180714966254E-3</v>
      </c>
      <c r="F450" s="28">
        <v>-2.7510190336813779E-2</v>
      </c>
      <c r="G450" s="30">
        <f t="shared" si="7"/>
        <v>2.7510190336813779E-2</v>
      </c>
      <c r="I450" s="26">
        <v>3.0297387849232048E-2</v>
      </c>
    </row>
    <row r="451" spans="2:9">
      <c r="B451" s="25">
        <f>Estimation_1516!F452</f>
        <v>-8.7146521024436645E-3</v>
      </c>
      <c r="D451" s="25">
        <v>-3.2228388853138977E-3</v>
      </c>
      <c r="F451" s="27">
        <v>-2.7517459514922626E-2</v>
      </c>
      <c r="G451" s="29">
        <f t="shared" si="7"/>
        <v>2.7517459514922626E-2</v>
      </c>
      <c r="I451" s="25">
        <v>3.0351861003059546E-2</v>
      </c>
    </row>
    <row r="452" spans="2:9">
      <c r="B452" s="26">
        <f>Estimation_1516!F453</f>
        <v>2.6393086703519364E-2</v>
      </c>
      <c r="D452" s="26">
        <v>-3.1719685231356761E-3</v>
      </c>
      <c r="F452" s="28">
        <v>-2.8197959256234764E-2</v>
      </c>
      <c r="G452" s="30">
        <f t="shared" ref="G452:G515" si="8">-1*F452</f>
        <v>2.8197959256234764E-2</v>
      </c>
      <c r="I452" s="26">
        <v>3.0378300790309679E-2</v>
      </c>
    </row>
    <row r="453" spans="2:9">
      <c r="B453" s="25">
        <f>Estimation_1516!F454</f>
        <v>2.7328572160507009E-2</v>
      </c>
      <c r="D453" s="25">
        <v>-3.1683194820452758E-3</v>
      </c>
      <c r="F453" s="27">
        <v>-2.858888389538523E-2</v>
      </c>
      <c r="G453" s="29">
        <f t="shared" si="8"/>
        <v>2.858888389538523E-2</v>
      </c>
      <c r="I453" s="25">
        <v>3.0410770388341422E-2</v>
      </c>
    </row>
    <row r="454" spans="2:9">
      <c r="B454" s="26">
        <f>Estimation_1516!F455</f>
        <v>1.6453753278942648E-2</v>
      </c>
      <c r="D454" s="26">
        <v>-3.1114977566334919E-3</v>
      </c>
      <c r="F454" s="28">
        <v>-2.872562579392381E-2</v>
      </c>
      <c r="G454" s="30">
        <f t="shared" si="8"/>
        <v>2.872562579392381E-2</v>
      </c>
      <c r="I454" s="26">
        <v>3.0426106532317594E-2</v>
      </c>
    </row>
    <row r="455" spans="2:9">
      <c r="B455" s="25">
        <f>Estimation_1516!F456</f>
        <v>6.3262750528773806E-3</v>
      </c>
      <c r="D455" s="25">
        <v>-3.107522699579356E-3</v>
      </c>
      <c r="F455" s="27">
        <v>-2.8865080396172239E-2</v>
      </c>
      <c r="G455" s="29">
        <f t="shared" si="8"/>
        <v>2.8865080396172239E-2</v>
      </c>
      <c r="I455" s="25">
        <v>3.0431740868090324E-2</v>
      </c>
    </row>
    <row r="456" spans="2:9">
      <c r="B456" s="26">
        <f>Estimation_1516!F457</f>
        <v>1.3504390978713249E-3</v>
      </c>
      <c r="D456" s="26">
        <v>-3.0842010672086175E-3</v>
      </c>
      <c r="F456" s="28">
        <v>-2.9192050994254676E-2</v>
      </c>
      <c r="G456" s="30">
        <f t="shared" si="8"/>
        <v>2.9192050994254676E-2</v>
      </c>
      <c r="I456" s="26">
        <v>3.0433608327284988E-2</v>
      </c>
    </row>
    <row r="457" spans="2:9">
      <c r="B457" s="25">
        <f>Estimation_1516!F458</f>
        <v>-6.9969814860813984E-3</v>
      </c>
      <c r="D457" s="25">
        <v>-3.030815588274712E-3</v>
      </c>
      <c r="F457" s="27">
        <v>-2.9224756658494784E-2</v>
      </c>
      <c r="G457" s="29">
        <f t="shared" si="8"/>
        <v>2.9224756658494784E-2</v>
      </c>
      <c r="I457" s="25">
        <v>3.0643356489289817E-2</v>
      </c>
    </row>
    <row r="458" spans="2:9">
      <c r="B458" s="26">
        <f>Estimation_1516!F459</f>
        <v>-8.1874462366621562E-3</v>
      </c>
      <c r="D458" s="26">
        <v>-2.9830530595400776E-3</v>
      </c>
      <c r="F458" s="28">
        <v>-3.0060641308619091E-2</v>
      </c>
      <c r="G458" s="30">
        <f t="shared" si="8"/>
        <v>3.0060641308619091E-2</v>
      </c>
      <c r="I458" s="26">
        <v>3.1104208563537194E-2</v>
      </c>
    </row>
    <row r="459" spans="2:9">
      <c r="B459" s="25">
        <f>Estimation_1516!F460</f>
        <v>-2.872562579392381E-2</v>
      </c>
      <c r="D459" s="25">
        <v>-2.9504763237499462E-3</v>
      </c>
      <c r="F459" s="27">
        <v>-3.0209691350135789E-2</v>
      </c>
      <c r="G459" s="29">
        <f t="shared" si="8"/>
        <v>3.0209691350135789E-2</v>
      </c>
      <c r="I459" s="25">
        <v>3.151719003712556E-2</v>
      </c>
    </row>
    <row r="460" spans="2:9">
      <c r="B460" s="26">
        <f>Estimation_1516!F461</f>
        <v>2.0700820606296948E-2</v>
      </c>
      <c r="D460" s="26">
        <v>-2.9436848276435616E-3</v>
      </c>
      <c r="F460" s="28">
        <v>-3.0308473914382374E-2</v>
      </c>
      <c r="G460" s="30">
        <f t="shared" si="8"/>
        <v>3.0308473914382374E-2</v>
      </c>
      <c r="I460" s="26">
        <v>3.1800599428814476E-2</v>
      </c>
    </row>
    <row r="461" spans="2:9">
      <c r="B461" s="25">
        <f>Estimation_1516!F462</f>
        <v>4.8226066599311593E-3</v>
      </c>
      <c r="D461" s="25">
        <v>-2.9300983709476523E-3</v>
      </c>
      <c r="F461" s="27">
        <v>-3.0609057496227679E-2</v>
      </c>
      <c r="G461" s="29">
        <f t="shared" si="8"/>
        <v>3.0609057496227679E-2</v>
      </c>
      <c r="I461" s="25">
        <v>3.2095619393514956E-2</v>
      </c>
    </row>
    <row r="462" spans="2:9">
      <c r="B462" s="26">
        <f>Estimation_1516!F463</f>
        <v>6.1665149156639584E-3</v>
      </c>
      <c r="D462" s="26">
        <v>-2.8993931590026124E-3</v>
      </c>
      <c r="F462" s="28">
        <v>-3.0778889141759795E-2</v>
      </c>
      <c r="G462" s="30">
        <f t="shared" si="8"/>
        <v>3.0778889141759795E-2</v>
      </c>
      <c r="I462" s="26">
        <v>3.219050657039272E-2</v>
      </c>
    </row>
    <row r="463" spans="2:9">
      <c r="B463" s="25">
        <f>Estimation_1516!F464</f>
        <v>2.7285146532039142E-3</v>
      </c>
      <c r="D463" s="25">
        <v>-2.7453689171926718E-3</v>
      </c>
      <c r="F463" s="27">
        <v>-3.0999786875795812E-2</v>
      </c>
      <c r="G463" s="29">
        <f t="shared" si="8"/>
        <v>3.0999786875795812E-2</v>
      </c>
      <c r="I463" s="25">
        <v>3.3020425850928112E-2</v>
      </c>
    </row>
    <row r="464" spans="2:9">
      <c r="B464" s="26">
        <f>Estimation_1516!F465</f>
        <v>6.788892333686348E-3</v>
      </c>
      <c r="D464" s="26">
        <v>-2.6476054650547941E-3</v>
      </c>
      <c r="F464" s="28">
        <v>-3.1043750236314602E-2</v>
      </c>
      <c r="G464" s="30">
        <f t="shared" si="8"/>
        <v>3.1043750236314602E-2</v>
      </c>
      <c r="I464" s="26">
        <v>3.3470817100915824E-2</v>
      </c>
    </row>
    <row r="465" spans="2:9">
      <c r="B465" s="25">
        <f>Estimation_1516!F466</f>
        <v>1.5774651158453792E-3</v>
      </c>
      <c r="D465" s="25">
        <v>-2.6432418406068352E-3</v>
      </c>
      <c r="F465" s="27">
        <v>-3.1308460579096691E-2</v>
      </c>
      <c r="G465" s="29">
        <f t="shared" si="8"/>
        <v>3.1308460579096691E-2</v>
      </c>
      <c r="I465" s="25">
        <v>3.3653829033691136E-2</v>
      </c>
    </row>
    <row r="466" spans="2:9">
      <c r="B466" s="26">
        <f>Estimation_1516!F467</f>
        <v>3.3653829033691136E-2</v>
      </c>
      <c r="D466" s="26">
        <v>-2.6113463265186945E-3</v>
      </c>
      <c r="F466" s="28">
        <v>-3.1328902183316056E-2</v>
      </c>
      <c r="G466" s="30">
        <f t="shared" si="8"/>
        <v>3.1328902183316056E-2</v>
      </c>
      <c r="I466" s="26">
        <v>3.4244591273730807E-2</v>
      </c>
    </row>
    <row r="467" spans="2:9">
      <c r="B467" s="25">
        <f>Estimation_1516!F468</f>
        <v>-4.3554007657129883E-4</v>
      </c>
      <c r="D467" s="25">
        <v>-2.5108941631343468E-3</v>
      </c>
      <c r="F467" s="27">
        <v>-3.1329291607603962E-2</v>
      </c>
      <c r="G467" s="29">
        <f t="shared" si="8"/>
        <v>3.1329291607603962E-2</v>
      </c>
      <c r="I467" s="25">
        <v>3.4760495227986535E-2</v>
      </c>
    </row>
    <row r="468" spans="2:9">
      <c r="B468" s="26">
        <f>Estimation_1516!F469</f>
        <v>6.5323899982156223E-4</v>
      </c>
      <c r="D468" s="26">
        <v>-2.496101139993778E-3</v>
      </c>
      <c r="F468" s="28">
        <v>-3.2097721402510125E-2</v>
      </c>
      <c r="G468" s="30">
        <f t="shared" si="8"/>
        <v>3.2097721402510125E-2</v>
      </c>
      <c r="I468" s="26">
        <v>3.5700612835693167E-2</v>
      </c>
    </row>
    <row r="469" spans="2:9">
      <c r="B469" s="25">
        <f>Estimation_1516!F470</f>
        <v>2.1107826524322439E-2</v>
      </c>
      <c r="D469" s="25">
        <v>-2.4340782808796408E-3</v>
      </c>
      <c r="F469" s="27">
        <v>-3.2184955474174479E-2</v>
      </c>
      <c r="G469" s="29">
        <f t="shared" si="8"/>
        <v>3.2184955474174479E-2</v>
      </c>
      <c r="I469" s="25">
        <v>3.5901935394805372E-2</v>
      </c>
    </row>
    <row r="470" spans="2:9">
      <c r="B470" s="26">
        <f>Estimation_1516!F471</f>
        <v>3.6166404701882936E-3</v>
      </c>
      <c r="D470" s="26">
        <v>-2.3631361922828906E-3</v>
      </c>
      <c r="F470" s="28">
        <v>-3.2260862218221553E-2</v>
      </c>
      <c r="G470" s="30">
        <f t="shared" si="8"/>
        <v>3.2260862218221553E-2</v>
      </c>
      <c r="I470" s="26">
        <v>3.6389703399905798E-2</v>
      </c>
    </row>
    <row r="471" spans="2:9">
      <c r="B471" s="25">
        <f>Estimation_1516!F472</f>
        <v>-2.233290155414714E-2</v>
      </c>
      <c r="D471" s="25">
        <v>-2.3320487741781493E-3</v>
      </c>
      <c r="F471" s="27">
        <v>-3.2418503899008209E-2</v>
      </c>
      <c r="G471" s="29">
        <f t="shared" si="8"/>
        <v>3.2418503899008209E-2</v>
      </c>
      <c r="I471" s="25">
        <v>3.6586390753831903E-2</v>
      </c>
    </row>
    <row r="472" spans="2:9">
      <c r="B472" s="26">
        <f>Estimation_1516!F473</f>
        <v>-1.4876669025443484E-2</v>
      </c>
      <c r="D472" s="26">
        <v>-2.3198022002312805E-3</v>
      </c>
      <c r="F472" s="28">
        <v>-3.2444045952018004E-2</v>
      </c>
      <c r="G472" s="30">
        <f t="shared" si="8"/>
        <v>3.2444045952018004E-2</v>
      </c>
      <c r="I472" s="26">
        <v>3.6600283464700636E-2</v>
      </c>
    </row>
    <row r="473" spans="2:9">
      <c r="B473" s="25">
        <f>Estimation_1516!F474</f>
        <v>-2.5221736461793102E-2</v>
      </c>
      <c r="D473" s="25">
        <v>-2.319513942233386E-3</v>
      </c>
      <c r="F473" s="27">
        <v>-3.2853484807258623E-2</v>
      </c>
      <c r="G473" s="29">
        <f t="shared" si="8"/>
        <v>3.2853484807258623E-2</v>
      </c>
      <c r="I473" s="25">
        <v>3.7100856375044906E-2</v>
      </c>
    </row>
    <row r="474" spans="2:9">
      <c r="B474" s="26">
        <f>Estimation_1516!F475</f>
        <v>1.7699577099400857E-2</v>
      </c>
      <c r="D474" s="26">
        <v>-2.2954592797707397E-3</v>
      </c>
      <c r="F474" s="28">
        <v>-3.289185397173143E-2</v>
      </c>
      <c r="G474" s="30">
        <f t="shared" si="8"/>
        <v>3.289185397173143E-2</v>
      </c>
      <c r="I474" s="26">
        <v>3.7183224904371301E-2</v>
      </c>
    </row>
    <row r="475" spans="2:9">
      <c r="B475" s="25">
        <f>Estimation_1516!F476</f>
        <v>-3.0209691350135789E-2</v>
      </c>
      <c r="D475" s="25">
        <v>-2.2837076240544846E-3</v>
      </c>
      <c r="F475" s="27">
        <v>-3.3020425850928146E-2</v>
      </c>
      <c r="G475" s="29">
        <f t="shared" si="8"/>
        <v>3.3020425850928146E-2</v>
      </c>
      <c r="I475" s="25">
        <v>3.7382872684469409E-2</v>
      </c>
    </row>
    <row r="476" spans="2:9">
      <c r="B476" s="26">
        <f>Estimation_1516!F477</f>
        <v>3.0431740868090324E-2</v>
      </c>
      <c r="D476" s="26">
        <v>-2.1844290165421291E-3</v>
      </c>
      <c r="F476" s="28">
        <v>-3.3211852793382152E-2</v>
      </c>
      <c r="G476" s="30">
        <f t="shared" si="8"/>
        <v>3.3211852793382152E-2</v>
      </c>
      <c r="I476" s="26">
        <v>3.9160474003839894E-2</v>
      </c>
    </row>
    <row r="477" spans="2:9">
      <c r="B477" s="25">
        <f>Estimation_1516!F478</f>
        <v>2.5861621014799756E-2</v>
      </c>
      <c r="D477" s="25">
        <v>-2.1665127632426086E-3</v>
      </c>
      <c r="F477" s="27">
        <v>-3.3745211735482818E-2</v>
      </c>
      <c r="G477" s="29">
        <f t="shared" si="8"/>
        <v>3.3745211735482818E-2</v>
      </c>
      <c r="I477" s="25">
        <v>3.9439220747289394E-2</v>
      </c>
    </row>
    <row r="478" spans="2:9">
      <c r="B478" s="26">
        <f>Estimation_1516!F479</f>
        <v>-3.2097721402510125E-2</v>
      </c>
      <c r="D478" s="26">
        <v>-2.1208915691376244E-3</v>
      </c>
      <c r="F478" s="28">
        <v>-3.3806036130453659E-2</v>
      </c>
      <c r="G478" s="30">
        <f t="shared" si="8"/>
        <v>3.3806036130453659E-2</v>
      </c>
      <c r="I478" s="26">
        <v>3.9807216732912418E-2</v>
      </c>
    </row>
    <row r="479" spans="2:9">
      <c r="B479" s="25">
        <f>Estimation_1516!F480</f>
        <v>1.8154140373813764E-2</v>
      </c>
      <c r="D479" s="25">
        <v>-2.0402492470985695E-3</v>
      </c>
      <c r="F479" s="27">
        <v>-3.4434984327362556E-2</v>
      </c>
      <c r="G479" s="29">
        <f t="shared" si="8"/>
        <v>3.4434984327362556E-2</v>
      </c>
      <c r="I479" s="25">
        <v>3.9822251946415442E-2</v>
      </c>
    </row>
    <row r="480" spans="2:9">
      <c r="B480" s="26">
        <f>Estimation_1516!F481</f>
        <v>2.5345231917157839E-2</v>
      </c>
      <c r="D480" s="26">
        <v>-2.023999534384311E-3</v>
      </c>
      <c r="F480" s="28">
        <v>-3.4636094151927622E-2</v>
      </c>
      <c r="G480" s="30">
        <f t="shared" si="8"/>
        <v>3.4636094151927622E-2</v>
      </c>
      <c r="I480" s="26">
        <v>3.9932710335371012E-2</v>
      </c>
    </row>
    <row r="481" spans="2:9">
      <c r="B481" s="25">
        <f>Estimation_1516!F482</f>
        <v>7.0340266573799817E-3</v>
      </c>
      <c r="D481" s="25">
        <v>-1.9960086467149273E-3</v>
      </c>
      <c r="F481" s="27">
        <v>-3.5405529220142111E-2</v>
      </c>
      <c r="G481" s="29">
        <f t="shared" si="8"/>
        <v>3.5405529220142111E-2</v>
      </c>
      <c r="I481" s="25">
        <v>3.9959654261952408E-2</v>
      </c>
    </row>
    <row r="482" spans="2:9">
      <c r="B482" s="26">
        <f>Estimation_1516!F483</f>
        <v>-5.9650794684750165E-3</v>
      </c>
      <c r="D482" s="26">
        <v>-1.9947417984243487E-3</v>
      </c>
      <c r="F482" s="28">
        <v>-3.5432945543109461E-2</v>
      </c>
      <c r="G482" s="30">
        <f t="shared" si="8"/>
        <v>3.5432945543109461E-2</v>
      </c>
      <c r="I482" s="26">
        <v>4.1782593477839053E-2</v>
      </c>
    </row>
    <row r="483" spans="2:9">
      <c r="B483" s="25">
        <f>Estimation_1516!F484</f>
        <v>-1.680711831638106E-2</v>
      </c>
      <c r="D483" s="25">
        <v>-1.9573897689761891E-3</v>
      </c>
      <c r="F483" s="27">
        <v>-3.5676033381843497E-2</v>
      </c>
      <c r="G483" s="29">
        <f t="shared" si="8"/>
        <v>3.5676033381843497E-2</v>
      </c>
      <c r="I483" s="25">
        <v>4.2180976898622956E-2</v>
      </c>
    </row>
    <row r="484" spans="2:9">
      <c r="B484" s="26">
        <f>Estimation_1516!F485</f>
        <v>5.6338177182560642E-3</v>
      </c>
      <c r="D484" s="26">
        <v>-1.819836716986094E-3</v>
      </c>
      <c r="F484" s="28">
        <v>-3.6415189636235135E-2</v>
      </c>
      <c r="G484" s="30">
        <f t="shared" si="8"/>
        <v>3.6415189636235135E-2</v>
      </c>
      <c r="I484" s="26">
        <v>4.2387034266653877E-2</v>
      </c>
    </row>
    <row r="485" spans="2:9">
      <c r="B485" s="25">
        <f>Estimation_1516!F486</f>
        <v>1.0797971030812202E-3</v>
      </c>
      <c r="D485" s="25">
        <v>-1.795479140634779E-3</v>
      </c>
      <c r="F485" s="27">
        <v>-3.7026983312509178E-2</v>
      </c>
      <c r="G485" s="29">
        <f t="shared" si="8"/>
        <v>3.7026983312509178E-2</v>
      </c>
      <c r="I485" s="25">
        <v>4.2899130932194669E-2</v>
      </c>
    </row>
    <row r="486" spans="2:9">
      <c r="B486" s="26">
        <f>Estimation_1516!F487</f>
        <v>-3.4594629096594202E-3</v>
      </c>
      <c r="D486" s="26">
        <v>-1.7940442558596736E-3</v>
      </c>
      <c r="F486" s="28">
        <v>-3.7455679095325406E-2</v>
      </c>
      <c r="G486" s="30">
        <f t="shared" si="8"/>
        <v>3.7455679095325406E-2</v>
      </c>
      <c r="I486" s="26">
        <v>4.2902523969794507E-2</v>
      </c>
    </row>
    <row r="487" spans="2:9">
      <c r="B487" s="25">
        <f>Estimation_1516!F488</f>
        <v>2.7346288537039392E-2</v>
      </c>
      <c r="D487" s="25">
        <v>-1.7714796483821156E-3</v>
      </c>
      <c r="F487" s="27">
        <v>-3.7530127789237269E-2</v>
      </c>
      <c r="G487" s="29">
        <f t="shared" si="8"/>
        <v>3.7530127789237269E-2</v>
      </c>
      <c r="I487" s="25">
        <v>4.2977762030993523E-2</v>
      </c>
    </row>
    <row r="488" spans="2:9">
      <c r="B488" s="26">
        <f>Estimation_1516!F489</f>
        <v>-6.9789857126056542E-3</v>
      </c>
      <c r="D488" s="26">
        <v>-1.7616374228579302E-3</v>
      </c>
      <c r="F488" s="28">
        <v>-3.9711735081349384E-2</v>
      </c>
      <c r="G488" s="30">
        <f t="shared" si="8"/>
        <v>3.9711735081349384E-2</v>
      </c>
      <c r="I488" s="26">
        <v>4.3323136232435201E-2</v>
      </c>
    </row>
    <row r="489" spans="2:9">
      <c r="B489" s="25">
        <f>Estimation_1516!F490</f>
        <v>1.6963532481783338E-3</v>
      </c>
      <c r="D489" s="25">
        <v>-1.7108644036294301E-3</v>
      </c>
      <c r="F489" s="27">
        <v>-3.9803863876642191E-2</v>
      </c>
      <c r="G489" s="29">
        <f t="shared" si="8"/>
        <v>3.9803863876642191E-2</v>
      </c>
      <c r="I489" s="25">
        <v>4.3963123421115989E-2</v>
      </c>
    </row>
    <row r="490" spans="2:9">
      <c r="B490" s="26">
        <f>Estimation_1516!F491</f>
        <v>-2.1208915691376244E-3</v>
      </c>
      <c r="D490" s="26">
        <v>-1.634837251983094E-3</v>
      </c>
      <c r="F490" s="28">
        <v>-3.9833568221201737E-2</v>
      </c>
      <c r="G490" s="30">
        <f t="shared" si="8"/>
        <v>3.9833568221201737E-2</v>
      </c>
      <c r="I490" s="26">
        <v>4.6021357601298718E-2</v>
      </c>
    </row>
    <row r="491" spans="2:9">
      <c r="B491" s="25">
        <f>Estimation_1516!F492</f>
        <v>-1.4973541790162593E-2</v>
      </c>
      <c r="D491" s="25">
        <v>-1.5439683044683949E-3</v>
      </c>
      <c r="F491" s="27">
        <v>-3.9919331603540817E-2</v>
      </c>
      <c r="G491" s="29">
        <f t="shared" si="8"/>
        <v>3.9919331603540817E-2</v>
      </c>
      <c r="I491" s="25">
        <v>4.6300933587790326E-2</v>
      </c>
    </row>
    <row r="492" spans="2:9">
      <c r="B492" s="26">
        <f>Estimation_1516!F493</f>
        <v>7.9425125055852981E-3</v>
      </c>
      <c r="D492" s="26">
        <v>-1.5427340301383239E-3</v>
      </c>
      <c r="F492" s="28">
        <v>-4.161219606275611E-2</v>
      </c>
      <c r="G492" s="30">
        <f t="shared" si="8"/>
        <v>4.161219606275611E-2</v>
      </c>
      <c r="I492" s="26">
        <v>4.8242136476458912E-2</v>
      </c>
    </row>
    <row r="493" spans="2:9">
      <c r="B493" s="25">
        <f>Estimation_1516!F494</f>
        <v>1.5908703316594688E-2</v>
      </c>
      <c r="D493" s="25">
        <v>-1.5250879881416536E-3</v>
      </c>
      <c r="F493" s="27">
        <v>-4.1666624331176384E-2</v>
      </c>
      <c r="G493" s="29">
        <f t="shared" si="8"/>
        <v>4.1666624331176384E-2</v>
      </c>
      <c r="I493" s="25">
        <v>4.8344220451646255E-2</v>
      </c>
    </row>
    <row r="494" spans="2:9">
      <c r="B494" s="26">
        <f>Estimation_1516!F495</f>
        <v>2.7808390775205052E-2</v>
      </c>
      <c r="D494" s="26">
        <v>-1.5062512261877809E-3</v>
      </c>
      <c r="F494" s="28">
        <v>-4.2891564629312984E-2</v>
      </c>
      <c r="G494" s="30">
        <f t="shared" si="8"/>
        <v>4.2891564629312984E-2</v>
      </c>
      <c r="I494" s="26">
        <v>4.936160531555641E-2</v>
      </c>
    </row>
    <row r="495" spans="2:9">
      <c r="B495" s="25">
        <f>Estimation_1516!F496</f>
        <v>-1.2563238044599452E-2</v>
      </c>
      <c r="D495" s="25">
        <v>-1.4822137100986032E-3</v>
      </c>
      <c r="F495" s="27">
        <v>-4.3698655970660083E-2</v>
      </c>
      <c r="G495" s="29">
        <f t="shared" si="8"/>
        <v>4.3698655970660083E-2</v>
      </c>
      <c r="I495" s="25">
        <v>4.956108682058763E-2</v>
      </c>
    </row>
    <row r="496" spans="2:9">
      <c r="B496" s="26">
        <f>Estimation_1516!F497</f>
        <v>2.7393372716047398E-2</v>
      </c>
      <c r="D496" s="26">
        <v>-1.4277784609998516E-3</v>
      </c>
      <c r="F496" s="28">
        <v>-4.4462564564881991E-2</v>
      </c>
      <c r="G496" s="30">
        <f t="shared" si="8"/>
        <v>4.4462564564881991E-2</v>
      </c>
      <c r="I496" s="26">
        <v>5.0267173623907584E-2</v>
      </c>
    </row>
    <row r="497" spans="2:9">
      <c r="B497" s="25">
        <f>Estimation_1516!F498</f>
        <v>2.6662940395470767E-2</v>
      </c>
      <c r="D497" s="25">
        <v>-1.3766732575787987E-3</v>
      </c>
      <c r="F497" s="27">
        <v>-4.5586060178649079E-2</v>
      </c>
      <c r="G497" s="29">
        <f t="shared" si="8"/>
        <v>4.5586060178649079E-2</v>
      </c>
      <c r="I497" s="25">
        <v>5.0391445536405823E-2</v>
      </c>
    </row>
    <row r="498" spans="2:9">
      <c r="B498" s="26">
        <f>Estimation_1516!F499</f>
        <v>2.3480267608842448E-2</v>
      </c>
      <c r="D498" s="26">
        <v>-1.3409321486310528E-3</v>
      </c>
      <c r="F498" s="28">
        <v>-4.5689742555103538E-2</v>
      </c>
      <c r="G498" s="30">
        <f t="shared" si="8"/>
        <v>4.5689742555103538E-2</v>
      </c>
      <c r="I498" s="26">
        <v>5.3649328280617428E-2</v>
      </c>
    </row>
    <row r="499" spans="2:9">
      <c r="B499" s="25">
        <f>Estimation_1516!F500</f>
        <v>3.0225194681989309E-2</v>
      </c>
      <c r="D499" s="25">
        <v>-1.2726695958943336E-3</v>
      </c>
      <c r="F499" s="27">
        <v>-4.5827033384819978E-2</v>
      </c>
      <c r="G499" s="29">
        <f t="shared" si="8"/>
        <v>4.5827033384819978E-2</v>
      </c>
      <c r="I499" s="25">
        <v>5.4105722049921319E-2</v>
      </c>
    </row>
    <row r="500" spans="2:9">
      <c r="B500" s="26">
        <f>Estimation_1516!F501</f>
        <v>3.3438634167064687E-3</v>
      </c>
      <c r="D500" s="26">
        <v>-1.271455988196721E-3</v>
      </c>
      <c r="F500" s="28">
        <v>-4.602941256067037E-2</v>
      </c>
      <c r="G500" s="30">
        <f t="shared" si="8"/>
        <v>4.602941256067037E-2</v>
      </c>
      <c r="I500" s="26">
        <v>6.0563662933182667E-2</v>
      </c>
    </row>
    <row r="501" spans="2:9">
      <c r="B501" s="25">
        <f>Estimation_1516!F502</f>
        <v>1.8740214063076129E-2</v>
      </c>
      <c r="D501" s="25">
        <v>-1.2022844850704101E-3</v>
      </c>
      <c r="F501" s="27">
        <v>-4.6419816907332823E-2</v>
      </c>
      <c r="G501" s="29">
        <f t="shared" si="8"/>
        <v>4.6419816907332823E-2</v>
      </c>
      <c r="I501" s="25">
        <v>6.1461091961400878E-2</v>
      </c>
    </row>
    <row r="502" spans="2:9">
      <c r="B502" s="26">
        <f>Estimation_1516!F503</f>
        <v>-7.8575095909383004E-3</v>
      </c>
      <c r="D502" s="26">
        <v>-9.2506944617271828E-4</v>
      </c>
      <c r="F502" s="28">
        <v>-4.6552025365853865E-2</v>
      </c>
      <c r="G502" s="30">
        <f t="shared" si="8"/>
        <v>4.6552025365853865E-2</v>
      </c>
      <c r="I502" s="26">
        <v>6.2744591082674259E-2</v>
      </c>
    </row>
    <row r="503" spans="2:9">
      <c r="B503" s="25">
        <f>Estimation_1516!F504</f>
        <v>-1.9450460365416533E-2</v>
      </c>
      <c r="D503" s="25">
        <v>-9.0950438284049986E-4</v>
      </c>
      <c r="F503" s="27">
        <v>-4.7281533630825656E-2</v>
      </c>
      <c r="G503" s="29">
        <f t="shared" si="8"/>
        <v>4.7281533630825656E-2</v>
      </c>
      <c r="I503" s="25">
        <v>7.3169053927111316E-2</v>
      </c>
    </row>
    <row r="504" spans="2:9">
      <c r="B504" s="26">
        <f>Estimation_1516!F505</f>
        <v>1.743044315112403E-2</v>
      </c>
      <c r="D504" s="26">
        <v>-8.8809952551221788E-4</v>
      </c>
      <c r="F504" s="28">
        <v>-4.9018709479534392E-2</v>
      </c>
      <c r="G504" s="30">
        <f t="shared" si="8"/>
        <v>4.9018709479534392E-2</v>
      </c>
      <c r="I504" s="26">
        <v>7.5507552508145101E-2</v>
      </c>
    </row>
    <row r="505" spans="2:9">
      <c r="B505" s="25">
        <f>Estimation_1516!F506</f>
        <v>-1.3882684785189472E-2</v>
      </c>
      <c r="D505" s="25">
        <v>-8.5677571998178962E-4</v>
      </c>
      <c r="F505" s="27">
        <v>-4.9459801302652678E-2</v>
      </c>
      <c r="G505" s="29">
        <f t="shared" si="8"/>
        <v>4.9459801302652678E-2</v>
      </c>
      <c r="I505" s="25">
        <v>8.6435804278908512E-2</v>
      </c>
    </row>
    <row r="506" spans="2:9">
      <c r="B506" s="26">
        <f>Estimation_1516!F507</f>
        <v>-1.2378252572036723E-2</v>
      </c>
      <c r="D506" s="26">
        <v>-7.7742365728489791E-4</v>
      </c>
      <c r="F506" s="28">
        <v>-5.0390746540967146E-2</v>
      </c>
      <c r="G506" s="30">
        <f t="shared" si="8"/>
        <v>5.0390746540967146E-2</v>
      </c>
    </row>
    <row r="507" spans="2:9">
      <c r="B507" s="25">
        <f>Estimation_1516!F508</f>
        <v>1.5541928794088875E-2</v>
      </c>
      <c r="D507" s="25">
        <v>-7.1047960359856292E-4</v>
      </c>
      <c r="F507" s="27">
        <v>-5.1416947088489234E-2</v>
      </c>
      <c r="G507" s="29">
        <f t="shared" si="8"/>
        <v>5.1416947088489234E-2</v>
      </c>
    </row>
    <row r="508" spans="2:9">
      <c r="B508" s="26">
        <f>Estimation_1516!F509</f>
        <v>2.9684622910988918E-3</v>
      </c>
      <c r="D508" s="26">
        <v>-7.0636437209816805E-4</v>
      </c>
      <c r="F508" s="28">
        <v>-5.2619428900360712E-2</v>
      </c>
      <c r="G508" s="30">
        <f t="shared" si="8"/>
        <v>5.2619428900360712E-2</v>
      </c>
    </row>
    <row r="509" spans="2:9">
      <c r="B509" s="25">
        <f>Estimation_1516!F510</f>
        <v>4.067300855741968E-3</v>
      </c>
      <c r="D509" s="25">
        <v>-6.6867270963569822E-4</v>
      </c>
      <c r="F509" s="27">
        <v>-5.4246102547249465E-2</v>
      </c>
      <c r="G509" s="29">
        <f t="shared" si="8"/>
        <v>5.4246102547249465E-2</v>
      </c>
    </row>
    <row r="510" spans="2:9">
      <c r="B510" s="26">
        <f>Estimation_1516!F511</f>
        <v>-8.1512122307063114E-3</v>
      </c>
      <c r="D510" s="26">
        <v>-6.6566818900064219E-4</v>
      </c>
      <c r="F510" s="28">
        <v>-5.4303294151791796E-2</v>
      </c>
      <c r="G510" s="30">
        <f t="shared" si="8"/>
        <v>5.4303294151791796E-2</v>
      </c>
    </row>
    <row r="511" spans="2:9">
      <c r="B511" s="25">
        <f>Estimation_1516!F512</f>
        <v>7.4377095284445876E-4</v>
      </c>
      <c r="D511" s="25">
        <v>-6.018658020985623E-4</v>
      </c>
      <c r="F511" s="27">
        <v>-5.5557881629222733E-2</v>
      </c>
      <c r="G511" s="29">
        <f t="shared" si="8"/>
        <v>5.5557881629222733E-2</v>
      </c>
    </row>
    <row r="512" spans="2:9">
      <c r="B512" s="26">
        <f>Estimation_1516!F513</f>
        <v>-1.8589088258759179E-4</v>
      </c>
      <c r="D512" s="26">
        <v>-5.9934074314309607E-4</v>
      </c>
      <c r="F512" s="28">
        <v>-5.6164828860699331E-2</v>
      </c>
      <c r="G512" s="30">
        <f t="shared" si="8"/>
        <v>5.6164828860699331E-2</v>
      </c>
    </row>
    <row r="513" spans="2:7">
      <c r="B513" s="25">
        <f>Estimation_1516!F514</f>
        <v>-9.526550053017337E-3</v>
      </c>
      <c r="D513" s="25">
        <v>-5.7587102080948211E-4</v>
      </c>
      <c r="F513" s="27">
        <v>-5.6223125716668571E-2</v>
      </c>
      <c r="G513" s="29">
        <f t="shared" si="8"/>
        <v>5.6223125716668571E-2</v>
      </c>
    </row>
    <row r="514" spans="2:7">
      <c r="B514" s="26">
        <f>Estimation_1516!F515</f>
        <v>5.9880418446226933E-3</v>
      </c>
      <c r="D514" s="26">
        <v>-4.3554007657129883E-4</v>
      </c>
      <c r="F514" s="28">
        <v>-5.7141486348856373E-2</v>
      </c>
      <c r="G514" s="30">
        <f t="shared" si="8"/>
        <v>5.7141486348856373E-2</v>
      </c>
    </row>
    <row r="515" spans="2:7">
      <c r="B515" s="25">
        <f>Estimation_1516!F516</f>
        <v>7.4349784875179905E-3</v>
      </c>
      <c r="D515" s="25">
        <v>-4.0096231491477984E-4</v>
      </c>
      <c r="F515" s="27">
        <v>-5.8733804904133824E-2</v>
      </c>
      <c r="G515" s="29">
        <f t="shared" si="8"/>
        <v>5.8733804904133824E-2</v>
      </c>
    </row>
    <row r="516" spans="2:7">
      <c r="B516" s="26">
        <f>Estimation_1516!F517</f>
        <v>3.9932710335371012E-2</v>
      </c>
      <c r="D516" s="26">
        <v>-3.1245118204510094E-4</v>
      </c>
      <c r="F516" s="28">
        <v>-6.0400933190068631E-2</v>
      </c>
      <c r="G516" s="30">
        <f t="shared" ref="G516:G521" si="9">-1*F516</f>
        <v>6.0400933190068631E-2</v>
      </c>
    </row>
    <row r="517" spans="2:7">
      <c r="B517" s="25">
        <f>Estimation_1516!F518</f>
        <v>3.7296908522394213E-3</v>
      </c>
      <c r="D517" s="25">
        <v>-3.0367446331144496E-4</v>
      </c>
      <c r="F517" s="27">
        <v>-6.258234255642485E-2</v>
      </c>
      <c r="G517" s="29">
        <f t="shared" si="9"/>
        <v>6.258234255642485E-2</v>
      </c>
    </row>
    <row r="518" spans="2:7">
      <c r="B518" s="26">
        <f>Estimation_1516!F519</f>
        <v>-8.1880129939505292E-3</v>
      </c>
      <c r="D518" s="26">
        <v>-2.8085943170155043E-4</v>
      </c>
      <c r="F518" s="28">
        <v>-6.341681602837107E-2</v>
      </c>
      <c r="G518" s="30">
        <f t="shared" si="9"/>
        <v>6.341681602837107E-2</v>
      </c>
    </row>
    <row r="519" spans="2:7">
      <c r="B519" s="25">
        <f>Estimation_1516!F520</f>
        <v>-5.7358106707323464E-3</v>
      </c>
      <c r="D519" s="25">
        <v>-2.311337118807871E-4</v>
      </c>
      <c r="F519" s="27">
        <v>-6.5422211124757157E-2</v>
      </c>
      <c r="G519" s="29">
        <f t="shared" si="9"/>
        <v>6.5422211124757157E-2</v>
      </c>
    </row>
    <row r="520" spans="2:7">
      <c r="B520" s="26">
        <f>Estimation_1516!F521</f>
        <v>-2.0888962245944845E-2</v>
      </c>
      <c r="D520" s="26">
        <v>-1.8589088258759179E-4</v>
      </c>
      <c r="F520" s="28">
        <v>-7.1585637658257734E-2</v>
      </c>
      <c r="G520" s="30">
        <f t="shared" si="9"/>
        <v>7.1585637658257734E-2</v>
      </c>
    </row>
    <row r="521" spans="2:7" ht="15" thickBot="1">
      <c r="B521" s="25">
        <f>Estimation_1516!F522</f>
        <v>6.7685248799824061E-3</v>
      </c>
      <c r="D521" s="25">
        <v>-1.3797861353391047E-4</v>
      </c>
      <c r="F521" s="31">
        <v>-0.18792760279247789</v>
      </c>
      <c r="G521" s="32">
        <f t="shared" si="9"/>
        <v>0.18792760279247789</v>
      </c>
    </row>
    <row r="522" spans="2:7">
      <c r="B522" s="26">
        <f>Estimation_1516!F523</f>
        <v>-8.7896555634099961E-3</v>
      </c>
      <c r="D522" s="26">
        <v>0</v>
      </c>
    </row>
    <row r="523" spans="2:7">
      <c r="B523" s="25">
        <f>Estimation_1516!F524</f>
        <v>1.8390804649532914E-4</v>
      </c>
      <c r="D523" s="25">
        <v>0</v>
      </c>
    </row>
    <row r="524" spans="2:7">
      <c r="B524" s="26">
        <f>Estimation_1516!F525</f>
        <v>3.0426106532317594E-2</v>
      </c>
      <c r="D524" s="26">
        <v>0</v>
      </c>
    </row>
    <row r="525" spans="2:7">
      <c r="B525" s="25">
        <f>Estimation_1516!F526</f>
        <v>-5.1864553351799094E-3</v>
      </c>
      <c r="D525" s="25">
        <v>0</v>
      </c>
    </row>
    <row r="526" spans="2:7">
      <c r="B526" s="26">
        <f>Estimation_1516!F527</f>
        <v>-1.6087106983832422E-2</v>
      </c>
      <c r="D526" s="26">
        <v>0</v>
      </c>
    </row>
    <row r="527" spans="2:7">
      <c r="B527" s="25">
        <f>Estimation_1516!F528</f>
        <v>-6.7648123414403936E-3</v>
      </c>
      <c r="D527" s="25">
        <v>1.6941973780451884E-4</v>
      </c>
    </row>
    <row r="528" spans="2:7">
      <c r="B528" s="26">
        <f>Estimation_1516!F529</f>
        <v>8.9490141562814825E-3</v>
      </c>
      <c r="D528" s="26">
        <v>1.7644464095180527E-4</v>
      </c>
    </row>
    <row r="529" spans="2:4">
      <c r="B529" s="25">
        <f>Estimation_1516!F530</f>
        <v>-9.0950438284049986E-4</v>
      </c>
      <c r="D529" s="25">
        <v>1.7954933166123351E-4</v>
      </c>
    </row>
    <row r="530" spans="2:4">
      <c r="B530" s="26">
        <f>Estimation_1516!F531</f>
        <v>-2.580788395587259E-2</v>
      </c>
      <c r="D530" s="26">
        <v>1.8390804649532914E-4</v>
      </c>
    </row>
    <row r="531" spans="2:4">
      <c r="B531" s="25">
        <f>Estimation_1516!F532</f>
        <v>1.1142176553241803E-2</v>
      </c>
      <c r="D531" s="25">
        <v>3.2472804311980047E-4</v>
      </c>
    </row>
    <row r="532" spans="2:4">
      <c r="B532" s="26">
        <f>Estimation_1516!F533</f>
        <v>4.936160531555641E-2</v>
      </c>
      <c r="D532" s="26">
        <v>3.4123869977942467E-4</v>
      </c>
    </row>
    <row r="533" spans="2:4">
      <c r="B533" s="25">
        <f>Estimation_1516!F534</f>
        <v>-6.8789406101607414E-3</v>
      </c>
      <c r="D533" s="25">
        <v>4.2096401379389297E-4</v>
      </c>
    </row>
    <row r="534" spans="2:4">
      <c r="B534" s="26">
        <f>Estimation_1516!F535</f>
        <v>-1.7714796483821156E-3</v>
      </c>
      <c r="D534" s="26">
        <v>4.4626255854036105E-4</v>
      </c>
    </row>
    <row r="535" spans="2:4">
      <c r="B535" s="25">
        <f>Estimation_1516!F536</f>
        <v>-1.3566791448771017E-2</v>
      </c>
      <c r="D535" s="25">
        <v>4.8563335636756536E-4</v>
      </c>
    </row>
    <row r="536" spans="2:4">
      <c r="B536" s="26">
        <f>Estimation_1516!F537</f>
        <v>-1.430018033400283E-2</v>
      </c>
      <c r="D536" s="26">
        <v>5.6242971111392559E-4</v>
      </c>
    </row>
    <row r="537" spans="2:4">
      <c r="B537" s="25">
        <f>Estimation_1516!F538</f>
        <v>1.6992455136197692E-2</v>
      </c>
      <c r="D537" s="25">
        <v>5.6609115579091805E-4</v>
      </c>
    </row>
    <row r="538" spans="2:4">
      <c r="B538" s="26">
        <f>Estimation_1516!F539</f>
        <v>-1.7940442558596736E-3</v>
      </c>
      <c r="D538" s="26">
        <v>6.0944643836593018E-4</v>
      </c>
    </row>
    <row r="539" spans="2:4">
      <c r="B539" s="25">
        <f>Estimation_1516!F540</f>
        <v>1.7954933166123351E-4</v>
      </c>
      <c r="D539" s="25">
        <v>6.3552591907076151E-4</v>
      </c>
    </row>
    <row r="540" spans="2:4">
      <c r="B540" s="26">
        <f>Estimation_1516!F541</f>
        <v>-1.1011935448613168E-2</v>
      </c>
      <c r="D540" s="26">
        <v>6.4662142569885898E-4</v>
      </c>
    </row>
    <row r="541" spans="2:4">
      <c r="B541" s="25">
        <f>Estimation_1516!F542</f>
        <v>-2.016936725442962E-2</v>
      </c>
      <c r="D541" s="25">
        <v>6.5323899982156223E-4</v>
      </c>
    </row>
    <row r="542" spans="2:4">
      <c r="B542" s="26">
        <f>Estimation_1516!F543</f>
        <v>-3.2184955474174479E-2</v>
      </c>
      <c r="D542" s="26">
        <v>7.0658897128118598E-4</v>
      </c>
    </row>
    <row r="543" spans="2:4">
      <c r="B543" s="25">
        <f>Estimation_1516!F544</f>
        <v>1.875943217288658E-2</v>
      </c>
      <c r="D543" s="25">
        <v>7.4377095284445876E-4</v>
      </c>
    </row>
    <row r="544" spans="2:4">
      <c r="B544" s="26">
        <f>Estimation_1516!F545</f>
        <v>2.2827380740290688E-2</v>
      </c>
      <c r="D544" s="26">
        <v>7.7399384668885949E-4</v>
      </c>
    </row>
    <row r="545" spans="2:4">
      <c r="B545" s="25">
        <f>Estimation_1516!F546</f>
        <v>5.3069938811259841E-3</v>
      </c>
      <c r="D545" s="25">
        <v>7.8094498307135099E-4</v>
      </c>
    </row>
    <row r="546" spans="2:4">
      <c r="B546" s="26">
        <f>Estimation_1516!F547</f>
        <v>7.4552577327251799E-3</v>
      </c>
      <c r="D546" s="26">
        <v>8.6592587312953214E-4</v>
      </c>
    </row>
    <row r="547" spans="2:4">
      <c r="B547" s="25">
        <f>Estimation_1516!F548</f>
        <v>2.1506205220963682E-2</v>
      </c>
      <c r="D547" s="25">
        <v>9.1734709671330913E-4</v>
      </c>
    </row>
    <row r="548" spans="2:4">
      <c r="B548" s="26">
        <f>Estimation_1516!F549</f>
        <v>-6.938912282272244E-3</v>
      </c>
      <c r="D548" s="26">
        <v>9.88630826939435E-4</v>
      </c>
    </row>
    <row r="549" spans="2:4">
      <c r="B549" s="25">
        <f>Estimation_1516!F550</f>
        <v>-1.8742664349171999E-2</v>
      </c>
      <c r="D549" s="25">
        <v>1.0797971030812202E-3</v>
      </c>
    </row>
    <row r="550" spans="2:4">
      <c r="B550" s="26">
        <f>Estimation_1516!F551</f>
        <v>-1.9100672523433389E-2</v>
      </c>
      <c r="D550" s="26">
        <v>1.1226495706186572E-3</v>
      </c>
    </row>
    <row r="551" spans="2:4">
      <c r="B551" s="25">
        <f>Estimation_1516!F552</f>
        <v>-1.0625507741767235E-2</v>
      </c>
      <c r="D551" s="25">
        <v>1.1239113293226085E-3</v>
      </c>
    </row>
    <row r="552" spans="2:4">
      <c r="B552" s="26">
        <f>Estimation_1516!F553</f>
        <v>-6.580826607653625E-3</v>
      </c>
      <c r="D552" s="26">
        <v>1.1631965950356356E-3</v>
      </c>
    </row>
    <row r="553" spans="2:4">
      <c r="B553" s="25">
        <f>Estimation_1516!F554</f>
        <v>-1.0429600560987094E-2</v>
      </c>
      <c r="D553" s="25">
        <v>1.1745953192061973E-3</v>
      </c>
    </row>
    <row r="554" spans="2:4">
      <c r="B554" s="26">
        <f>Estimation_1516!F555</f>
        <v>-1.8469166769037215E-2</v>
      </c>
      <c r="D554" s="26">
        <v>1.2061272720161218E-3</v>
      </c>
    </row>
    <row r="555" spans="2:4">
      <c r="B555" s="25">
        <f>Estimation_1516!F556</f>
        <v>3.8759738446929397E-3</v>
      </c>
      <c r="D555" s="25">
        <v>1.214820963331598E-3</v>
      </c>
    </row>
    <row r="556" spans="2:4">
      <c r="B556" s="26">
        <f>Estimation_1516!F557</f>
        <v>-3.6818179368896635E-3</v>
      </c>
      <c r="D556" s="26">
        <v>1.2335890188884457E-3</v>
      </c>
    </row>
    <row r="557" spans="2:4">
      <c r="B557" s="25">
        <f>Estimation_1516!F558</f>
        <v>3.9959654261952408E-2</v>
      </c>
      <c r="D557" s="25">
        <v>1.2359849723905013E-3</v>
      </c>
    </row>
    <row r="558" spans="2:4">
      <c r="B558" s="26">
        <f>Estimation_1516!F559</f>
        <v>2.4219853478986827E-3</v>
      </c>
      <c r="D558" s="26">
        <v>1.2498885655380626E-3</v>
      </c>
    </row>
    <row r="559" spans="2:4">
      <c r="B559" s="25">
        <f>Estimation_1516!F560</f>
        <v>2.8253576272069227E-2</v>
      </c>
      <c r="D559" s="25">
        <v>1.3034979034439755E-3</v>
      </c>
    </row>
    <row r="560" spans="2:4">
      <c r="B560" s="26">
        <f>Estimation_1516!F561</f>
        <v>-1.6966565892196025E-2</v>
      </c>
      <c r="D560" s="26">
        <v>1.3104014979145844E-3</v>
      </c>
    </row>
    <row r="561" spans="2:4">
      <c r="B561" s="25">
        <f>Estimation_1516!F562</f>
        <v>-4.6104277147824974E-3</v>
      </c>
      <c r="D561" s="25">
        <v>1.3117623218977263E-3</v>
      </c>
    </row>
    <row r="562" spans="2:4">
      <c r="B562" s="26">
        <f>Estimation_1516!F563</f>
        <v>4.6104277147825598E-3</v>
      </c>
      <c r="D562" s="26">
        <v>1.3504390978713249E-3</v>
      </c>
    </row>
    <row r="563" spans="2:4">
      <c r="B563" s="25">
        <f>Estimation_1516!F564</f>
        <v>2.3996788628198141E-2</v>
      </c>
      <c r="D563" s="25">
        <v>1.3733907738143459E-3</v>
      </c>
    </row>
    <row r="564" spans="2:4">
      <c r="B564" s="26">
        <f>Estimation_1516!F565</f>
        <v>1.6390888959015963E-2</v>
      </c>
      <c r="D564" s="26">
        <v>1.3752795703850108E-3</v>
      </c>
    </row>
    <row r="565" spans="2:4">
      <c r="B565" s="25">
        <f>Estimation_1516!F566</f>
        <v>7.0658897128118598E-4</v>
      </c>
      <c r="D565" s="25">
        <v>1.3872834594863056E-3</v>
      </c>
    </row>
    <row r="566" spans="2:4">
      <c r="B566" s="26">
        <f>Estimation_1516!F567</f>
        <v>-8.8684511716056822E-3</v>
      </c>
      <c r="D566" s="26">
        <v>1.4541226933343409E-3</v>
      </c>
    </row>
    <row r="567" spans="2:4">
      <c r="B567" s="25">
        <f>Estimation_1516!F568</f>
        <v>8.3385562550292638E-3</v>
      </c>
      <c r="D567" s="25">
        <v>1.554243396496866E-3</v>
      </c>
    </row>
    <row r="568" spans="2:4">
      <c r="B568" s="26">
        <f>Estimation_1516!F569</f>
        <v>1.2359849723905013E-3</v>
      </c>
      <c r="D568" s="26">
        <v>1.5774651158453792E-3</v>
      </c>
    </row>
    <row r="569" spans="2:4">
      <c r="B569" s="25">
        <f>Estimation_1516!F570</f>
        <v>1.7644464095180527E-4</v>
      </c>
      <c r="D569" s="25">
        <v>1.5987213636970735E-3</v>
      </c>
    </row>
    <row r="570" spans="2:4">
      <c r="B570" s="26">
        <f>Estimation_1516!F571</f>
        <v>-6.371702972692783E-3</v>
      </c>
      <c r="D570" s="26">
        <v>1.6622037255868681E-3</v>
      </c>
    </row>
    <row r="571" spans="2:4">
      <c r="B571" s="25">
        <f>Estimation_1516!F572</f>
        <v>-7.1047960359856292E-4</v>
      </c>
      <c r="D571" s="25">
        <v>1.6963532481783338E-3</v>
      </c>
    </row>
    <row r="572" spans="2:4">
      <c r="B572" s="26">
        <f>Estimation_1516!F573</f>
        <v>-8.7445903887513748E-3</v>
      </c>
      <c r="D572" s="26">
        <v>1.6977932770940486E-3</v>
      </c>
    </row>
    <row r="573" spans="2:4">
      <c r="B573" s="25">
        <f>Estimation_1516!F574</f>
        <v>1.0874516646576285E-2</v>
      </c>
      <c r="D573" s="25">
        <v>1.7298049634182026E-3</v>
      </c>
    </row>
    <row r="574" spans="2:4">
      <c r="B574" s="26">
        <f>Estimation_1516!F575</f>
        <v>-8.7259034654592147E-3</v>
      </c>
      <c r="D574" s="26">
        <v>1.7406444777841182E-3</v>
      </c>
    </row>
    <row r="575" spans="2:4">
      <c r="B575" s="25">
        <f>Estimation_1516!F576</f>
        <v>-5.0206309513522139E-3</v>
      </c>
      <c r="D575" s="25">
        <v>1.7800386136842168E-3</v>
      </c>
    </row>
    <row r="576" spans="2:4">
      <c r="B576" s="26">
        <f>Estimation_1516!F577</f>
        <v>1.922793793873499E-2</v>
      </c>
      <c r="D576" s="26">
        <v>1.8438849723282193E-3</v>
      </c>
    </row>
    <row r="577" spans="2:4">
      <c r="B577" s="25">
        <f>Estimation_1516!F578</f>
        <v>1.2335890188884457E-3</v>
      </c>
      <c r="D577" s="25">
        <v>1.8470636946871703E-3</v>
      </c>
    </row>
    <row r="578" spans="2:4">
      <c r="B578" s="26">
        <f>Estimation_1516!F579</f>
        <v>7.8940853761856663E-3</v>
      </c>
      <c r="D578" s="26">
        <v>1.8796998015774722E-3</v>
      </c>
    </row>
    <row r="579" spans="2:4">
      <c r="B579" s="25">
        <f>Estimation_1516!F580</f>
        <v>9.2182581635599191E-3</v>
      </c>
      <c r="D579" s="25">
        <v>1.9688275432782113E-3</v>
      </c>
    </row>
    <row r="580" spans="2:4">
      <c r="B580" s="26">
        <f>Estimation_1516!F581</f>
        <v>-1.5176915822014692E-2</v>
      </c>
      <c r="D580" s="26">
        <v>1.9854407581029569E-3</v>
      </c>
    </row>
    <row r="581" spans="2:4">
      <c r="B581" s="25">
        <f>Estimation_1516!F582</f>
        <v>-6.8789406101607414E-3</v>
      </c>
      <c r="D581" s="25">
        <v>1.9874137048381956E-3</v>
      </c>
    </row>
    <row r="582" spans="2:4">
      <c r="B582" s="26">
        <f>Estimation_1516!F583</f>
        <v>2.1216415313581889E-3</v>
      </c>
      <c r="D582" s="26">
        <v>2.0597329630105622E-3</v>
      </c>
    </row>
    <row r="583" spans="2:4">
      <c r="B583" s="25">
        <f>Estimation_1516!F584</f>
        <v>7.7410661016004776E-3</v>
      </c>
      <c r="D583" s="25">
        <v>2.0732557530042015E-3</v>
      </c>
    </row>
    <row r="584" spans="2:4">
      <c r="B584" s="26">
        <f>Estimation_1516!F585</f>
        <v>7.6816020179506965E-3</v>
      </c>
      <c r="D584" s="26">
        <v>2.1216415313581889E-3</v>
      </c>
    </row>
    <row r="585" spans="2:4">
      <c r="B585" s="25">
        <f>Estimation_1516!F586</f>
        <v>-9.2601343110005722E-3</v>
      </c>
      <c r="D585" s="25">
        <v>2.1524671987650126E-3</v>
      </c>
    </row>
    <row r="586" spans="2:4">
      <c r="B586" s="26">
        <f>Estimation_1516!F587</f>
        <v>-1.2541010430593325E-2</v>
      </c>
      <c r="D586" s="26">
        <v>2.2255202064056841E-3</v>
      </c>
    </row>
    <row r="587" spans="2:4">
      <c r="B587" s="25">
        <f>Estimation_1516!F588</f>
        <v>-1.4682448180063179E-2</v>
      </c>
      <c r="D587" s="25">
        <v>2.2708358861356671E-3</v>
      </c>
    </row>
    <row r="588" spans="2:4">
      <c r="B588" s="26">
        <f>Estimation_1516!F589</f>
        <v>-2.4467169029211845E-2</v>
      </c>
      <c r="D588" s="26">
        <v>2.290643055085004E-3</v>
      </c>
    </row>
    <row r="589" spans="2:4">
      <c r="B589" s="25">
        <f>Estimation_1516!F590</f>
        <v>1.6622037255868681E-3</v>
      </c>
      <c r="D589" s="25">
        <v>2.3478125827479735E-3</v>
      </c>
    </row>
    <row r="590" spans="2:4">
      <c r="B590" s="26">
        <f>Estimation_1516!F591</f>
        <v>2.1722128164793061E-2</v>
      </c>
      <c r="D590" s="26">
        <v>2.350177344953673E-3</v>
      </c>
    </row>
    <row r="591" spans="2:4">
      <c r="B591" s="25">
        <f>Estimation_1516!F592</f>
        <v>2.9183565741710046E-2</v>
      </c>
      <c r="D591" s="25">
        <v>2.4152885223117895E-3</v>
      </c>
    </row>
    <row r="592" spans="2:4">
      <c r="B592" s="26">
        <f>Estimation_1516!F593</f>
        <v>1.5833301624006875E-2</v>
      </c>
      <c r="D592" s="26">
        <v>2.4219853478986827E-3</v>
      </c>
    </row>
    <row r="593" spans="2:4">
      <c r="B593" s="25">
        <f>Estimation_1516!F594</f>
        <v>8.6435804278908512E-2</v>
      </c>
      <c r="D593" s="25">
        <v>2.4949633899968475E-3</v>
      </c>
    </row>
    <row r="594" spans="2:4">
      <c r="B594" s="26">
        <f>Estimation_1516!F595</f>
        <v>5.0537062707669382E-3</v>
      </c>
      <c r="D594" s="26">
        <v>2.6098318423709499E-3</v>
      </c>
    </row>
    <row r="595" spans="2:4">
      <c r="B595" s="25">
        <f>Estimation_1516!F596</f>
        <v>8.7829924703056225E-3</v>
      </c>
      <c r="D595" s="25">
        <v>2.6370914219894363E-3</v>
      </c>
    </row>
    <row r="596" spans="2:4">
      <c r="B596" s="26">
        <f>Estimation_1516!F597</f>
        <v>-7.2089326458573411E-3</v>
      </c>
      <c r="D596" s="26">
        <v>2.6622311896781548E-3</v>
      </c>
    </row>
    <row r="597" spans="2:4">
      <c r="B597" s="25">
        <f>Estimation_1516!F598</f>
        <v>4.5508120908411276E-3</v>
      </c>
      <c r="D597" s="25">
        <v>2.67419562130171E-3</v>
      </c>
    </row>
    <row r="598" spans="2:4">
      <c r="B598" s="26">
        <f>Estimation_1516!F599</f>
        <v>8.2638655368103362E-3</v>
      </c>
      <c r="D598" s="26">
        <v>2.7285146532039142E-3</v>
      </c>
    </row>
    <row r="599" spans="2:4">
      <c r="B599" s="25">
        <f>Estimation_1516!F600</f>
        <v>-2.6432418406068352E-3</v>
      </c>
      <c r="D599" s="25">
        <v>2.7772285257879423E-3</v>
      </c>
    </row>
    <row r="600" spans="2:4">
      <c r="B600" s="26">
        <f>Estimation_1516!F601</f>
        <v>9.6065194927518038E-3</v>
      </c>
      <c r="D600" s="26">
        <v>2.8530689824064807E-3</v>
      </c>
    </row>
    <row r="601" spans="2:4">
      <c r="B601" s="25">
        <f>Estimation_1516!F602</f>
        <v>1.3934839985471495E-2</v>
      </c>
      <c r="D601" s="25">
        <v>2.8867622723909247E-3</v>
      </c>
    </row>
    <row r="602" spans="2:4">
      <c r="B602" s="26">
        <f>Estimation_1516!F603</f>
        <v>-1.7178336535084403E-2</v>
      </c>
      <c r="D602" s="26">
        <v>2.9424767441930942E-3</v>
      </c>
    </row>
    <row r="603" spans="2:4">
      <c r="B603" s="25">
        <f>Estimation_1516!F604</f>
        <v>-2.9436848276435616E-3</v>
      </c>
      <c r="D603" s="25">
        <v>2.9665844983069252E-3</v>
      </c>
    </row>
    <row r="604" spans="2:4">
      <c r="B604" s="26">
        <f>Estimation_1516!F605</f>
        <v>1.2336316817606321E-2</v>
      </c>
      <c r="D604" s="26">
        <v>2.9684622910988918E-3</v>
      </c>
    </row>
    <row r="605" spans="2:4">
      <c r="B605" s="25">
        <f>Estimation_1516!F606</f>
        <v>-1.0631022241109424E-2</v>
      </c>
      <c r="D605" s="25">
        <v>2.9750858686338434E-3</v>
      </c>
    </row>
    <row r="606" spans="2:4">
      <c r="B606" s="26">
        <f>Estimation_1516!F607</f>
        <v>-8.0871358331794652E-3</v>
      </c>
      <c r="D606" s="26">
        <v>3.2055979657684623E-3</v>
      </c>
    </row>
    <row r="607" spans="2:4">
      <c r="B607" s="25">
        <f>Estimation_1516!F608</f>
        <v>2.4372639404441693E-2</v>
      </c>
      <c r="D607" s="25">
        <v>3.2279530544406902E-3</v>
      </c>
    </row>
    <row r="608" spans="2:4">
      <c r="B608" s="26">
        <f>Estimation_1516!F609</f>
        <v>-1.5250879881416536E-3</v>
      </c>
      <c r="D608" s="26">
        <v>3.2338702297286534E-3</v>
      </c>
    </row>
    <row r="609" spans="2:4">
      <c r="B609" s="25">
        <f>Estimation_1516!F610</f>
        <v>-3.2418503899008209E-2</v>
      </c>
      <c r="D609" s="25">
        <v>3.2749745860296644E-3</v>
      </c>
    </row>
    <row r="610" spans="2:4">
      <c r="B610" s="26">
        <f>Estimation_1516!F611</f>
        <v>-1.4130583616110646E-2</v>
      </c>
      <c r="D610" s="26">
        <v>3.3438634167064687E-3</v>
      </c>
    </row>
    <row r="611" spans="2:4">
      <c r="B611" s="25">
        <f>Estimation_1516!F612</f>
        <v>1.476100128868355E-2</v>
      </c>
      <c r="D611" s="25">
        <v>3.3628891368396828E-3</v>
      </c>
    </row>
    <row r="612" spans="2:4">
      <c r="B612" s="26">
        <f>Estimation_1516!F613</f>
        <v>-1.0453056852089481E-2</v>
      </c>
      <c r="D612" s="26">
        <v>3.3860077497309595E-3</v>
      </c>
    </row>
    <row r="613" spans="2:4">
      <c r="B613" s="25">
        <f>Estimation_1516!F614</f>
        <v>2.5620261842484261E-2</v>
      </c>
      <c r="D613" s="25">
        <v>3.3928459722033953E-3</v>
      </c>
    </row>
    <row r="614" spans="2:4">
      <c r="B614" s="26">
        <f>Estimation_1516!F615</f>
        <v>1.2491487894029272E-2</v>
      </c>
      <c r="D614" s="26">
        <v>3.4322171472087096E-3</v>
      </c>
    </row>
    <row r="615" spans="2:4">
      <c r="B615" s="25">
        <f>Estimation_1516!F616</f>
        <v>-7.6923456231557255E-3</v>
      </c>
      <c r="D615" s="25">
        <v>3.4475659879878535E-3</v>
      </c>
    </row>
    <row r="616" spans="2:4">
      <c r="B616" s="26">
        <f>Estimation_1516!F617</f>
        <v>-5.6223125716668571E-2</v>
      </c>
      <c r="D616" s="26">
        <v>3.5514311333738908E-3</v>
      </c>
    </row>
    <row r="617" spans="2:4">
      <c r="B617" s="25">
        <f>Estimation_1516!F618</f>
        <v>-4.0926634845877058E-3</v>
      </c>
      <c r="D617" s="25">
        <v>3.5524016043679218E-3</v>
      </c>
    </row>
    <row r="618" spans="2:4">
      <c r="B618" s="26">
        <f>Estimation_1516!F619</f>
        <v>-2.6428863095806734E-2</v>
      </c>
      <c r="D618" s="26">
        <v>3.6166404701882936E-3</v>
      </c>
    </row>
    <row r="619" spans="2:4">
      <c r="B619" s="25">
        <f>Estimation_1516!F620</f>
        <v>-9.6471933780029138E-3</v>
      </c>
      <c r="D619" s="25">
        <v>3.7294499914317255E-3</v>
      </c>
    </row>
    <row r="620" spans="2:4">
      <c r="B620" s="26">
        <f>Estimation_1516!F621</f>
        <v>1.2842352911227079E-2</v>
      </c>
      <c r="D620" s="26">
        <v>3.7296908522394213E-3</v>
      </c>
    </row>
    <row r="621" spans="2:4">
      <c r="B621" s="25">
        <f>Estimation_1516!F622</f>
        <v>1.1745953192061973E-3</v>
      </c>
      <c r="D621" s="25">
        <v>3.7697594302854671E-3</v>
      </c>
    </row>
    <row r="622" spans="2:4">
      <c r="B622" s="26">
        <f>Estimation_1516!F623</f>
        <v>-8.2512887106834156E-3</v>
      </c>
      <c r="D622" s="26">
        <v>3.7950709685515343E-3</v>
      </c>
    </row>
    <row r="623" spans="2:4">
      <c r="B623" s="25">
        <f>Estimation_1516!F624</f>
        <v>-1.2420406372113113E-2</v>
      </c>
      <c r="D623" s="25">
        <v>3.8714721216584072E-3</v>
      </c>
    </row>
    <row r="624" spans="2:4">
      <c r="B624" s="26">
        <f>Estimation_1516!F625</f>
        <v>5.2932762540419858E-3</v>
      </c>
      <c r="D624" s="26">
        <v>3.8759738446929397E-3</v>
      </c>
    </row>
    <row r="625" spans="2:4">
      <c r="B625" s="25">
        <f>Estimation_1516!F626</f>
        <v>1.5210703943665263E-2</v>
      </c>
      <c r="D625" s="25">
        <v>3.9132334071744681E-3</v>
      </c>
    </row>
    <row r="626" spans="2:4">
      <c r="B626" s="26">
        <f>Estimation_1516!F627</f>
        <v>1.6798731833713932E-2</v>
      </c>
      <c r="D626" s="26">
        <v>3.9356043643040397E-3</v>
      </c>
    </row>
    <row r="627" spans="2:4">
      <c r="B627" s="25">
        <f>Estimation_1516!F628</f>
        <v>-1.6798731833713953E-2</v>
      </c>
      <c r="D627" s="25">
        <v>4.0026737896576275E-3</v>
      </c>
    </row>
    <row r="628" spans="2:4">
      <c r="B628" s="26">
        <f>Estimation_1516!F629</f>
        <v>6.0200850709378239E-3</v>
      </c>
      <c r="D628" s="26">
        <v>4.0053458086750614E-3</v>
      </c>
    </row>
    <row r="629" spans="2:4">
      <c r="B629" s="25">
        <f>Estimation_1516!F630</f>
        <v>-3.1329291607603962E-2</v>
      </c>
      <c r="D629" s="25">
        <v>4.0513222191787242E-3</v>
      </c>
    </row>
    <row r="630" spans="2:4">
      <c r="B630" s="26">
        <f>Estimation_1516!F631</f>
        <v>1.3752795703850108E-3</v>
      </c>
      <c r="D630" s="26">
        <v>4.0610985451852355E-3</v>
      </c>
    </row>
    <row r="631" spans="2:4">
      <c r="B631" s="25">
        <f>Estimation_1516!F632</f>
        <v>1.3733907738143459E-3</v>
      </c>
      <c r="D631" s="25">
        <v>4.067300855741968E-3</v>
      </c>
    </row>
    <row r="632" spans="2:4">
      <c r="B632" s="26">
        <f>Estimation_1516!F633</f>
        <v>2.1385743743850695E-2</v>
      </c>
      <c r="D632" s="26">
        <v>4.158010148663677E-3</v>
      </c>
    </row>
    <row r="633" spans="2:4">
      <c r="B633" s="25">
        <f>Estimation_1516!F634</f>
        <v>-6.7397053769132778E-3</v>
      </c>
      <c r="D633" s="25">
        <v>4.1928782600361781E-3</v>
      </c>
    </row>
    <row r="634" spans="2:4">
      <c r="B634" s="26">
        <f>Estimation_1516!F635</f>
        <v>-8.318526875090871E-3</v>
      </c>
      <c r="D634" s="26">
        <v>4.2238711161850222E-3</v>
      </c>
    </row>
    <row r="635" spans="2:4">
      <c r="B635" s="25">
        <f>Estimation_1516!F636</f>
        <v>3.9132334071744681E-3</v>
      </c>
      <c r="D635" s="25">
        <v>4.2757160605790224E-3</v>
      </c>
    </row>
    <row r="636" spans="2:4">
      <c r="B636" s="26">
        <f>Estimation_1516!F637</f>
        <v>-1.3161458254397188E-2</v>
      </c>
      <c r="D636" s="26">
        <v>4.3136717636885497E-3</v>
      </c>
    </row>
    <row r="637" spans="2:4">
      <c r="B637" s="25">
        <f>Estimation_1516!F638</f>
        <v>1.4519001310330655E-2</v>
      </c>
      <c r="D637" s="25">
        <v>4.3321367391347372E-3</v>
      </c>
    </row>
    <row r="638" spans="2:4">
      <c r="B638" s="26">
        <f>Estimation_1516!F639</f>
        <v>8.1067831243780766E-3</v>
      </c>
      <c r="D638" s="26">
        <v>4.4291410988994539E-3</v>
      </c>
    </row>
    <row r="639" spans="2:4">
      <c r="B639" s="25">
        <f>Estimation_1516!F640</f>
        <v>2.2289678623840209E-2</v>
      </c>
      <c r="D639" s="25">
        <v>4.4411619999678359E-3</v>
      </c>
    </row>
    <row r="640" spans="2:4">
      <c r="B640" s="26">
        <f>Estimation_1516!F641</f>
        <v>-1.2747461748410042E-2</v>
      </c>
      <c r="D640" s="26">
        <v>4.5014705766490345E-3</v>
      </c>
    </row>
    <row r="641" spans="2:4">
      <c r="B641" s="25">
        <f>Estimation_1516!F642</f>
        <v>-2.1046319387662018E-2</v>
      </c>
      <c r="D641" s="25">
        <v>4.5115467812661047E-3</v>
      </c>
    </row>
    <row r="642" spans="2:4">
      <c r="B642" s="26">
        <f>Estimation_1516!F643</f>
        <v>3.6586390753831903E-2</v>
      </c>
      <c r="D642" s="26">
        <v>4.5134068155465064E-3</v>
      </c>
    </row>
    <row r="643" spans="2:4">
      <c r="B643" s="25">
        <f>Estimation_1516!F644</f>
        <v>-4.9334091179557768E-3</v>
      </c>
      <c r="D643" s="25">
        <v>4.5330993309847358E-3</v>
      </c>
    </row>
    <row r="644" spans="2:4">
      <c r="B644" s="26">
        <f>Estimation_1516!F645</f>
        <v>-6.4500347654822925E-3</v>
      </c>
      <c r="D644" s="26">
        <v>4.5390148851628025E-3</v>
      </c>
    </row>
    <row r="645" spans="2:4">
      <c r="B645" s="25">
        <f>Estimation_1516!F646</f>
        <v>1.7760703661967591E-2</v>
      </c>
      <c r="D645" s="25">
        <v>4.5508120908411276E-3</v>
      </c>
    </row>
    <row r="646" spans="2:4">
      <c r="B646" s="26">
        <f>Estimation_1516!F647</f>
        <v>-5.5573859931593479E-3</v>
      </c>
      <c r="D646" s="26">
        <v>4.596596940551206E-3</v>
      </c>
    </row>
    <row r="647" spans="2:4">
      <c r="B647" s="25">
        <f>Estimation_1516!F648</f>
        <v>1.3104014979145844E-3</v>
      </c>
      <c r="D647" s="25">
        <v>4.6104277147825598E-3</v>
      </c>
    </row>
    <row r="648" spans="2:4">
      <c r="B648" s="26">
        <f>Estimation_1516!F649</f>
        <v>-3.279229041192786E-3</v>
      </c>
      <c r="D648" s="26">
        <v>4.7596472529879133E-3</v>
      </c>
    </row>
    <row r="649" spans="2:4">
      <c r="B649" s="25">
        <f>Estimation_1516!F650</f>
        <v>1.9688275432782113E-3</v>
      </c>
      <c r="D649" s="25">
        <v>4.8226066599311593E-3</v>
      </c>
    </row>
    <row r="650" spans="2:4">
      <c r="B650" s="26">
        <f>Estimation_1516!F651</f>
        <v>1.6902726486855126E-2</v>
      </c>
      <c r="D650" s="26">
        <v>4.8362371686446592E-3</v>
      </c>
    </row>
    <row r="651" spans="2:4">
      <c r="B651" s="25">
        <f>Estimation_1516!F652</f>
        <v>-1.3139940861133308E-2</v>
      </c>
      <c r="D651" s="25">
        <v>4.8596207947779919E-3</v>
      </c>
    </row>
    <row r="652" spans="2:4">
      <c r="B652" s="26">
        <f>Estimation_1516!F653</f>
        <v>-6.22442632065785E-3</v>
      </c>
      <c r="D652" s="26">
        <v>4.872374854722963E-3</v>
      </c>
    </row>
    <row r="653" spans="2:4">
      <c r="B653" s="25">
        <f>Estimation_1516!F654</f>
        <v>-1.7570483512238971E-2</v>
      </c>
      <c r="D653" s="25">
        <v>4.917132597399885E-3</v>
      </c>
    </row>
    <row r="654" spans="2:4">
      <c r="B654" s="26">
        <f>Estimation_1516!F655</f>
        <v>5.1705560944846551E-3</v>
      </c>
      <c r="D654" s="26">
        <v>4.9859872691632922E-3</v>
      </c>
    </row>
    <row r="655" spans="2:4">
      <c r="B655" s="25">
        <f>Estimation_1516!F656</f>
        <v>-6.6566818900064219E-4</v>
      </c>
      <c r="D655" s="25">
        <v>5.0000104167058392E-3</v>
      </c>
    </row>
    <row r="656" spans="2:4">
      <c r="B656" s="26">
        <f>Estimation_1516!F657</f>
        <v>-1.4589006972109981E-2</v>
      </c>
      <c r="D656" s="26">
        <v>5.0537062707669382E-3</v>
      </c>
    </row>
    <row r="657" spans="2:4">
      <c r="B657" s="25">
        <f>Estimation_1516!F658</f>
        <v>1.6252347342300424E-2</v>
      </c>
      <c r="D657" s="25">
        <v>5.1705560944846551E-3</v>
      </c>
    </row>
    <row r="658" spans="2:4">
      <c r="B658" s="26">
        <f>Estimation_1516!F659</f>
        <v>2.0724425943575462E-2</v>
      </c>
      <c r="D658" s="26">
        <v>5.1948168771041511E-3</v>
      </c>
    </row>
    <row r="659" spans="2:4">
      <c r="B659" s="25">
        <f>Estimation_1516!F660</f>
        <v>5.3575905406848161E-3</v>
      </c>
      <c r="D659" s="25">
        <v>5.2113609546629814E-3</v>
      </c>
    </row>
    <row r="660" spans="2:4">
      <c r="B660" s="26">
        <f>Estimation_1516!F661</f>
        <v>4.8563335636756536E-4</v>
      </c>
      <c r="D660" s="26">
        <v>5.2932762540419858E-3</v>
      </c>
    </row>
    <row r="661" spans="2:4">
      <c r="B661" s="25">
        <f>Estimation_1516!F662</f>
        <v>3.3928459722033953E-3</v>
      </c>
      <c r="D661" s="25">
        <v>5.3069938811259841E-3</v>
      </c>
    </row>
    <row r="662" spans="2:4">
      <c r="B662" s="26">
        <f>Estimation_1516!F663</f>
        <v>-9.2360698692555906E-3</v>
      </c>
      <c r="D662" s="26">
        <v>5.3575905406848161E-3</v>
      </c>
    </row>
    <row r="663" spans="2:4">
      <c r="B663" s="25">
        <f>Estimation_1516!F664</f>
        <v>7.2987105290294235E-3</v>
      </c>
      <c r="D663" s="25">
        <v>5.4551788880382278E-3</v>
      </c>
    </row>
    <row r="664" spans="2:4">
      <c r="B664" s="26">
        <f>Estimation_1516!F665</f>
        <v>4.1928782600361781E-3</v>
      </c>
      <c r="D664" s="26">
        <v>5.4851011707553032E-3</v>
      </c>
    </row>
    <row r="665" spans="2:4">
      <c r="B665" s="25">
        <f>Estimation_1516!F666</f>
        <v>2.2751756983416027E-2</v>
      </c>
      <c r="D665" s="25">
        <v>5.5487195383505314E-3</v>
      </c>
    </row>
    <row r="666" spans="2:4">
      <c r="B666" s="26">
        <f>Estimation_1516!F667</f>
        <v>2.7003502966248264E-2</v>
      </c>
      <c r="D666" s="26">
        <v>5.6022555486697516E-3</v>
      </c>
    </row>
    <row r="667" spans="2:4">
      <c r="B667" s="25">
        <f>Estimation_1516!F668</f>
        <v>1.2779726646399021E-2</v>
      </c>
      <c r="D667" s="25">
        <v>5.6235424436492949E-3</v>
      </c>
    </row>
    <row r="668" spans="2:4">
      <c r="B668" s="26">
        <f>Estimation_1516!F669</f>
        <v>9.778189981635264E-3</v>
      </c>
      <c r="D668" s="26">
        <v>5.6338177182560642E-3</v>
      </c>
    </row>
    <row r="669" spans="2:4">
      <c r="B669" s="25">
        <f>Estimation_1516!F670</f>
        <v>-1.8737326666971039E-2</v>
      </c>
      <c r="D669" s="25">
        <v>5.6727927983742481E-3</v>
      </c>
    </row>
    <row r="670" spans="2:4">
      <c r="B670" s="26">
        <f>Estimation_1516!F671</f>
        <v>-4.8929761228158376E-3</v>
      </c>
      <c r="D670" s="26">
        <v>5.7079197035940481E-3</v>
      </c>
    </row>
    <row r="671" spans="2:4">
      <c r="B671" s="25">
        <f>Estimation_1516!F672</f>
        <v>-1.2648633849760289E-2</v>
      </c>
      <c r="D671" s="25">
        <v>5.716261135067219E-3</v>
      </c>
    </row>
    <row r="672" spans="2:4">
      <c r="B672" s="26">
        <f>Estimation_1516!F673</f>
        <v>6.9611233219113505E-3</v>
      </c>
      <c r="D672" s="26">
        <v>5.8492213275816518E-3</v>
      </c>
    </row>
    <row r="673" spans="2:4">
      <c r="B673" s="25">
        <f>Estimation_1516!F674</f>
        <v>-1.5427340301383239E-3</v>
      </c>
      <c r="D673" s="25">
        <v>5.9815295253496173E-3</v>
      </c>
    </row>
    <row r="674" spans="2:4">
      <c r="B674" s="26">
        <f>Estimation_1516!F675</f>
        <v>4.3136717636885497E-3</v>
      </c>
      <c r="D674" s="26">
        <v>5.9880418446226933E-3</v>
      </c>
    </row>
    <row r="675" spans="2:4">
      <c r="B675" s="25">
        <f>Estimation_1516!F676</f>
        <v>-1.5960670416797291E-2</v>
      </c>
      <c r="D675" s="25">
        <v>6.0082110643770916E-3</v>
      </c>
    </row>
    <row r="676" spans="2:4">
      <c r="B676" s="26">
        <f>Estimation_1516!F677</f>
        <v>-3.1245118204510094E-4</v>
      </c>
      <c r="D676" s="26">
        <v>6.0200850709378239E-3</v>
      </c>
    </row>
    <row r="677" spans="2:4">
      <c r="B677" s="25">
        <f>Estimation_1516!F678</f>
        <v>-1.2262376572200206E-2</v>
      </c>
      <c r="D677" s="25">
        <v>6.0868360281233292E-3</v>
      </c>
    </row>
    <row r="678" spans="2:4">
      <c r="B678" s="26">
        <f>Estimation_1516!F679</f>
        <v>9.2892110927837862E-3</v>
      </c>
      <c r="D678" s="26">
        <v>6.0906827108348979E-3</v>
      </c>
    </row>
    <row r="679" spans="2:4">
      <c r="B679" s="25">
        <f>Estimation_1516!F680</f>
        <v>-1.404583969017853E-2</v>
      </c>
      <c r="D679" s="25">
        <v>6.1610874074239479E-3</v>
      </c>
    </row>
    <row r="680" spans="2:4">
      <c r="B680" s="26">
        <f>Estimation_1516!F681</f>
        <v>6.3552591907076151E-4</v>
      </c>
      <c r="D680" s="26">
        <v>6.1665149156639584E-3</v>
      </c>
    </row>
    <row r="681" spans="2:4">
      <c r="B681" s="25">
        <f>Estimation_1516!F682</f>
        <v>-1.271455988196721E-3</v>
      </c>
      <c r="D681" s="25">
        <v>6.2104857464621022E-3</v>
      </c>
    </row>
    <row r="682" spans="2:4">
      <c r="B682" s="26">
        <f>Estimation_1516!F683</f>
        <v>-1.0069612776134175E-2</v>
      </c>
      <c r="D682" s="26">
        <v>6.2296030682608408E-3</v>
      </c>
    </row>
    <row r="683" spans="2:4">
      <c r="B683" s="25">
        <f>Estimation_1516!F684</f>
        <v>-1.8810348683141378E-2</v>
      </c>
      <c r="D683" s="25">
        <v>6.2837959689926639E-3</v>
      </c>
    </row>
    <row r="684" spans="2:4">
      <c r="B684" s="26">
        <f>Estimation_1516!F685</f>
        <v>7.1766740907233577E-3</v>
      </c>
      <c r="D684" s="26">
        <v>6.3069585376836212E-3</v>
      </c>
    </row>
    <row r="685" spans="2:4">
      <c r="B685" s="25">
        <f>Estimation_1516!F686</f>
        <v>2.4878901342438767E-2</v>
      </c>
      <c r="D685" s="25">
        <v>6.3262750528773806E-3</v>
      </c>
    </row>
    <row r="686" spans="2:4">
      <c r="B686" s="26">
        <f>Estimation_1516!F687</f>
        <v>-1.4277784609998516E-3</v>
      </c>
      <c r="D686" s="26">
        <v>6.4002599963025432E-3</v>
      </c>
    </row>
    <row r="687" spans="2:4">
      <c r="B687" s="25">
        <f>Estimation_1516!F688</f>
        <v>-9.8915930958064762E-3</v>
      </c>
      <c r="D687" s="25">
        <v>6.4091971799019537E-3</v>
      </c>
    </row>
    <row r="688" spans="2:4">
      <c r="B688" s="26">
        <f>Estimation_1516!F689</f>
        <v>-8.5339862588647494E-3</v>
      </c>
      <c r="D688" s="26">
        <v>6.446742084683774E-3</v>
      </c>
    </row>
    <row r="689" spans="2:4">
      <c r="B689" s="25">
        <f>Estimation_1516!F690</f>
        <v>2.1279100631442453E-2</v>
      </c>
      <c r="D689" s="25">
        <v>6.4905188446637051E-3</v>
      </c>
    </row>
    <row r="690" spans="2:4">
      <c r="B690" s="26">
        <f>Estimation_1516!F691</f>
        <v>-1.0662948168253264E-2</v>
      </c>
      <c r="D690" s="26">
        <v>6.5040879691764825E-3</v>
      </c>
    </row>
    <row r="691" spans="2:4">
      <c r="B691" s="25">
        <f>Estimation_1516!F692</f>
        <v>2.6057534319289598E-2</v>
      </c>
      <c r="D691" s="25">
        <v>6.5555315287669797E-3</v>
      </c>
    </row>
    <row r="692" spans="2:4">
      <c r="B692" s="26">
        <f>Estimation_1516!F693</f>
        <v>9.9271794002204691E-3</v>
      </c>
      <c r="D692" s="26">
        <v>6.6575534720564444E-3</v>
      </c>
    </row>
    <row r="693" spans="2:4">
      <c r="B693" s="25">
        <f>Estimation_1516!F694</f>
        <v>1.8351944933464426E-2</v>
      </c>
      <c r="D693" s="25">
        <v>6.7685248799824061E-3</v>
      </c>
    </row>
    <row r="694" spans="2:4">
      <c r="B694" s="26">
        <f>Estimation_1516!F695</f>
        <v>-1.5885472278721745E-2</v>
      </c>
      <c r="D694" s="26">
        <v>6.788892333686348E-3</v>
      </c>
    </row>
    <row r="695" spans="2:4">
      <c r="B695" s="25">
        <f>Estimation_1516!F696</f>
        <v>1.0719857632196645E-2</v>
      </c>
      <c r="D695" s="25">
        <v>6.8085369396535256E-3</v>
      </c>
    </row>
    <row r="696" spans="2:4">
      <c r="B696" s="26">
        <f>Estimation_1516!F697</f>
        <v>-1.5813640352453064E-2</v>
      </c>
      <c r="D696" s="26">
        <v>6.8914130413317157E-3</v>
      </c>
    </row>
    <row r="697" spans="2:4">
      <c r="B697" s="25">
        <f>Estimation_1516!F698</f>
        <v>-5.1198622427568157E-3</v>
      </c>
      <c r="D697" s="25">
        <v>6.9364439966569484E-3</v>
      </c>
    </row>
    <row r="698" spans="2:4">
      <c r="B698" s="26">
        <f>Estimation_1516!F699</f>
        <v>1.554243396496866E-3</v>
      </c>
      <c r="D698" s="26">
        <v>6.9611233219113505E-3</v>
      </c>
    </row>
    <row r="699" spans="2:4">
      <c r="B699" s="25">
        <f>Estimation_1516!F700</f>
        <v>-4.6699960339566717E-3</v>
      </c>
      <c r="D699" s="25">
        <v>7.0340266573799817E-3</v>
      </c>
    </row>
    <row r="700" spans="2:4">
      <c r="B700" s="26">
        <f>Estimation_1516!F701</f>
        <v>2.9820838690344426E-2</v>
      </c>
      <c r="D700" s="26">
        <v>7.0362263555080436E-3</v>
      </c>
    </row>
    <row r="701" spans="2:4">
      <c r="B701" s="25">
        <f>Estimation_1516!F702</f>
        <v>4.5330993309847358E-3</v>
      </c>
      <c r="D701" s="25">
        <v>7.0567772996556971E-3</v>
      </c>
    </row>
    <row r="702" spans="2:4">
      <c r="B702" s="26">
        <f>Estimation_1516!F703</f>
        <v>-1.1676529661835629E-2</v>
      </c>
      <c r="D702" s="26">
        <v>7.1766740907233577E-3</v>
      </c>
    </row>
    <row r="703" spans="2:4">
      <c r="B703" s="25">
        <f>Estimation_1516!F704</f>
        <v>-7.041204661105362E-3</v>
      </c>
      <c r="D703" s="25">
        <v>7.2297390163153759E-3</v>
      </c>
    </row>
    <row r="704" spans="2:4">
      <c r="B704" s="26">
        <f>Estimation_1516!F705</f>
        <v>2.8320208707435277E-2</v>
      </c>
      <c r="D704" s="26">
        <v>7.2322147385169991E-3</v>
      </c>
    </row>
    <row r="705" spans="2:4">
      <c r="B705" s="25">
        <f>Estimation_1516!F706</f>
        <v>6.4002599963025432E-3</v>
      </c>
      <c r="D705" s="25">
        <v>7.2474588863206827E-3</v>
      </c>
    </row>
    <row r="706" spans="2:4">
      <c r="B706" s="26">
        <f>Estimation_1516!F707</f>
        <v>4.4411619999678359E-3</v>
      </c>
      <c r="D706" s="26">
        <v>7.2987105290294235E-3</v>
      </c>
    </row>
    <row r="707" spans="2:4">
      <c r="B707" s="25">
        <f>Estimation_1516!F708</f>
        <v>-4.1444701123146202E-3</v>
      </c>
      <c r="D707" s="25">
        <v>7.3200814865058512E-3</v>
      </c>
    </row>
    <row r="708" spans="2:4">
      <c r="B708" s="26">
        <f>Estimation_1516!F709</f>
        <v>3.1104208563537194E-2</v>
      </c>
      <c r="D708" s="26">
        <v>7.4349784875179905E-3</v>
      </c>
    </row>
    <row r="709" spans="2:4">
      <c r="B709" s="25">
        <f>Estimation_1516!F710</f>
        <v>-6.4911875958277472E-3</v>
      </c>
      <c r="D709" s="25">
        <v>7.4552577327251799E-3</v>
      </c>
    </row>
    <row r="710" spans="2:4">
      <c r="B710" s="26">
        <f>Estimation_1516!F711</f>
        <v>1.3797286995716657E-2</v>
      </c>
      <c r="D710" s="26">
        <v>7.5005866754434183E-3</v>
      </c>
    </row>
    <row r="711" spans="2:4">
      <c r="B711" s="25">
        <f>Estimation_1516!F712</f>
        <v>-8.5677571998178962E-4</v>
      </c>
      <c r="D711" s="25">
        <v>7.5545625525403849E-3</v>
      </c>
    </row>
    <row r="712" spans="2:4">
      <c r="B712" s="26">
        <f>Estimation_1516!F713</f>
        <v>-7.168489478612516E-3</v>
      </c>
      <c r="D712" s="26">
        <v>7.6816020179506965E-3</v>
      </c>
    </row>
    <row r="713" spans="2:4">
      <c r="B713" s="25">
        <f>Estimation_1516!F714</f>
        <v>-1.3617478281222112E-2</v>
      </c>
      <c r="D713" s="25">
        <v>7.6855240848304161E-3</v>
      </c>
    </row>
    <row r="714" spans="2:4">
      <c r="B714" s="26">
        <f>Estimation_1516!F715</f>
        <v>-8.9371336923715801E-3</v>
      </c>
      <c r="D714" s="26">
        <v>7.7066172775095707E-3</v>
      </c>
    </row>
    <row r="715" spans="2:4">
      <c r="B715" s="25">
        <f>Estimation_1516!F716</f>
        <v>-7.5338269035526949E-3</v>
      </c>
      <c r="D715" s="25">
        <v>7.715037132953708E-3</v>
      </c>
    </row>
    <row r="716" spans="2:4">
      <c r="B716" s="26">
        <f>Estimation_1516!F717</f>
        <v>-2.7510190336813779E-2</v>
      </c>
      <c r="D716" s="26">
        <v>7.7410661016004776E-3</v>
      </c>
    </row>
    <row r="717" spans="2:4">
      <c r="B717" s="25">
        <f>Estimation_1516!F718</f>
        <v>5.6235424436492949E-3</v>
      </c>
      <c r="D717" s="25">
        <v>7.8165223804328096E-3</v>
      </c>
    </row>
    <row r="718" spans="2:4">
      <c r="B718" s="26">
        <f>Estimation_1516!F719</f>
        <v>2.2708358861356671E-3</v>
      </c>
      <c r="D718" s="26">
        <v>7.8335773903693163E-3</v>
      </c>
    </row>
    <row r="719" spans="2:4">
      <c r="B719" s="25">
        <f>Estimation_1516!F720</f>
        <v>7.2322147385169991E-3</v>
      </c>
      <c r="D719" s="25">
        <v>7.8940853761856663E-3</v>
      </c>
    </row>
    <row r="720" spans="2:4">
      <c r="B720" s="26">
        <f>Estimation_1516!F721</f>
        <v>-5.7211839281998958E-3</v>
      </c>
      <c r="D720" s="26">
        <v>7.9187881524137096E-3</v>
      </c>
    </row>
    <row r="721" spans="2:4">
      <c r="B721" s="25">
        <f>Estimation_1516!F722</f>
        <v>3.1800599428814476E-2</v>
      </c>
      <c r="D721" s="25">
        <v>7.9425125055852981E-3</v>
      </c>
    </row>
    <row r="722" spans="2:4">
      <c r="B722" s="26">
        <f>Estimation_1516!F723</f>
        <v>-4.6914028282275064E-3</v>
      </c>
      <c r="D722" s="26">
        <v>8.1067831243780766E-3</v>
      </c>
    </row>
    <row r="723" spans="2:4">
      <c r="B723" s="25">
        <f>Estimation_1516!F724</f>
        <v>1.8490735749930376E-2</v>
      </c>
      <c r="D723" s="25">
        <v>8.1354174699969327E-3</v>
      </c>
    </row>
    <row r="724" spans="2:4">
      <c r="B724" s="26">
        <f>Estimation_1516!F725</f>
        <v>-1.2045715637591542E-2</v>
      </c>
      <c r="D724" s="26">
        <v>8.2638655368103362E-3</v>
      </c>
    </row>
    <row r="725" spans="2:4">
      <c r="B725" s="25">
        <f>Estimation_1516!F726</f>
        <v>-6.1511617499537393E-3</v>
      </c>
      <c r="D725" s="25">
        <v>8.3385562550292638E-3</v>
      </c>
    </row>
    <row r="726" spans="2:4">
      <c r="B726" s="26">
        <f>Estimation_1516!F727</f>
        <v>4.8362371686446592E-3</v>
      </c>
      <c r="D726" s="26">
        <v>8.574091461243525E-3</v>
      </c>
    </row>
    <row r="727" spans="2:4">
      <c r="B727" s="25">
        <f>Estimation_1516!F728</f>
        <v>-3.9551798429280543E-3</v>
      </c>
      <c r="D727" s="25">
        <v>8.6004136722094612E-3</v>
      </c>
    </row>
    <row r="728" spans="2:4">
      <c r="B728" s="26">
        <f>Estimation_1516!F729</f>
        <v>-1.1960275462971504E-2</v>
      </c>
      <c r="D728" s="26">
        <v>8.6119047727788774E-3</v>
      </c>
    </row>
    <row r="729" spans="2:4">
      <c r="B729" s="25">
        <f>Estimation_1516!F730</f>
        <v>4.0026737896576275E-3</v>
      </c>
      <c r="D729" s="25">
        <v>8.6388294875330025E-3</v>
      </c>
    </row>
    <row r="730" spans="2:4">
      <c r="B730" s="26">
        <f>Estimation_1516!F731</f>
        <v>-8.8809952551221788E-4</v>
      </c>
      <c r="D730" s="26">
        <v>8.6851336282288659E-3</v>
      </c>
    </row>
    <row r="731" spans="2:4">
      <c r="B731" s="25">
        <f>Estimation_1516!F732</f>
        <v>-4.4523671058052609E-3</v>
      </c>
      <c r="D731" s="25">
        <v>8.7310950509745071E-3</v>
      </c>
    </row>
    <row r="732" spans="2:4">
      <c r="B732" s="26">
        <f>Estimation_1516!F733</f>
        <v>-1.3778861100169026E-2</v>
      </c>
      <c r="D732" s="26">
        <v>8.7829924703056225E-3</v>
      </c>
    </row>
    <row r="733" spans="2:4">
      <c r="B733" s="25">
        <f>Estimation_1516!F734</f>
        <v>-3.1719685231356761E-3</v>
      </c>
      <c r="D733" s="25">
        <v>8.8836829432327978E-3</v>
      </c>
    </row>
    <row r="734" spans="2:4">
      <c r="B734" s="26">
        <f>Estimation_1516!F735</f>
        <v>2.317860775915645E-2</v>
      </c>
      <c r="D734" s="26">
        <v>8.9233191742409713E-3</v>
      </c>
    </row>
    <row r="735" spans="2:4">
      <c r="B735" s="25">
        <f>Estimation_1516!F736</f>
        <v>-2.2422464055832283E-2</v>
      </c>
      <c r="D735" s="25">
        <v>8.9461477138661084E-3</v>
      </c>
    </row>
    <row r="736" spans="2:4">
      <c r="B736" s="26">
        <f>Estimation_1516!F737</f>
        <v>4.2238711161850222E-3</v>
      </c>
      <c r="D736" s="26">
        <v>8.9490141562814825E-3</v>
      </c>
    </row>
    <row r="737" spans="2:4">
      <c r="B737" s="25">
        <f>Estimation_1516!F738</f>
        <v>-1.9763489118839635E-2</v>
      </c>
      <c r="D737" s="25">
        <v>9.2182581635599191E-3</v>
      </c>
    </row>
    <row r="738" spans="2:4">
      <c r="B738" s="26">
        <f>Estimation_1516!F739</f>
        <v>-1.1582246687648103E-2</v>
      </c>
      <c r="D738" s="26">
        <v>9.2690153822248336E-3</v>
      </c>
    </row>
    <row r="739" spans="2:4">
      <c r="B739" s="25">
        <f>Estimation_1516!F740</f>
        <v>2.6370914219894363E-3</v>
      </c>
      <c r="D739" s="25">
        <v>9.2838863100076583E-3</v>
      </c>
    </row>
    <row r="740" spans="2:4">
      <c r="B740" s="26">
        <f>Estimation_1516!F741</f>
        <v>1.338790481758634E-2</v>
      </c>
      <c r="D740" s="26">
        <v>9.2892110927837862E-3</v>
      </c>
    </row>
    <row r="741" spans="2:4">
      <c r="B741" s="25">
        <f>Estimation_1516!F742</f>
        <v>-1.3766732575787987E-3</v>
      </c>
      <c r="D741" s="25">
        <v>9.3240768751232436E-3</v>
      </c>
    </row>
    <row r="742" spans="2:4">
      <c r="B742" s="26">
        <f>Estimation_1516!F743</f>
        <v>-9.2265762952402058E-3</v>
      </c>
      <c r="D742" s="26">
        <v>9.4312517523355028E-3</v>
      </c>
    </row>
    <row r="743" spans="2:4">
      <c r="B743" s="25">
        <f>Estimation_1516!F744</f>
        <v>1.1214496515615681E-2</v>
      </c>
      <c r="D743" s="25">
        <v>9.4395981167199466E-3</v>
      </c>
    </row>
    <row r="744" spans="2:4">
      <c r="B744" s="26">
        <f>Estimation_1516!F745</f>
        <v>-6.7443541972751972E-3</v>
      </c>
      <c r="D744" s="26">
        <v>9.5024470963962545E-3</v>
      </c>
    </row>
    <row r="745" spans="2:4">
      <c r="B745" s="25">
        <f>Estimation_1516!F746</f>
        <v>1.8438849723282193E-3</v>
      </c>
      <c r="D745" s="25">
        <v>9.5196316114822405E-3</v>
      </c>
    </row>
    <row r="746" spans="2:4">
      <c r="B746" s="26">
        <f>Estimation_1516!F747</f>
        <v>1.2054773277120895E-2</v>
      </c>
      <c r="D746" s="26">
        <v>9.6065194927518038E-3</v>
      </c>
    </row>
    <row r="747" spans="2:4">
      <c r="B747" s="25">
        <f>Estimation_1516!F748</f>
        <v>-9.9078624693567825E-3</v>
      </c>
      <c r="D747" s="25">
        <v>9.6619109117368901E-3</v>
      </c>
    </row>
    <row r="748" spans="2:4">
      <c r="B748" s="26">
        <f>Estimation_1516!F749</f>
        <v>-4.6061804148972534E-3</v>
      </c>
      <c r="D748" s="26">
        <v>9.778189981635264E-3</v>
      </c>
    </row>
    <row r="749" spans="2:4">
      <c r="B749" s="25">
        <f>Estimation_1516!F750</f>
        <v>2.8521350750998254E-2</v>
      </c>
      <c r="D749" s="25">
        <v>9.7834463090710286E-3</v>
      </c>
    </row>
    <row r="750" spans="2:4">
      <c r="B750" s="26">
        <f>Estimation_1516!F751</f>
        <v>1.8376332163514024E-2</v>
      </c>
      <c r="D750" s="26">
        <v>9.8940736451985367E-3</v>
      </c>
    </row>
    <row r="751" spans="2:4">
      <c r="B751" s="25">
        <f>Estimation_1516!F752</f>
        <v>-2.3173942565135948E-2</v>
      </c>
      <c r="D751" s="25">
        <v>9.9234012337268782E-3</v>
      </c>
    </row>
    <row r="752" spans="2:4">
      <c r="B752" s="26">
        <f>Estimation_1516!F753</f>
        <v>2.4494655942230829E-2</v>
      </c>
      <c r="D752" s="26">
        <v>9.9271794002204691E-3</v>
      </c>
    </row>
    <row r="753" spans="2:4">
      <c r="B753" s="25">
        <f>Estimation_1516!F754</f>
        <v>-1.5071207253788467E-2</v>
      </c>
      <c r="D753" s="25">
        <v>9.9382219456537902E-3</v>
      </c>
    </row>
    <row r="754" spans="2:4">
      <c r="B754" s="26">
        <f>Estimation_1516!F755</f>
        <v>-1.4244187159672902E-2</v>
      </c>
      <c r="D754" s="26">
        <v>1.0172409891556952E-2</v>
      </c>
    </row>
    <row r="755" spans="2:4">
      <c r="B755" s="25">
        <f>Estimation_1516!F756</f>
        <v>2.1512631233462164E-2</v>
      </c>
      <c r="D755" s="25">
        <v>1.0212476828740437E-2</v>
      </c>
    </row>
    <row r="756" spans="2:4">
      <c r="B756" s="26">
        <f>Estimation_1516!F757</f>
        <v>-5.6321476878698797E-3</v>
      </c>
      <c r="D756" s="26">
        <v>1.0440064996683422E-2</v>
      </c>
    </row>
    <row r="757" spans="2:4">
      <c r="B757" s="25">
        <f>Estimation_1516!F758</f>
        <v>8.7310950509745071E-3</v>
      </c>
      <c r="D757" s="25">
        <v>1.0545839893253276E-2</v>
      </c>
    </row>
    <row r="758" spans="2:4">
      <c r="B758" s="26">
        <f>Estimation_1516!F759</f>
        <v>2.9424767441930942E-3</v>
      </c>
      <c r="D758" s="26">
        <v>1.0575526247086388E-2</v>
      </c>
    </row>
    <row r="759" spans="2:4">
      <c r="B759" s="25">
        <f>Estimation_1516!F760</f>
        <v>-3.2853484807258623E-2</v>
      </c>
      <c r="D759" s="25">
        <v>1.0577445466852266E-2</v>
      </c>
    </row>
    <row r="760" spans="2:4">
      <c r="B760" s="26">
        <f>Estimation_1516!F761</f>
        <v>-3.0367446331144496E-4</v>
      </c>
      <c r="D760" s="26">
        <v>1.0719857632196645E-2</v>
      </c>
    </row>
    <row r="761" spans="2:4">
      <c r="B761" s="25">
        <f>Estimation_1516!F762</f>
        <v>7.715037132953708E-3</v>
      </c>
      <c r="D761" s="25">
        <v>1.0733555643108851E-2</v>
      </c>
    </row>
    <row r="762" spans="2:4">
      <c r="B762" s="26">
        <f>Estimation_1516!F763</f>
        <v>1.7773599083964069E-2</v>
      </c>
      <c r="D762" s="26">
        <v>1.0869672236903891E-2</v>
      </c>
    </row>
    <row r="763" spans="2:4">
      <c r="B763" s="25">
        <f>Estimation_1516!F764</f>
        <v>-1.2363306355716528E-2</v>
      </c>
      <c r="D763" s="25">
        <v>1.0874516646576285E-2</v>
      </c>
    </row>
    <row r="764" spans="2:4">
      <c r="B764" s="26">
        <f>Estimation_1516!F765</f>
        <v>-7.3712255536031437E-3</v>
      </c>
      <c r="D764" s="26">
        <v>1.1017797740446846E-2</v>
      </c>
    </row>
    <row r="765" spans="2:4">
      <c r="B765" s="25">
        <f>Estimation_1516!F766</f>
        <v>1.7659842368459442E-2</v>
      </c>
      <c r="D765" s="25">
        <v>1.1068652809190064E-2</v>
      </c>
    </row>
    <row r="766" spans="2:4">
      <c r="B766" s="26">
        <f>Estimation_1516!F767</f>
        <v>-8.9406049279614659E-3</v>
      </c>
      <c r="D766" s="26">
        <v>1.1116840106339393E-2</v>
      </c>
    </row>
    <row r="767" spans="2:4">
      <c r="B767" s="25">
        <f>Estimation_1516!F768</f>
        <v>-4.951619390193303E-3</v>
      </c>
      <c r="D767" s="25">
        <v>1.1142176553241803E-2</v>
      </c>
    </row>
    <row r="768" spans="2:4">
      <c r="B768" s="26">
        <f>Estimation_1516!F769</f>
        <v>-1.9573897689761891E-3</v>
      </c>
      <c r="D768" s="26">
        <v>1.1199063028039044E-2</v>
      </c>
    </row>
    <row r="769" spans="2:4">
      <c r="B769" s="25">
        <f>Estimation_1516!F770</f>
        <v>-5.8952630868182856E-3</v>
      </c>
      <c r="D769" s="25">
        <v>1.1214496515615681E-2</v>
      </c>
    </row>
    <row r="770" spans="2:4">
      <c r="B770" s="26">
        <f>Estimation_1516!F771</f>
        <v>1.2055601102236132E-2</v>
      </c>
      <c r="D770" s="26">
        <v>1.1326704241762709E-2</v>
      </c>
    </row>
    <row r="771" spans="2:4">
      <c r="B771" s="25">
        <f>Estimation_1516!F772</f>
        <v>-5.9934074314309607E-4</v>
      </c>
      <c r="D771" s="25">
        <v>1.1343616852054718E-2</v>
      </c>
    </row>
    <row r="772" spans="2:4">
      <c r="B772" s="26">
        <f>Estimation_1516!F773</f>
        <v>3.4760495227986535E-2</v>
      </c>
      <c r="D772" s="26">
        <v>1.1346873059403403E-2</v>
      </c>
    </row>
    <row r="773" spans="2:4">
      <c r="B773" s="25">
        <f>Estimation_1516!F774</f>
        <v>-2.8993931590026124E-3</v>
      </c>
      <c r="D773" s="25">
        <v>1.1374793193954125E-2</v>
      </c>
    </row>
    <row r="774" spans="2:4">
      <c r="B774" s="26">
        <f>Estimation_1516!F775</f>
        <v>1.7406444777841182E-3</v>
      </c>
      <c r="D774" s="26">
        <v>1.151257498833424E-2</v>
      </c>
    </row>
    <row r="775" spans="2:4">
      <c r="B775" s="25">
        <f>Estimation_1516!F776</f>
        <v>1.3531227037970425E-2</v>
      </c>
      <c r="D775" s="25">
        <v>1.1515179058149612E-2</v>
      </c>
    </row>
    <row r="776" spans="2:4">
      <c r="B776" s="26">
        <f>Estimation_1516!F777</f>
        <v>6.5555315287669797E-3</v>
      </c>
      <c r="D776" s="26">
        <v>1.1623900300931965E-2</v>
      </c>
    </row>
    <row r="777" spans="2:4">
      <c r="B777" s="25">
        <f>Estimation_1516!F778</f>
        <v>9.8940736451985367E-3</v>
      </c>
      <c r="D777" s="25">
        <v>1.163649494080864E-2</v>
      </c>
    </row>
    <row r="778" spans="2:4">
      <c r="B778" s="26">
        <f>Estimation_1516!F779</f>
        <v>5.6242971111392559E-4</v>
      </c>
      <c r="D778" s="26">
        <v>1.1763067320361783E-2</v>
      </c>
    </row>
    <row r="779" spans="2:4">
      <c r="B779" s="25">
        <f>Estimation_1516!F780</f>
        <v>1.1239113293226085E-3</v>
      </c>
      <c r="D779" s="25">
        <v>1.1883942677140116E-2</v>
      </c>
    </row>
    <row r="780" spans="2:4">
      <c r="B780" s="26">
        <f>Estimation_1516!F781</f>
        <v>-2.8085943170155043E-4</v>
      </c>
      <c r="D780" s="26">
        <v>1.1897246439794777E-2</v>
      </c>
    </row>
    <row r="781" spans="2:4">
      <c r="B781" s="25">
        <f>Estimation_1516!F782</f>
        <v>9.7834463090710286E-3</v>
      </c>
      <c r="D781" s="25">
        <v>1.2016165942486398E-2</v>
      </c>
    </row>
    <row r="782" spans="2:4">
      <c r="B782" s="26">
        <f>Estimation_1516!F783</f>
        <v>1.3537988224701921E-2</v>
      </c>
      <c r="D782" s="26">
        <v>1.2054773277120895E-2</v>
      </c>
    </row>
    <row r="783" spans="2:4">
      <c r="B783" s="25">
        <f>Estimation_1516!F784</f>
        <v>-7.4370264277509833E-3</v>
      </c>
      <c r="D783" s="25">
        <v>1.2055601102236132E-2</v>
      </c>
    </row>
    <row r="784" spans="2:4">
      <c r="B784" s="26">
        <f>Estimation_1516!F785</f>
        <v>2.1335601430204094E-2</v>
      </c>
      <c r="D784" s="26">
        <v>1.2105497084900302E-2</v>
      </c>
    </row>
    <row r="785" spans="2:4">
      <c r="B785" s="25">
        <f>Estimation_1516!F786</f>
        <v>4.8596207947779919E-3</v>
      </c>
      <c r="D785" s="25">
        <v>1.2178336604999345E-2</v>
      </c>
    </row>
    <row r="786" spans="2:4">
      <c r="B786" s="26">
        <f>Estimation_1516!F787</f>
        <v>-1.0287042530143148E-2</v>
      </c>
      <c r="D786" s="26">
        <v>1.2195273093818425E-2</v>
      </c>
    </row>
    <row r="787" spans="2:4">
      <c r="B787" s="25">
        <f>Estimation_1516!F788</f>
        <v>7.3200814865058512E-3</v>
      </c>
      <c r="D787" s="25">
        <v>1.2336316817606321E-2</v>
      </c>
    </row>
    <row r="788" spans="2:4">
      <c r="B788" s="26">
        <f>Estimation_1516!F789</f>
        <v>-2.4340782808796408E-3</v>
      </c>
      <c r="D788" s="26">
        <v>1.2379145544920556E-2</v>
      </c>
    </row>
    <row r="789" spans="2:4">
      <c r="B789" s="25">
        <f>Estimation_1516!F790</f>
        <v>-2.9830530595400776E-3</v>
      </c>
      <c r="D789" s="25">
        <v>1.2412408826217114E-2</v>
      </c>
    </row>
    <row r="790" spans="2:4">
      <c r="B790" s="26">
        <f>Estimation_1516!F791</f>
        <v>-7.633624855071095E-3</v>
      </c>
      <c r="D790" s="26">
        <v>1.2491487894029272E-2</v>
      </c>
    </row>
    <row r="791" spans="2:4">
      <c r="B791" s="25">
        <f>Estimation_1516!F792</f>
        <v>3.5514311333738908E-3</v>
      </c>
      <c r="D791" s="25">
        <v>1.250656998542595E-2</v>
      </c>
    </row>
    <row r="792" spans="2:4">
      <c r="B792" s="26">
        <f>Estimation_1516!F793</f>
        <v>5.9815295253496173E-3</v>
      </c>
      <c r="D792" s="26">
        <v>1.2514384025728516E-2</v>
      </c>
    </row>
    <row r="793" spans="2:4">
      <c r="B793" s="25">
        <f>Estimation_1516!F794</f>
        <v>-1.2273439216826651E-2</v>
      </c>
      <c r="D793" s="25">
        <v>1.2548715609344271E-2</v>
      </c>
    </row>
    <row r="794" spans="2:4">
      <c r="B794" s="26">
        <f>Estimation_1516!F795</f>
        <v>-1.9956316383459287E-2</v>
      </c>
      <c r="D794" s="26">
        <v>1.2735714700054848E-2</v>
      </c>
    </row>
    <row r="795" spans="2:4">
      <c r="B795" s="25">
        <f>Estimation_1516!F796</f>
        <v>-4.5827033384819978E-2</v>
      </c>
      <c r="D795" s="25">
        <v>1.2779726646399021E-2</v>
      </c>
    </row>
    <row r="796" spans="2:4">
      <c r="B796" s="26">
        <f>Estimation_1516!F797</f>
        <v>4.2180976898622956E-2</v>
      </c>
      <c r="D796" s="26">
        <v>1.2842352911227079E-2</v>
      </c>
    </row>
    <row r="797" spans="2:4">
      <c r="B797" s="25">
        <f>Estimation_1516!F798</f>
        <v>-7.6153237863421106E-3</v>
      </c>
      <c r="D797" s="25">
        <v>1.2987195526811112E-2</v>
      </c>
    </row>
    <row r="798" spans="2:4">
      <c r="B798" s="26">
        <f>Estimation_1516!F799</f>
        <v>-1.4544673912411739E-2</v>
      </c>
      <c r="D798" s="26">
        <v>1.3037994338130019E-2</v>
      </c>
    </row>
    <row r="799" spans="2:4">
      <c r="B799" s="25">
        <f>Estimation_1516!F800</f>
        <v>1.8782566962182907E-2</v>
      </c>
      <c r="D799" s="25">
        <v>1.3070263929173747E-2</v>
      </c>
    </row>
    <row r="800" spans="2:4">
      <c r="B800" s="26">
        <f>Estimation_1516!F801</f>
        <v>-4.2378930497712275E-3</v>
      </c>
      <c r="D800" s="26">
        <v>1.3196672454169816E-2</v>
      </c>
    </row>
    <row r="801" spans="2:4">
      <c r="B801" s="25">
        <f>Estimation_1516!F802</f>
        <v>5.6609115579091805E-4</v>
      </c>
      <c r="D801" s="25">
        <v>1.3250828222087663E-2</v>
      </c>
    </row>
    <row r="802" spans="2:4">
      <c r="B802" s="26">
        <f>Estimation_1516!F803</f>
        <v>-5.9600006138146745E-3</v>
      </c>
      <c r="D802" s="26">
        <v>1.338790481758634E-2</v>
      </c>
    </row>
    <row r="803" spans="2:4">
      <c r="B803" s="25">
        <f>Estimation_1516!F804</f>
        <v>6.8085369396535256E-3</v>
      </c>
      <c r="D803" s="25">
        <v>1.3411279729025703E-2</v>
      </c>
    </row>
    <row r="804" spans="2:4">
      <c r="B804" s="26">
        <f>Estimation_1516!F805</f>
        <v>1.3479563828240235E-2</v>
      </c>
      <c r="D804" s="26">
        <v>1.3439724443858214E-2</v>
      </c>
    </row>
    <row r="805" spans="2:4">
      <c r="B805" s="25">
        <f>Estimation_1516!F806</f>
        <v>-1.5177357105334228E-2</v>
      </c>
      <c r="D805" s="25">
        <v>1.3479563828240235E-2</v>
      </c>
    </row>
    <row r="806" spans="2:4">
      <c r="B806" s="26">
        <f>Estimation_1516!F807</f>
        <v>1.6977932770940486E-3</v>
      </c>
      <c r="D806" s="26">
        <v>1.3531227037970425E-2</v>
      </c>
    </row>
    <row r="807" spans="2:4">
      <c r="B807" s="25">
        <f>Estimation_1516!F808</f>
        <v>4.5134068155465064E-3</v>
      </c>
      <c r="D807" s="25">
        <v>1.3537988224701921E-2</v>
      </c>
    </row>
    <row r="808" spans="2:4">
      <c r="B808" s="26">
        <f>Estimation_1516!F809</f>
        <v>-7.0611788943451739E-3</v>
      </c>
      <c r="D808" s="26">
        <v>1.3624664908467662E-2</v>
      </c>
    </row>
    <row r="809" spans="2:4">
      <c r="B809" s="25">
        <f>Estimation_1516!F810</f>
        <v>-9.6839264326799637E-3</v>
      </c>
      <c r="D809" s="25">
        <v>1.3666709402522912E-2</v>
      </c>
    </row>
    <row r="810" spans="2:4">
      <c r="B810" s="26">
        <f>Estimation_1516!F811</f>
        <v>1.2514384025728516E-2</v>
      </c>
      <c r="D810" s="26">
        <v>1.3682023641767167E-2</v>
      </c>
    </row>
    <row r="811" spans="2:4">
      <c r="B811" s="25">
        <f>Estimation_1516!F812</f>
        <v>3.3860077497309595E-3</v>
      </c>
      <c r="D811" s="25">
        <v>1.3696848252563856E-2</v>
      </c>
    </row>
    <row r="812" spans="2:4">
      <c r="B812" s="26">
        <f>Estimation_1516!F813</f>
        <v>-1.3042430413179337E-2</v>
      </c>
      <c r="D812" s="26">
        <v>1.3795484502553051E-2</v>
      </c>
    </row>
    <row r="813" spans="2:4">
      <c r="B813" s="25">
        <f>Estimation_1516!F814</f>
        <v>-4.1666624331176384E-2</v>
      </c>
      <c r="D813" s="25">
        <v>1.3797286995716657E-2</v>
      </c>
    </row>
    <row r="814" spans="2:4">
      <c r="B814" s="26">
        <f>Estimation_1516!F815</f>
        <v>2.67419562130171E-3</v>
      </c>
      <c r="D814" s="26">
        <v>1.3926815440775012E-2</v>
      </c>
    </row>
    <row r="815" spans="2:4">
      <c r="B815" s="25">
        <f>Estimation_1516!F816</f>
        <v>7.6855240848304161E-3</v>
      </c>
      <c r="D815" s="25">
        <v>1.3934839985471495E-2</v>
      </c>
    </row>
    <row r="816" spans="2:4">
      <c r="B816" s="26">
        <f>Estimation_1516!F817</f>
        <v>3.2338702297286534E-3</v>
      </c>
      <c r="D816" s="26">
        <v>1.4147299617618424E-2</v>
      </c>
    </row>
    <row r="817" spans="2:4">
      <c r="B817" s="25">
        <f>Estimation_1516!F818</f>
        <v>1.3411279729025703E-2</v>
      </c>
      <c r="D817" s="25">
        <v>1.430055014219655E-2</v>
      </c>
    </row>
    <row r="818" spans="2:4">
      <c r="B818" s="26">
        <f>Estimation_1516!F819</f>
        <v>-2.319513942233386E-3</v>
      </c>
      <c r="D818" s="26">
        <v>1.4332126735676015E-2</v>
      </c>
    </row>
    <row r="819" spans="2:4">
      <c r="B819" s="25">
        <f>Estimation_1516!F820</f>
        <v>5.2113609546629814E-3</v>
      </c>
      <c r="D819" s="25">
        <v>1.437749410675466E-2</v>
      </c>
    </row>
    <row r="820" spans="2:4">
      <c r="B820" s="26">
        <f>Estimation_1516!F821</f>
        <v>8.6592587312953214E-4</v>
      </c>
      <c r="D820" s="26">
        <v>1.4421676070986491E-2</v>
      </c>
    </row>
    <row r="821" spans="2:4">
      <c r="B821" s="25">
        <f>Estimation_1516!F822</f>
        <v>-4.3371471775479698E-3</v>
      </c>
      <c r="D821" s="25">
        <v>1.4519001310330655E-2</v>
      </c>
    </row>
    <row r="822" spans="2:4">
      <c r="B822" s="26">
        <f>Estimation_1516!F823</f>
        <v>-2.6113463265186945E-3</v>
      </c>
      <c r="D822" s="26">
        <v>1.453690044909795E-2</v>
      </c>
    </row>
    <row r="823" spans="2:4">
      <c r="B823" s="25">
        <f>Estimation_1516!F824</f>
        <v>3.7697594302854671E-3</v>
      </c>
      <c r="D823" s="25">
        <v>1.4564778294029532E-2</v>
      </c>
    </row>
    <row r="824" spans="2:4">
      <c r="B824" s="26">
        <f>Estimation_1516!F825</f>
        <v>-7.5537837388499774E-3</v>
      </c>
      <c r="D824" s="26">
        <v>1.4623803195762303E-2</v>
      </c>
    </row>
    <row r="825" spans="2:4">
      <c r="B825" s="25">
        <f>Estimation_1516!F826</f>
        <v>1.3037994338130019E-2</v>
      </c>
      <c r="D825" s="25">
        <v>1.4730217240403409E-2</v>
      </c>
    </row>
    <row r="826" spans="2:4">
      <c r="B826" s="26">
        <f>Estimation_1516!F827</f>
        <v>-5.7587102080948211E-4</v>
      </c>
      <c r="D826" s="26">
        <v>1.4734411346792584E-2</v>
      </c>
    </row>
    <row r="827" spans="2:4">
      <c r="B827" s="25">
        <f>Estimation_1516!F828</f>
        <v>-2.9224756658494784E-2</v>
      </c>
      <c r="D827" s="25">
        <v>1.476100128868355E-2</v>
      </c>
    </row>
    <row r="828" spans="2:4">
      <c r="B828" s="26">
        <f>Estimation_1516!F829</f>
        <v>-1.1033360772021919E-2</v>
      </c>
      <c r="D828" s="26">
        <v>1.4762685451133449E-2</v>
      </c>
    </row>
    <row r="829" spans="2:4">
      <c r="B829" s="25">
        <f>Estimation_1516!F830</f>
        <v>-6.9204428445737952E-3</v>
      </c>
      <c r="D829" s="25">
        <v>1.4978329436855705E-2</v>
      </c>
    </row>
    <row r="830" spans="2:4">
      <c r="B830" s="26">
        <f>Estimation_1516!F831</f>
        <v>1.9731581862595049E-2</v>
      </c>
      <c r="D830" s="26">
        <v>1.5165970541566903E-2</v>
      </c>
    </row>
    <row r="831" spans="2:4">
      <c r="B831" s="25">
        <f>Estimation_1516!F832</f>
        <v>-1.0415210947646863E-2</v>
      </c>
      <c r="D831" s="25">
        <v>1.5194324209985456E-2</v>
      </c>
    </row>
    <row r="832" spans="2:4">
      <c r="B832" s="26">
        <f>Estimation_1516!F833</f>
        <v>-4.1966488450735804E-3</v>
      </c>
      <c r="D832" s="26">
        <v>1.5210703943665263E-2</v>
      </c>
    </row>
    <row r="833" spans="2:4">
      <c r="B833" s="25">
        <f>Estimation_1516!F834</f>
        <v>-1.2022844850704101E-3</v>
      </c>
      <c r="D833" s="25">
        <v>1.529278997522851E-2</v>
      </c>
    </row>
    <row r="834" spans="2:4">
      <c r="B834" s="26">
        <f>Estimation_1516!F835</f>
        <v>-3.3020425850928146E-2</v>
      </c>
      <c r="D834" s="26">
        <v>1.5519879662114822E-2</v>
      </c>
    </row>
    <row r="835" spans="2:4">
      <c r="B835" s="25">
        <f>Estimation_1516!F836</f>
        <v>3.3020425850928112E-2</v>
      </c>
      <c r="D835" s="25">
        <v>1.5524244503492171E-2</v>
      </c>
    </row>
    <row r="836" spans="2:4">
      <c r="B836" s="26">
        <f>Estimation_1516!F837</f>
        <v>-1.4236193786179525E-2</v>
      </c>
      <c r="D836" s="26">
        <v>1.5541928794088875E-2</v>
      </c>
    </row>
    <row r="837" spans="2:4">
      <c r="B837" s="25">
        <f>Estimation_1516!F838</f>
        <v>1.453690044909795E-2</v>
      </c>
      <c r="D837" s="25">
        <v>1.5664730244334596E-2</v>
      </c>
    </row>
    <row r="838" spans="2:4">
      <c r="B838" s="26">
        <f>Estimation_1516!F839</f>
        <v>6.8914130413317157E-3</v>
      </c>
      <c r="D838" s="26">
        <v>1.5736555538985966E-2</v>
      </c>
    </row>
    <row r="839" spans="2:4">
      <c r="B839" s="25">
        <f>Estimation_1516!F840</f>
        <v>-1.9599602221885913E-2</v>
      </c>
      <c r="D839" s="25">
        <v>1.5833301624006875E-2</v>
      </c>
    </row>
    <row r="840" spans="2:4">
      <c r="B840" s="26">
        <f>Estimation_1516!F841</f>
        <v>1.9300961037047138E-2</v>
      </c>
      <c r="D840" s="26">
        <v>1.5908703316594688E-2</v>
      </c>
    </row>
    <row r="841" spans="2:4">
      <c r="B841" s="25">
        <f>Estimation_1516!F842</f>
        <v>-7.1942756340270851E-3</v>
      </c>
      <c r="D841" s="25">
        <v>1.597686413694123E-2</v>
      </c>
    </row>
    <row r="842" spans="2:4">
      <c r="B842" s="26">
        <f>Estimation_1516!F843</f>
        <v>-6.018658020985623E-4</v>
      </c>
      <c r="D842" s="26">
        <v>1.6144521860694566E-2</v>
      </c>
    </row>
    <row r="843" spans="2:4">
      <c r="B843" s="25">
        <f>Estimation_1516!F844</f>
        <v>-1.5062512261877809E-3</v>
      </c>
      <c r="D843" s="25">
        <v>1.6252347342300424E-2</v>
      </c>
    </row>
    <row r="844" spans="2:4">
      <c r="B844" s="26">
        <f>Estimation_1516!F845</f>
        <v>-6.958128209466838E-3</v>
      </c>
      <c r="D844" s="26">
        <v>1.6255126532060883E-2</v>
      </c>
    </row>
    <row r="845" spans="2:4">
      <c r="B845" s="25">
        <f>Estimation_1516!F846</f>
        <v>1.0869672236903891E-2</v>
      </c>
      <c r="D845" s="25">
        <v>1.6307874513521083E-2</v>
      </c>
    </row>
    <row r="846" spans="2:4">
      <c r="B846" s="26">
        <f>Estimation_1516!F847</f>
        <v>-1.0262691945127274E-2</v>
      </c>
      <c r="D846" s="26">
        <v>1.6356822654125719E-2</v>
      </c>
    </row>
    <row r="847" spans="2:4">
      <c r="B847" s="25">
        <f>Estimation_1516!F848</f>
        <v>1.1763067320361783E-2</v>
      </c>
      <c r="D847" s="25">
        <v>1.6390888959015963E-2</v>
      </c>
    </row>
    <row r="848" spans="2:4">
      <c r="B848" s="26">
        <f>Estimation_1516!F849</f>
        <v>1.0440064996683422E-2</v>
      </c>
      <c r="D848" s="26">
        <v>1.6453753278942648E-2</v>
      </c>
    </row>
    <row r="849" spans="2:4">
      <c r="B849" s="25">
        <f>Estimation_1516!F850</f>
        <v>-1.2240785771382453E-2</v>
      </c>
      <c r="D849" s="25">
        <v>1.6543847934701077E-2</v>
      </c>
    </row>
    <row r="850" spans="2:4">
      <c r="B850" s="26">
        <f>Estimation_1516!F851</f>
        <v>9.2690153822248336E-3</v>
      </c>
      <c r="D850" s="26">
        <v>1.6631664328739245E-2</v>
      </c>
    </row>
    <row r="851" spans="2:4">
      <c r="B851" s="25">
        <f>Estimation_1516!F852</f>
        <v>4.158010148663677E-3</v>
      </c>
      <c r="D851" s="25">
        <v>1.6658885986638765E-2</v>
      </c>
    </row>
    <row r="852" spans="2:4">
      <c r="B852" s="26">
        <f>Estimation_1516!F853</f>
        <v>9.4395981167199466E-3</v>
      </c>
      <c r="D852" s="26">
        <v>1.6688559357016516E-2</v>
      </c>
    </row>
    <row r="853" spans="2:4">
      <c r="B853" s="25">
        <f>Estimation_1516!F854</f>
        <v>1.6307874513521083E-2</v>
      </c>
      <c r="D853" s="25">
        <v>1.6798731833713932E-2</v>
      </c>
    </row>
    <row r="854" spans="2:4">
      <c r="B854" s="26">
        <f>Estimation_1516!F855</f>
        <v>-1.865943350427722E-2</v>
      </c>
      <c r="D854" s="26">
        <v>1.6902726486855126E-2</v>
      </c>
    </row>
    <row r="855" spans="2:4">
      <c r="B855" s="25">
        <f>Estimation_1516!F856</f>
        <v>6.1610874074239479E-3</v>
      </c>
      <c r="D855" s="25">
        <v>1.6992455136197692E-2</v>
      </c>
    </row>
    <row r="856" spans="2:4">
      <c r="B856" s="26">
        <f>Estimation_1516!F857</f>
        <v>3.7950709685515343E-3</v>
      </c>
      <c r="D856" s="26">
        <v>1.7179273419522155E-2</v>
      </c>
    </row>
    <row r="857" spans="2:4">
      <c r="B857" s="25">
        <f>Estimation_1516!F858</f>
        <v>-9.3677500036001594E-3</v>
      </c>
      <c r="D857" s="25">
        <v>1.7426714472176169E-2</v>
      </c>
    </row>
    <row r="858" spans="2:4">
      <c r="B858" s="26">
        <f>Estimation_1516!F859</f>
        <v>2.350177344953673E-3</v>
      </c>
      <c r="D858" s="26">
        <v>1.743044315112403E-2</v>
      </c>
    </row>
    <row r="859" spans="2:4">
      <c r="B859" s="25">
        <f>Estimation_1516!F860</f>
        <v>1.3696848252563856E-2</v>
      </c>
      <c r="D859" s="25">
        <v>1.7515577734057635E-2</v>
      </c>
    </row>
    <row r="860" spans="2:4">
      <c r="B860" s="26">
        <f>Estimation_1516!F861</f>
        <v>4.3321367391347372E-3</v>
      </c>
      <c r="D860" s="26">
        <v>1.7659842368459442E-2</v>
      </c>
    </row>
    <row r="861" spans="2:4">
      <c r="B861" s="25">
        <f>Estimation_1516!F862</f>
        <v>-9.8465898367589479E-3</v>
      </c>
      <c r="D861" s="25">
        <v>1.7699577099400857E-2</v>
      </c>
    </row>
    <row r="862" spans="2:4">
      <c r="B862" s="26">
        <f>Estimation_1516!F863</f>
        <v>1.4541226933343409E-3</v>
      </c>
      <c r="D862" s="26">
        <v>1.7710386566332021E-2</v>
      </c>
    </row>
    <row r="863" spans="2:4">
      <c r="B863" s="25">
        <f>Estimation_1516!F864</f>
        <v>-1.5227234190429019E-2</v>
      </c>
      <c r="D863" s="25">
        <v>1.7760703661967591E-2</v>
      </c>
    </row>
    <row r="864" spans="2:4">
      <c r="B864" s="26">
        <f>Estimation_1516!F865</f>
        <v>7.0567772996556971E-3</v>
      </c>
      <c r="D864" s="26">
        <v>1.7773599083964069E-2</v>
      </c>
    </row>
    <row r="865" spans="2:4">
      <c r="B865" s="25">
        <f>Estimation_1516!F866</f>
        <v>3.001668356727542E-2</v>
      </c>
      <c r="D865" s="25">
        <v>1.7864319556827501E-2</v>
      </c>
    </row>
    <row r="866" spans="2:4">
      <c r="B866" s="26">
        <f>Estimation_1516!F867</f>
        <v>4.5390148851628025E-3</v>
      </c>
      <c r="D866" s="26">
        <v>1.814387130673854E-2</v>
      </c>
    </row>
    <row r="867" spans="2:4">
      <c r="B867" s="25">
        <f>Estimation_1516!F868</f>
        <v>1.4332126735676015E-2</v>
      </c>
      <c r="D867" s="25">
        <v>1.8154140373813764E-2</v>
      </c>
    </row>
    <row r="868" spans="2:4">
      <c r="B868" s="26">
        <f>Estimation_1516!F869</f>
        <v>-1.7450485038669705E-2</v>
      </c>
      <c r="D868" s="26">
        <v>1.8234202744847244E-2</v>
      </c>
    </row>
    <row r="869" spans="2:4">
      <c r="B869" s="25">
        <f>Estimation_1516!F870</f>
        <v>-3.9829355640776821E-3</v>
      </c>
      <c r="D869" s="25">
        <v>1.8284201494888803E-2</v>
      </c>
    </row>
    <row r="870" spans="2:4">
      <c r="B870" s="26">
        <f>Estimation_1516!F871</f>
        <v>-9.4515954931811141E-3</v>
      </c>
      <c r="D870" s="26">
        <v>1.831133791595704E-2</v>
      </c>
    </row>
    <row r="871" spans="2:4">
      <c r="B871" s="25">
        <f>Estimation_1516!F872</f>
        <v>-5.7141486348856373E-2</v>
      </c>
      <c r="D871" s="25">
        <v>1.8351944933464426E-2</v>
      </c>
    </row>
    <row r="872" spans="2:4">
      <c r="B872" s="26">
        <f>Estimation_1516!F873</f>
        <v>-4.9018709479534392E-2</v>
      </c>
      <c r="D872" s="26">
        <v>1.8376332163514024E-2</v>
      </c>
    </row>
    <row r="873" spans="2:4">
      <c r="B873" s="25">
        <f>Estimation_1516!F874</f>
        <v>1.5987213636970735E-3</v>
      </c>
      <c r="D873" s="25">
        <v>1.8466563705026768E-2</v>
      </c>
    </row>
    <row r="874" spans="2:4">
      <c r="B874" s="26">
        <f>Estimation_1516!F875</f>
        <v>-9.9535257464505346E-3</v>
      </c>
      <c r="D874" s="26">
        <v>1.8485332413002691E-2</v>
      </c>
    </row>
    <row r="875" spans="2:4">
      <c r="B875" s="25">
        <f>Estimation_1516!F876</f>
        <v>1.4734411346792584E-2</v>
      </c>
      <c r="D875" s="25">
        <v>1.8490735749930376E-2</v>
      </c>
    </row>
    <row r="876" spans="2:4">
      <c r="B876" s="26">
        <f>Estimation_1516!F877</f>
        <v>-1.2726695958943336E-3</v>
      </c>
      <c r="D876" s="26">
        <v>1.8659890690585445E-2</v>
      </c>
    </row>
    <row r="877" spans="2:4">
      <c r="B877" s="25">
        <f>Estimation_1516!F878</f>
        <v>-9.275614240364256E-3</v>
      </c>
      <c r="D877" s="25">
        <v>1.8740214063076129E-2</v>
      </c>
    </row>
    <row r="878" spans="2:4">
      <c r="B878" s="26">
        <f>Estimation_1516!F879</f>
        <v>6.0868360281233292E-3</v>
      </c>
      <c r="D878" s="26">
        <v>1.875943217288658E-2</v>
      </c>
    </row>
    <row r="879" spans="2:4">
      <c r="B879" s="25">
        <f>Estimation_1516!F880</f>
        <v>1.2379145544920556E-2</v>
      </c>
      <c r="D879" s="25">
        <v>1.8782566962182907E-2</v>
      </c>
    </row>
    <row r="880" spans="2:4">
      <c r="B880" s="26">
        <f>Estimation_1516!F881</f>
        <v>-9.5087879690271878E-3</v>
      </c>
      <c r="D880" s="26">
        <v>1.922793793873499E-2</v>
      </c>
    </row>
    <row r="881" spans="2:4">
      <c r="B881" s="25">
        <f>Estimation_1516!F882</f>
        <v>2.608980291313874E-2</v>
      </c>
      <c r="D881" s="25">
        <v>1.9300961037047138E-2</v>
      </c>
    </row>
    <row r="882" spans="2:4">
      <c r="B882" s="26">
        <f>Estimation_1516!F883</f>
        <v>-3.107522699579356E-3</v>
      </c>
      <c r="D882" s="26">
        <v>1.937106575599979E-2</v>
      </c>
    </row>
    <row r="883" spans="2:4">
      <c r="B883" s="25">
        <f>Estimation_1516!F884</f>
        <v>-7.4976921058008128E-3</v>
      </c>
      <c r="D883" s="25">
        <v>1.9405092009688117E-2</v>
      </c>
    </row>
    <row r="884" spans="2:4">
      <c r="B884" s="26">
        <f>Estimation_1516!F885</f>
        <v>1.8796998015774722E-3</v>
      </c>
      <c r="D884" s="26">
        <v>1.9454815164731978E-2</v>
      </c>
    </row>
    <row r="885" spans="2:4">
      <c r="B885" s="25">
        <f>Estimation_1516!F886</f>
        <v>-2.3113265736257826E-2</v>
      </c>
      <c r="D885" s="25">
        <v>1.9623987869983418E-2</v>
      </c>
    </row>
    <row r="886" spans="2:4">
      <c r="B886" s="26">
        <f>Estimation_1516!F887</f>
        <v>-9.009069942365968E-3</v>
      </c>
      <c r="D886" s="26">
        <v>1.9624316719832582E-2</v>
      </c>
    </row>
    <row r="887" spans="2:4">
      <c r="B887" s="25">
        <f>Estimation_1516!F888</f>
        <v>-4.8598832085109287E-3</v>
      </c>
      <c r="D887" s="25">
        <v>1.9729083689384148E-2</v>
      </c>
    </row>
    <row r="888" spans="2:4">
      <c r="B888" s="26">
        <f>Estimation_1516!F889</f>
        <v>3.2472804311980047E-4</v>
      </c>
      <c r="D888" s="26">
        <v>1.9731581862595049E-2</v>
      </c>
    </row>
    <row r="889" spans="2:4">
      <c r="B889" s="25">
        <f>Estimation_1516!F890</f>
        <v>-1.570712920535788E-2</v>
      </c>
      <c r="D889" s="25">
        <v>1.9799765251048106E-2</v>
      </c>
    </row>
    <row r="890" spans="2:4">
      <c r="B890" s="26">
        <f>Estimation_1516!F891</f>
        <v>7.2297390163153759E-3</v>
      </c>
      <c r="D890" s="26">
        <v>2.0026790349874243E-2</v>
      </c>
    </row>
    <row r="891" spans="2:4">
      <c r="B891" s="25">
        <f>Estimation_1516!F892</f>
        <v>-1.750664033821064E-2</v>
      </c>
      <c r="D891" s="25">
        <v>2.0315674011292705E-2</v>
      </c>
    </row>
    <row r="892" spans="2:4">
      <c r="B892" s="26">
        <f>Estimation_1516!F893</f>
        <v>2.6622311896781548E-3</v>
      </c>
      <c r="D892" s="26">
        <v>2.0433198557292778E-2</v>
      </c>
    </row>
    <row r="893" spans="2:4">
      <c r="B893" s="25">
        <f>Estimation_1516!F894</f>
        <v>-1.9960086467149273E-3</v>
      </c>
      <c r="D893" s="25">
        <v>2.0676132838427435E-2</v>
      </c>
    </row>
    <row r="894" spans="2:4">
      <c r="B894" s="26">
        <f>Estimation_1516!F895</f>
        <v>-4.3384015985981298E-3</v>
      </c>
      <c r="D894" s="26">
        <v>2.0700820606296948E-2</v>
      </c>
    </row>
    <row r="895" spans="2:4">
      <c r="B895" s="25">
        <f>Estimation_1516!F896</f>
        <v>1.6255126532060883E-2</v>
      </c>
      <c r="D895" s="25">
        <v>2.0724425943575462E-2</v>
      </c>
    </row>
    <row r="896" spans="2:4">
      <c r="B896" s="26">
        <f>Estimation_1516!F897</f>
        <v>-1.5586453822425283E-2</v>
      </c>
      <c r="D896" s="26">
        <v>2.1053409197832482E-2</v>
      </c>
    </row>
    <row r="897" spans="2:4">
      <c r="B897" s="25">
        <f>Estimation_1516!F898</f>
        <v>-6.6867270963569822E-4</v>
      </c>
      <c r="D897" s="25">
        <v>2.1107826524322439E-2</v>
      </c>
    </row>
    <row r="898" spans="2:4">
      <c r="B898" s="26">
        <f>Estimation_1516!F899</f>
        <v>4.0053458086750614E-3</v>
      </c>
      <c r="D898" s="26">
        <v>2.1279100631442453E-2</v>
      </c>
    </row>
    <row r="899" spans="2:4">
      <c r="B899" s="25">
        <f>Estimation_1516!F900</f>
        <v>9.2838863100076583E-3</v>
      </c>
      <c r="D899" s="25">
        <v>2.1335601430204094E-2</v>
      </c>
    </row>
    <row r="900" spans="2:4">
      <c r="B900" s="26">
        <f>Estimation_1516!F901</f>
        <v>-3.636968796575879E-3</v>
      </c>
      <c r="D900" s="26">
        <v>2.1385743743850695E-2</v>
      </c>
    </row>
    <row r="901" spans="2:4">
      <c r="B901" s="25">
        <f>Estimation_1516!F902</f>
        <v>1.1199063028039044E-2</v>
      </c>
      <c r="D901" s="25">
        <v>2.1506205220963682E-2</v>
      </c>
    </row>
    <row r="902" spans="2:4">
      <c r="B902" s="26">
        <f>Estimation_1516!F903</f>
        <v>-2.2954592797707397E-3</v>
      </c>
      <c r="D902" s="26">
        <v>2.1512631233462164E-2</v>
      </c>
    </row>
    <row r="903" spans="2:4">
      <c r="B903" s="25">
        <f>Estimation_1516!F904</f>
        <v>-8.9036037482682663E-3</v>
      </c>
      <c r="D903" s="25">
        <v>2.1722128164793061E-2</v>
      </c>
    </row>
    <row r="904" spans="2:4">
      <c r="B904" s="26">
        <f>Estimation_1516!F905</f>
        <v>1.9854407581029569E-3</v>
      </c>
      <c r="D904" s="26">
        <v>2.2289678623840209E-2</v>
      </c>
    </row>
    <row r="905" spans="2:4">
      <c r="B905" s="25">
        <f>Estimation_1516!F906</f>
        <v>-3.3112613036559201E-3</v>
      </c>
      <c r="D905" s="25">
        <v>2.2720097230774946E-2</v>
      </c>
    </row>
    <row r="906" spans="2:4">
      <c r="B906" s="26">
        <f>Estimation_1516!F907</f>
        <v>-4.9875415110391622E-3</v>
      </c>
      <c r="D906" s="26">
        <v>2.2751756983416027E-2</v>
      </c>
    </row>
    <row r="907" spans="2:4">
      <c r="B907" s="25">
        <f>Estimation_1516!F908</f>
        <v>-7.3603544062924185E-3</v>
      </c>
      <c r="D907" s="25">
        <v>2.2827380740290688E-2</v>
      </c>
    </row>
    <row r="908" spans="2:4">
      <c r="B908" s="26">
        <f>Estimation_1516!F909</f>
        <v>2.3478125827479735E-3</v>
      </c>
      <c r="D908" s="26">
        <v>2.3129845778982798E-2</v>
      </c>
    </row>
    <row r="909" spans="2:4">
      <c r="B909" s="25">
        <f>Estimation_1516!F910</f>
        <v>-1.3409321486310528E-3</v>
      </c>
      <c r="D909" s="25">
        <v>2.317860775915645E-2</v>
      </c>
    </row>
    <row r="910" spans="2:4">
      <c r="B910" s="26">
        <f>Estimation_1516!F911</f>
        <v>-1.1810496655495795E-2</v>
      </c>
      <c r="D910" s="26">
        <v>2.3230228320640714E-2</v>
      </c>
    </row>
    <row r="911" spans="2:4">
      <c r="B911" s="25">
        <f>Estimation_1516!F912</f>
        <v>-4.4225280451246326E-3</v>
      </c>
      <c r="D911" s="25">
        <v>2.3274437320027489E-2</v>
      </c>
    </row>
    <row r="912" spans="2:4">
      <c r="B912" s="26">
        <f>Estimation_1516!F913</f>
        <v>2.8568570350343245E-2</v>
      </c>
      <c r="D912" s="26">
        <v>2.3480267608842448E-2</v>
      </c>
    </row>
    <row r="913" spans="2:4">
      <c r="B913" s="25">
        <f>Estimation_1516!F914</f>
        <v>-5.982071677547429E-3</v>
      </c>
      <c r="D913" s="25">
        <v>2.3692095290381486E-2</v>
      </c>
    </row>
    <row r="914" spans="2:4">
      <c r="B914" s="26">
        <f>Estimation_1516!F915</f>
        <v>-3.6734053663089248E-3</v>
      </c>
      <c r="D914" s="26">
        <v>2.3857990453893953E-2</v>
      </c>
    </row>
    <row r="915" spans="2:4">
      <c r="B915" s="25">
        <f>Estimation_1516!F916</f>
        <v>9.3240768751232436E-3</v>
      </c>
      <c r="D915" s="25">
        <v>2.3870238259144728E-2</v>
      </c>
    </row>
    <row r="916" spans="2:4">
      <c r="B916" s="26">
        <f>Estimation_1516!F917</f>
        <v>6.9364439966569484E-3</v>
      </c>
      <c r="D916" s="26">
        <v>2.3986860683273693E-2</v>
      </c>
    </row>
    <row r="917" spans="2:4">
      <c r="B917" s="25">
        <f>Estimation_1516!F918</f>
        <v>1.2105497084900302E-2</v>
      </c>
      <c r="D917" s="25">
        <v>2.3996788628198141E-2</v>
      </c>
    </row>
    <row r="918" spans="2:4">
      <c r="B918" s="26">
        <f>Estimation_1516!F919</f>
        <v>-1.1776387323825183E-2</v>
      </c>
      <c r="D918" s="26">
        <v>2.4295865907920773E-2</v>
      </c>
    </row>
    <row r="919" spans="2:4">
      <c r="B919" s="25">
        <f>Estimation_1516!F920</f>
        <v>-6.9341535889989635E-3</v>
      </c>
      <c r="D919" s="25">
        <v>2.4372639404441693E-2</v>
      </c>
    </row>
    <row r="920" spans="2:4">
      <c r="B920" s="26">
        <f>Estimation_1516!F921</f>
        <v>1.4147299617618424E-2</v>
      </c>
      <c r="D920" s="26">
        <v>2.4391453124159263E-2</v>
      </c>
    </row>
    <row r="921" spans="2:4">
      <c r="B921" s="25">
        <f>Estimation_1516!F922</f>
        <v>-1.3153757558740542E-2</v>
      </c>
      <c r="D921" s="25">
        <v>2.4425993126882581E-2</v>
      </c>
    </row>
    <row r="922" spans="2:4">
      <c r="B922" s="26">
        <f>Estimation_1516!F923</f>
        <v>2.3230228320640714E-2</v>
      </c>
      <c r="D922" s="26">
        <v>2.4494655942230829E-2</v>
      </c>
    </row>
    <row r="923" spans="2:4">
      <c r="B923" s="25">
        <f>Estimation_1516!F924</f>
        <v>6.4662142569885898E-4</v>
      </c>
      <c r="D923" s="25">
        <v>2.4553663174051277E-2</v>
      </c>
    </row>
    <row r="924" spans="2:4">
      <c r="B924" s="26">
        <f>Estimation_1516!F925</f>
        <v>-4.8598832085109287E-3</v>
      </c>
      <c r="D924" s="26">
        <v>2.4596443900292135E-2</v>
      </c>
    </row>
    <row r="925" spans="2:4">
      <c r="B925" s="25">
        <f>Estimation_1516!F926</f>
        <v>-2.2997071294455235E-2</v>
      </c>
      <c r="D925" s="25">
        <v>2.4807114222144998E-2</v>
      </c>
    </row>
    <row r="926" spans="2:4">
      <c r="B926" s="26">
        <f>Estimation_1516!F927</f>
        <v>-1.7432556777568067E-2</v>
      </c>
      <c r="D926" s="26">
        <v>2.4811196696287438E-2</v>
      </c>
    </row>
    <row r="927" spans="2:4">
      <c r="B927" s="25">
        <f>Estimation_1516!F928</f>
        <v>-3.7269228299015569E-3</v>
      </c>
      <c r="D927" s="25">
        <v>2.4878901342438767E-2</v>
      </c>
    </row>
    <row r="928" spans="2:4">
      <c r="B928" s="26">
        <f>Estimation_1516!F929</f>
        <v>-1.2638938527374055E-2</v>
      </c>
      <c r="D928" s="26">
        <v>2.4969141629551089E-2</v>
      </c>
    </row>
    <row r="929" spans="2:4">
      <c r="B929" s="25">
        <f>Estimation_1516!F930</f>
        <v>5.4851011707553032E-3</v>
      </c>
      <c r="D929" s="25">
        <v>2.5096789086274454E-2</v>
      </c>
    </row>
    <row r="930" spans="2:4">
      <c r="B930" s="26">
        <f>Estimation_1516!F931</f>
        <v>-9.61876189660648E-3</v>
      </c>
      <c r="D930" s="26">
        <v>2.5115812719269846E-2</v>
      </c>
    </row>
    <row r="931" spans="2:4">
      <c r="B931" s="25">
        <f>Estimation_1516!F932</f>
        <v>1.1326704241762709E-2</v>
      </c>
      <c r="D931" s="25">
        <v>2.5345231917157839E-2</v>
      </c>
    </row>
    <row r="932" spans="2:4">
      <c r="B932" s="26">
        <f>Estimation_1516!F933</f>
        <v>3.4123869977942467E-4</v>
      </c>
      <c r="D932" s="26">
        <v>2.5491973144526784E-2</v>
      </c>
    </row>
    <row r="933" spans="2:4">
      <c r="B933" s="25">
        <f>Estimation_1516!F934</f>
        <v>7.8165223804328096E-3</v>
      </c>
      <c r="D933" s="25">
        <v>2.5507759547212665E-2</v>
      </c>
    </row>
    <row r="934" spans="2:4">
      <c r="B934" s="26">
        <f>Estimation_1516!F935</f>
        <v>-3.3909832425583681E-3</v>
      </c>
      <c r="D934" s="26">
        <v>2.5620261842484261E-2</v>
      </c>
    </row>
    <row r="935" spans="2:4">
      <c r="B935" s="25">
        <f>Estimation_1516!F936</f>
        <v>3.7294499914317255E-3</v>
      </c>
      <c r="D935" s="25">
        <v>2.5704659586014915E-2</v>
      </c>
    </row>
    <row r="936" spans="2:4">
      <c r="B936" s="26">
        <f>Estimation_1516!F937</f>
        <v>6.4091971799019537E-3</v>
      </c>
      <c r="D936" s="26">
        <v>2.5861621014799756E-2</v>
      </c>
    </row>
    <row r="937" spans="2:4">
      <c r="B937" s="25">
        <f>Estimation_1516!F938</f>
        <v>-3.030815588274712E-3</v>
      </c>
      <c r="D937" s="25">
        <v>2.5947165894395718E-2</v>
      </c>
    </row>
    <row r="938" spans="2:4">
      <c r="B938" s="26">
        <f>Estimation_1516!F939</f>
        <v>-1.3240729851756155E-2</v>
      </c>
      <c r="D938" s="26">
        <v>2.6057534319289598E-2</v>
      </c>
    </row>
    <row r="939" spans="2:4">
      <c r="B939" s="25">
        <f>Estimation_1516!F940</f>
        <v>-1.030582807446272E-2</v>
      </c>
      <c r="D939" s="25">
        <v>2.608980291313874E-2</v>
      </c>
    </row>
    <row r="940" spans="2:4">
      <c r="B940" s="26">
        <f>Estimation_1516!F941</f>
        <v>-7.2778002741560885E-3</v>
      </c>
      <c r="D940" s="26">
        <v>2.6393086703519364E-2</v>
      </c>
    </row>
    <row r="941" spans="2:4">
      <c r="B941" s="25">
        <f>Estimation_1516!F942</f>
        <v>4.5115467812661047E-3</v>
      </c>
      <c r="D941" s="25">
        <v>2.6662940395470767E-2</v>
      </c>
    </row>
    <row r="942" spans="2:4">
      <c r="B942" s="26">
        <f>Estimation_1516!F943</f>
        <v>1.7298049634182026E-3</v>
      </c>
      <c r="D942" s="26">
        <v>2.6696167954411123E-2</v>
      </c>
    </row>
    <row r="943" spans="2:4">
      <c r="B943" s="25">
        <f>Estimation_1516!F944</f>
        <v>7.9187881524137096E-3</v>
      </c>
      <c r="D943" s="25">
        <v>2.6845465951472518E-2</v>
      </c>
    </row>
    <row r="944" spans="2:4">
      <c r="B944" s="26">
        <f>Estimation_1516!F945</f>
        <v>-4.8126596844155706E-3</v>
      </c>
      <c r="D944" s="26">
        <v>2.6846208431909158E-2</v>
      </c>
    </row>
    <row r="945" spans="2:4">
      <c r="B945" s="25">
        <f>Estimation_1516!F946</f>
        <v>-1.2482825056016059E-2</v>
      </c>
      <c r="D945" s="25">
        <v>2.7003502966248264E-2</v>
      </c>
    </row>
    <row r="946" spans="2:4">
      <c r="B946" s="26">
        <f>Estimation_1516!F947</f>
        <v>8.6851336282288659E-3</v>
      </c>
      <c r="D946" s="26">
        <v>2.7028672387919419E-2</v>
      </c>
    </row>
    <row r="947" spans="2:4">
      <c r="B947" s="25">
        <f>Estimation_1516!F948</f>
        <v>2.0732557530042015E-3</v>
      </c>
      <c r="D947" s="25">
        <v>2.7256101273328961E-2</v>
      </c>
    </row>
    <row r="948" spans="2:4">
      <c r="B948" s="26">
        <f>Estimation_1516!F949</f>
        <v>-3.1114977566334919E-3</v>
      </c>
      <c r="D948" s="26">
        <v>2.7328572160507009E-2</v>
      </c>
    </row>
    <row r="949" spans="2:4">
      <c r="B949" s="25">
        <f>Estimation_1516!F950</f>
        <v>3.0351861003059546E-2</v>
      </c>
      <c r="D949" s="25">
        <v>2.7346288537039392E-2</v>
      </c>
    </row>
    <row r="950" spans="2:4">
      <c r="B950" s="26">
        <f>Estimation_1516!F951</f>
        <v>-1.7621601349819559E-2</v>
      </c>
      <c r="D950" s="26">
        <v>2.7393372716047398E-2</v>
      </c>
    </row>
    <row r="951" spans="2:4">
      <c r="B951" s="25">
        <f>Estimation_1516!F952</f>
        <v>5.4551788880382278E-3</v>
      </c>
      <c r="D951" s="25">
        <v>2.7808390775205052E-2</v>
      </c>
    </row>
    <row r="952" spans="2:4">
      <c r="B952" s="26">
        <f>Estimation_1516!F953</f>
        <v>1.5519879662114822E-2</v>
      </c>
      <c r="D952" s="26">
        <v>2.8134011286796979E-2</v>
      </c>
    </row>
    <row r="953" spans="2:4">
      <c r="B953" s="25">
        <f>Estimation_1516!F954</f>
        <v>9.6619109117368901E-3</v>
      </c>
      <c r="D953" s="25">
        <v>2.8253576272069227E-2</v>
      </c>
    </row>
    <row r="954" spans="2:4">
      <c r="B954" s="26">
        <f>Estimation_1516!F955</f>
        <v>1.9874137048381956E-3</v>
      </c>
      <c r="D954" s="26">
        <v>2.8320208707435277E-2</v>
      </c>
    </row>
    <row r="955" spans="2:4">
      <c r="B955" s="25">
        <f>Estimation_1516!F956</f>
        <v>1.1515179058149612E-2</v>
      </c>
      <c r="D955" s="25">
        <v>2.8490579849806137E-2</v>
      </c>
    </row>
    <row r="956" spans="2:4">
      <c r="B956" s="26">
        <f>Estimation_1516!F957</f>
        <v>-7.8818142022533677E-3</v>
      </c>
      <c r="D956" s="26">
        <v>2.8521350750998254E-2</v>
      </c>
    </row>
    <row r="957" spans="2:4">
      <c r="B957" s="25">
        <f>Estimation_1516!F958</f>
        <v>9.88630826939435E-4</v>
      </c>
      <c r="D957" s="25">
        <v>2.8568570350343245E-2</v>
      </c>
    </row>
    <row r="958" spans="2:4">
      <c r="B958" s="26">
        <f>Estimation_1516!F959</f>
        <v>-4.9529571288486427E-3</v>
      </c>
      <c r="D958" s="26">
        <v>2.8669240111887068E-2</v>
      </c>
    </row>
    <row r="959" spans="2:4">
      <c r="B959" s="25">
        <f>Estimation_1516!F960</f>
        <v>-2.3198022002312805E-3</v>
      </c>
      <c r="D959" s="25">
        <v>2.8733022127376402E-2</v>
      </c>
    </row>
    <row r="960" spans="2:4">
      <c r="B960" s="26">
        <f>Estimation_1516!F961</f>
        <v>-3.0999786875795812E-2</v>
      </c>
      <c r="D960" s="26">
        <v>2.8785792702515876E-2</v>
      </c>
    </row>
    <row r="961" spans="2:4">
      <c r="B961" s="25">
        <f>Estimation_1516!F962</f>
        <v>-2.0747632194248543E-2</v>
      </c>
      <c r="D961" s="25">
        <v>2.9183565741710046E-2</v>
      </c>
    </row>
    <row r="962" spans="2:4">
      <c r="B962" s="26">
        <f>Estimation_1516!F963</f>
        <v>-5.9576135559648961E-3</v>
      </c>
      <c r="D962" s="26">
        <v>2.9504713102630514E-2</v>
      </c>
    </row>
    <row r="963" spans="2:4">
      <c r="B963" s="25">
        <f>Estimation_1516!F964</f>
        <v>6.3069585376836212E-3</v>
      </c>
      <c r="D963" s="25">
        <v>2.968710332158794E-2</v>
      </c>
    </row>
    <row r="964" spans="2:4">
      <c r="B964" s="26">
        <f>Estimation_1516!F965</f>
        <v>1.937106575599979E-2</v>
      </c>
      <c r="D964" s="26">
        <v>2.9817637321904834E-2</v>
      </c>
    </row>
    <row r="965" spans="2:4">
      <c r="B965" s="25">
        <f>Estimation_1516!F966</f>
        <v>-9.9845897476368312E-3</v>
      </c>
      <c r="D965" s="25">
        <v>2.9820838690344426E-2</v>
      </c>
    </row>
    <row r="966" spans="2:4">
      <c r="B966" s="26">
        <f>Estimation_1516!F967</f>
        <v>-1.1834457647002909E-2</v>
      </c>
      <c r="D966" s="26">
        <v>3.001668356727542E-2</v>
      </c>
    </row>
    <row r="967" spans="2:4">
      <c r="B967" s="25">
        <f>Estimation_1516!F968</f>
        <v>-4.9140148024289293E-3</v>
      </c>
      <c r="D967" s="25">
        <v>3.0225194681989309E-2</v>
      </c>
    </row>
    <row r="968" spans="2:4">
      <c r="B968" s="26">
        <f>Estimation_1516!F969</f>
        <v>-9.5457680832552669E-3</v>
      </c>
      <c r="D968" s="26">
        <v>3.0229001961317076E-2</v>
      </c>
    </row>
    <row r="969" spans="2:4">
      <c r="B969" s="25">
        <f>Estimation_1516!F970</f>
        <v>-4.7281533630825656E-2</v>
      </c>
      <c r="D969" s="25">
        <v>3.0297387849232048E-2</v>
      </c>
    </row>
    <row r="970" spans="2:4">
      <c r="B970" s="26">
        <f>Estimation_1516!F971</f>
        <v>0</v>
      </c>
      <c r="D970" s="26">
        <v>3.0351861003059546E-2</v>
      </c>
    </row>
    <row r="971" spans="2:4">
      <c r="B971" s="25">
        <f>Estimation_1516!F972</f>
        <v>0</v>
      </c>
      <c r="D971" s="25">
        <v>3.0378300790309679E-2</v>
      </c>
    </row>
    <row r="972" spans="2:4">
      <c r="B972" s="26">
        <f>Estimation_1516!F973</f>
        <v>2.9750858686338434E-3</v>
      </c>
      <c r="D972" s="26">
        <v>3.0410770388341422E-2</v>
      </c>
    </row>
    <row r="973" spans="2:4">
      <c r="B973" s="25">
        <f>Estimation_1516!F974</f>
        <v>2.2255202064056841E-3</v>
      </c>
      <c r="D973" s="25">
        <v>3.0426106532317594E-2</v>
      </c>
    </row>
    <row r="974" spans="2:4">
      <c r="B974" s="26">
        <f>Estimation_1516!F975</f>
        <v>-2.1345127935733961E-2</v>
      </c>
      <c r="D974" s="26">
        <v>3.0431740868090324E-2</v>
      </c>
    </row>
    <row r="975" spans="2:4">
      <c r="B975" s="25">
        <f>Estimation_1516!F976</f>
        <v>-1.6794287851725813E-2</v>
      </c>
      <c r="D975" s="25">
        <v>3.0433608327284988E-2</v>
      </c>
    </row>
    <row r="976" spans="2:4">
      <c r="B976" s="26">
        <f>Estimation_1516!F977</f>
        <v>-7.340191349199947E-3</v>
      </c>
      <c r="D976" s="26">
        <v>3.0643356489289817E-2</v>
      </c>
    </row>
    <row r="977" spans="2:4">
      <c r="B977" s="25">
        <f>Estimation_1516!F978</f>
        <v>-2.7517459514922626E-2</v>
      </c>
      <c r="D977" s="25">
        <v>3.1104208563537194E-2</v>
      </c>
    </row>
    <row r="978" spans="2:4">
      <c r="B978" s="26">
        <f>Estimation_1516!F979</f>
        <v>-1.5666116744399237E-2</v>
      </c>
      <c r="D978" s="26">
        <v>3.151719003712556E-2</v>
      </c>
    </row>
    <row r="979" spans="2:4">
      <c r="B979" s="25">
        <f>Estimation_1516!F980</f>
        <v>2.8733022127376402E-2</v>
      </c>
      <c r="D979" s="25">
        <v>3.1800599428814476E-2</v>
      </c>
    </row>
    <row r="980" spans="2:4">
      <c r="B980" s="26">
        <f>Estimation_1516!F981</f>
        <v>-1.5860760722542919E-2</v>
      </c>
      <c r="D980" s="26">
        <v>3.2095619393514956E-2</v>
      </c>
    </row>
    <row r="981" spans="2:4">
      <c r="B981" s="25">
        <f>Estimation_1516!F982</f>
        <v>1.0733555643108851E-2</v>
      </c>
      <c r="D981" s="25">
        <v>3.219050657039272E-2</v>
      </c>
    </row>
    <row r="982" spans="2:4">
      <c r="B982" s="26">
        <f>Estimation_1516!F983</f>
        <v>-3.1683194820452758E-3</v>
      </c>
      <c r="D982" s="26">
        <v>3.3020425850928112E-2</v>
      </c>
    </row>
    <row r="983" spans="2:4">
      <c r="B983" s="25">
        <f>Estimation_1516!F984</f>
        <v>2.4295865907920773E-2</v>
      </c>
      <c r="D983" s="25">
        <v>3.3470817100915824E-2</v>
      </c>
    </row>
    <row r="984" spans="2:4">
      <c r="B984" s="26">
        <f>Estimation_1516!F985</f>
        <v>7.7399384668885949E-4</v>
      </c>
      <c r="D984" s="26">
        <v>3.3653829033691136E-2</v>
      </c>
    </row>
    <row r="985" spans="2:4">
      <c r="B985" s="25">
        <f>Estimation_1516!F986</f>
        <v>2.1053409197832482E-2</v>
      </c>
      <c r="D985" s="25">
        <v>3.4244591273730807E-2</v>
      </c>
    </row>
    <row r="986" spans="2:4">
      <c r="B986" s="26">
        <f>Estimation_1516!F987</f>
        <v>-1.1428695823622857E-2</v>
      </c>
      <c r="D986" s="26">
        <v>3.4760495227986535E-2</v>
      </c>
    </row>
    <row r="987" spans="2:4">
      <c r="B987" s="25">
        <f>Estimation_1516!F988</f>
        <v>-4.9932886539906475E-3</v>
      </c>
      <c r="D987" s="25">
        <v>3.5700612835693167E-2</v>
      </c>
    </row>
    <row r="988" spans="2:4">
      <c r="B988" s="26">
        <f>Estimation_1516!F989</f>
        <v>1.7179273419522155E-2</v>
      </c>
      <c r="D988" s="26">
        <v>3.5901935394805372E-2</v>
      </c>
    </row>
    <row r="989" spans="2:4">
      <c r="B989" s="25">
        <f>Estimation_1516!F990</f>
        <v>1.6144521860694566E-2</v>
      </c>
      <c r="D989" s="25">
        <v>3.6389703399905798E-2</v>
      </c>
    </row>
    <row r="990" spans="2:4">
      <c r="B990" s="26">
        <f>Estimation_1516!F991</f>
        <v>-1.6523094645832827E-2</v>
      </c>
      <c r="D990" s="26">
        <v>3.6586390753831903E-2</v>
      </c>
    </row>
    <row r="991" spans="2:4">
      <c r="B991" s="25">
        <f>Estimation_1516!F992</f>
        <v>-3.7026983312509178E-2</v>
      </c>
      <c r="D991" s="25">
        <v>3.6600283464700636E-2</v>
      </c>
    </row>
    <row r="992" spans="2:4">
      <c r="B992" s="26">
        <f>Estimation_1516!F993</f>
        <v>6.6575534720564444E-3</v>
      </c>
      <c r="D992" s="26">
        <v>3.7100856375044906E-2</v>
      </c>
    </row>
    <row r="993" spans="2:4">
      <c r="B993" s="25">
        <f>Estimation_1516!F994</f>
        <v>-1.0200166899562912E-2</v>
      </c>
      <c r="D993" s="25">
        <v>3.7183224904371301E-2</v>
      </c>
    </row>
    <row r="994" spans="2:4">
      <c r="B994" s="26">
        <f>Estimation_1516!F995</f>
        <v>-2.0717872503747143E-2</v>
      </c>
      <c r="D994" s="26">
        <v>3.7382872684469409E-2</v>
      </c>
    </row>
    <row r="995" spans="2:4">
      <c r="B995" s="25">
        <f>Estimation_1516!F996</f>
        <v>-9.5055827473364135E-3</v>
      </c>
      <c r="D995" s="25">
        <v>3.9160474003839894E-2</v>
      </c>
    </row>
    <row r="996" spans="2:4">
      <c r="B996" s="26">
        <f>Estimation_1516!F997</f>
        <v>6.0944643836593018E-4</v>
      </c>
      <c r="D996" s="26">
        <v>3.9439220747289394E-2</v>
      </c>
    </row>
    <row r="997" spans="2:4">
      <c r="B997" s="25">
        <f>Estimation_1516!F998</f>
        <v>-3.0308473914382374E-2</v>
      </c>
      <c r="D997" s="25">
        <v>3.9807216732912418E-2</v>
      </c>
    </row>
    <row r="998" spans="2:4">
      <c r="B998" s="26">
        <f>Estimation_1516!F999</f>
        <v>1.5165970541566903E-2</v>
      </c>
      <c r="D998" s="26">
        <v>3.9822251946415442E-2</v>
      </c>
    </row>
    <row r="999" spans="2:4">
      <c r="B999" s="25">
        <f>Estimation_1516!F1000</f>
        <v>-1.0987982429464941E-2</v>
      </c>
      <c r="D999" s="25">
        <v>3.9932710335371012E-2</v>
      </c>
    </row>
    <row r="1000" spans="2:4">
      <c r="B1000" s="26">
        <f>Estimation_1516!F1001</f>
        <v>1.0575526247086388E-2</v>
      </c>
      <c r="D1000" s="26">
        <v>3.9959654261952408E-2</v>
      </c>
    </row>
    <row r="1001" spans="2:4">
      <c r="B1001" s="25">
        <f>Estimation_1516!F1002</f>
        <v>2.8669240111887068E-2</v>
      </c>
      <c r="D1001" s="25">
        <v>4.1782593477839053E-2</v>
      </c>
    </row>
    <row r="1002" spans="2:4">
      <c r="B1002" s="26">
        <f>Estimation_1516!F1003</f>
        <v>-4.0096231491477984E-4</v>
      </c>
      <c r="D1002" s="26">
        <v>4.2180976898622956E-2</v>
      </c>
    </row>
    <row r="1003" spans="2:4">
      <c r="B1003" s="25">
        <f>Estimation_1516!F1004</f>
        <v>-2.0869970315527248E-2</v>
      </c>
      <c r="D1003" s="25">
        <v>4.2387034266653877E-2</v>
      </c>
    </row>
    <row r="1004" spans="2:4">
      <c r="B1004" s="26">
        <f>Estimation_1516!F1005</f>
        <v>1.2412408826217114E-2</v>
      </c>
      <c r="D1004" s="26">
        <v>4.2899130932194669E-2</v>
      </c>
    </row>
    <row r="1005" spans="2:4">
      <c r="B1005" s="25">
        <f>Estimation_1516!F1006</f>
        <v>-1.3231745209619705E-2</v>
      </c>
      <c r="D1005" s="25">
        <v>4.2902523969794507E-2</v>
      </c>
    </row>
    <row r="1006" spans="2:4">
      <c r="B1006" s="26">
        <f>Estimation_1516!F1007</f>
        <v>2.5491973144526784E-2</v>
      </c>
      <c r="D1006" s="26">
        <v>4.2977762030993523E-2</v>
      </c>
    </row>
    <row r="1007" spans="2:4">
      <c r="B1007" s="25">
        <f>Estimation_1516!F1008</f>
        <v>-2.5287076104572023E-2</v>
      </c>
      <c r="D1007" s="25">
        <v>4.3323136232435201E-2</v>
      </c>
    </row>
    <row r="1008" spans="2:4">
      <c r="B1008" s="26">
        <f>Estimation_1516!F1009</f>
        <v>-2.2165588988372075E-2</v>
      </c>
      <c r="D1008" s="26">
        <v>4.3963123421115989E-2</v>
      </c>
    </row>
    <row r="1009" spans="2:4">
      <c r="B1009" s="25">
        <f>Estimation_1516!F1010</f>
        <v>-5.5557881629222733E-2</v>
      </c>
      <c r="D1009" s="25">
        <v>4.6021357601298718E-2</v>
      </c>
    </row>
    <row r="1010" spans="2:4">
      <c r="B1010" s="26">
        <f>Estimation_1516!F1011</f>
        <v>7.5005866754434183E-3</v>
      </c>
      <c r="D1010" s="26">
        <v>4.6300933587790326E-2</v>
      </c>
    </row>
    <row r="1011" spans="2:4">
      <c r="B1011" s="25">
        <f>Estimation_1516!F1012</f>
        <v>-2.4472856518725574E-2</v>
      </c>
      <c r="D1011" s="25">
        <v>4.8242136476458912E-2</v>
      </c>
    </row>
    <row r="1012" spans="2:4">
      <c r="B1012" s="26">
        <f>Estimation_1516!F1013</f>
        <v>1.9405092009688117E-2</v>
      </c>
      <c r="D1012" s="26">
        <v>4.8344220451646255E-2</v>
      </c>
    </row>
    <row r="1013" spans="2:4">
      <c r="B1013" s="25">
        <f>Estimation_1516!F1014</f>
        <v>2.5947165894395718E-2</v>
      </c>
      <c r="D1013" s="25">
        <v>4.936160531555641E-2</v>
      </c>
    </row>
    <row r="1014" spans="2:4">
      <c r="B1014" s="26">
        <f>Estimation_1516!F1015</f>
        <v>-3.4497662500747347E-3</v>
      </c>
      <c r="D1014" s="26">
        <v>4.956108682058763E-2</v>
      </c>
    </row>
    <row r="1015" spans="2:4">
      <c r="B1015" s="25">
        <f>Estimation_1516!F1016</f>
        <v>-1.808919325526925E-2</v>
      </c>
      <c r="D1015" s="25">
        <v>5.0267173623907584E-2</v>
      </c>
    </row>
    <row r="1016" spans="2:4">
      <c r="B1016" s="26">
        <f>Estimation_1516!F1017</f>
        <v>-2.5391119079956954E-2</v>
      </c>
      <c r="D1016" s="26">
        <v>5.0391445536405823E-2</v>
      </c>
    </row>
    <row r="1017" spans="2:4">
      <c r="B1017" s="25">
        <f>Estimation_1516!F1018</f>
        <v>4.5014705766490345E-3</v>
      </c>
      <c r="D1017" s="25">
        <v>5.3649328280617428E-2</v>
      </c>
    </row>
    <row r="1018" spans="2:4">
      <c r="B1018" s="26">
        <f>Estimation_1516!F1019</f>
        <v>-6.5422211124757157E-2</v>
      </c>
      <c r="D1018" s="26">
        <v>5.4105722049921319E-2</v>
      </c>
    </row>
    <row r="1019" spans="2:4">
      <c r="B1019" s="25">
        <f>Estimation_1516!F1020</f>
        <v>-2.9192050994254676E-2</v>
      </c>
      <c r="D1019" s="25">
        <v>6.0563662933182667E-2</v>
      </c>
    </row>
    <row r="1020" spans="2:4">
      <c r="B1020" s="26">
        <f>Estimation_1516!F1021</f>
        <v>-1.4822137100986032E-3</v>
      </c>
      <c r="D1020" s="26">
        <v>6.1461091961400878E-2</v>
      </c>
    </row>
    <row r="1021" spans="2:4">
      <c r="B1021" s="25">
        <f>Estimation_1516!F1022</f>
        <v>-8.6903091919771965E-3</v>
      </c>
      <c r="D1021" s="25">
        <v>6.2744591082674259E-2</v>
      </c>
    </row>
    <row r="1022" spans="2:4">
      <c r="B1022" s="26">
        <f>Estimation_1516!F1023</f>
        <v>-1.8118261101543878E-2</v>
      </c>
      <c r="D1022" s="26">
        <v>7.3169053927111316E-2</v>
      </c>
    </row>
    <row r="1023" spans="2:4">
      <c r="B1023" s="25">
        <f>Estimation_1516!F1024</f>
        <v>3.7382872684469409E-2</v>
      </c>
      <c r="D1023" s="25">
        <v>7.5507552508145101E-2</v>
      </c>
    </row>
    <row r="1024" spans="2:4">
      <c r="B1024" s="26">
        <f>Estimation_1516!F1025</f>
        <v>7.5545625525403849E-3</v>
      </c>
      <c r="D1024" s="26">
        <v>8.6435804278908512E-2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Estimation_1516</vt:lpstr>
      <vt:lpstr>Backtest</vt:lpstr>
      <vt:lpstr>Part B</vt:lpstr>
      <vt:lpstr>Part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SAGOT Emile</dc:creator>
  <cp:lastModifiedBy>SAGOT Emile</cp:lastModifiedBy>
  <dcterms:created xsi:type="dcterms:W3CDTF">2025-12-20T11:23:29Z</dcterms:created>
  <dcterms:modified xsi:type="dcterms:W3CDTF">2025-12-30T13:16:58Z</dcterms:modified>
</cp:coreProperties>
</file>